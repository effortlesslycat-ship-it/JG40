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GEN\htdocs\databases\Yizkor\Names\WIP\"/>
    </mc:Choice>
  </mc:AlternateContent>
  <bookViews>
    <workbookView xWindow="0" yWindow="0" windowWidth="24735" windowHeight="11550" tabRatio="392"/>
  </bookViews>
  <sheets>
    <sheet name="YBMNI Inventory" sheetId="1" r:id="rId1"/>
    <sheet name="Update 2013 April" sheetId="3" r:id="rId2"/>
  </sheets>
  <definedNames>
    <definedName name="_xlnm._FilterDatabase" localSheetId="0" hidden="1">'YBMNI Inventory'!$A$1:$I$133</definedName>
  </definedNames>
  <calcPr calcId="162913" concurrentCalc="0"/>
</workbook>
</file>

<file path=xl/calcChain.xml><?xml version="1.0" encoding="utf-8"?>
<calcChain xmlns="http://schemas.openxmlformats.org/spreadsheetml/2006/main">
  <c r="H46" i="3" l="1"/>
  <c r="E135" i="1"/>
  <c r="H135" i="1"/>
</calcChain>
</file>

<file path=xl/sharedStrings.xml><?xml version="1.0" encoding="utf-8"?>
<sst xmlns="http://schemas.openxmlformats.org/spreadsheetml/2006/main" count="852" uniqueCount="418">
  <si>
    <t>Country</t>
  </si>
  <si>
    <t>Dusetos</t>
  </si>
  <si>
    <t>Babruysk</t>
  </si>
  <si>
    <t>Grodno</t>
  </si>
  <si>
    <t>Slutsk</t>
  </si>
  <si>
    <t>Sokoly</t>
  </si>
  <si>
    <t>Voronovo</t>
  </si>
  <si>
    <t>Belarus</t>
  </si>
  <si>
    <t>Lithuania</t>
  </si>
  <si>
    <t>Poland</t>
  </si>
  <si>
    <t>Sefer Zikaron le-kehilat Oshmana (Oshmana Memorial Book)</t>
  </si>
  <si>
    <t>index of names listed in the book</t>
  </si>
  <si>
    <t>Ayara Hayeta B'Lita; Dusiat B'Rei Hazichronot (There Was a Shtetl in Lithuania; Dusiat Reflected in Reminiscences)</t>
  </si>
  <si>
    <t>List of interviewees for the book</t>
  </si>
  <si>
    <t>Bobroysk: Sefer Zikaron li-Kehilat Bobroysk u-Venoteha (Memorial book of the community of Bobruisk and its surroundings)</t>
  </si>
  <si>
    <t>Paid family memorials</t>
  </si>
  <si>
    <t>Grodno; Volume IX, Encyclopedia of the Jewish Diaspora; Memorial Book of Countries and Communities</t>
  </si>
  <si>
    <t>index of names listed in photo captions</t>
  </si>
  <si>
    <t xml:space="preserve">Hurban Motele (The destruction of Motol) </t>
  </si>
  <si>
    <t>Pinkas Slutsk u-benoteha (Slutsk and vicinity memorial book)</t>
  </si>
  <si>
    <t>index of names and subjects in Slutsk yizkor book</t>
  </si>
  <si>
    <t>Voronova; sefer zikaron le-kedoshei Voronova she-nispu be-shoat ha-natsim</t>
  </si>
  <si>
    <t>List of survivors</t>
  </si>
  <si>
    <t>B'maavak l'haim (Sokoly: In the fight for Survival)</t>
  </si>
  <si>
    <t>Photo name - Identification list</t>
  </si>
  <si>
    <t>Kielce</t>
  </si>
  <si>
    <t>Sefer Kielce. Toldot Kehilat Kielce. Miyom Hivsuduh V'ad Churbanah</t>
  </si>
  <si>
    <t>Book name index</t>
  </si>
  <si>
    <t>Thessalonika</t>
  </si>
  <si>
    <t>Greece</t>
  </si>
  <si>
    <t>Zikhron Saloniki; gedulata ve-hurbana shel Yerushalayim de-Balkan</t>
  </si>
  <si>
    <t>Inscriptions on tombs of pre-Holocaust deaths</t>
  </si>
  <si>
    <t>Wloszczowa</t>
  </si>
  <si>
    <t>Vlotsheve. Zydzi we Wloszczowie w latach 1867-1942</t>
  </si>
  <si>
    <t>List of community members</t>
  </si>
  <si>
    <t>Pinkas Bendin</t>
  </si>
  <si>
    <t>Radomsko</t>
  </si>
  <si>
    <t>Sefer yizkor le-kehilat Radomsk ve-ha-seviva</t>
  </si>
  <si>
    <t>List of Radomskowers who passed away in Israel</t>
  </si>
  <si>
    <t>Tysmenytsya</t>
  </si>
  <si>
    <t>Ukraine</t>
  </si>
  <si>
    <t>Tismenits; a matseyve oyf di khurves fun a farnikheter yidisher kehile</t>
  </si>
  <si>
    <t>Index of names</t>
  </si>
  <si>
    <t>Stanislawow</t>
    <phoneticPr fontId="2" type="noConversion"/>
  </si>
  <si>
    <t>Pochayev</t>
  </si>
  <si>
    <t>Pitshayever yisker-bukh</t>
  </si>
  <si>
    <t>Tombstone List of jews who lived before the holocaust</t>
  </si>
  <si>
    <t>Nowy Targ</t>
  </si>
  <si>
    <t>Sefer Nowy Targ ve-ha-seviva</t>
  </si>
  <si>
    <t>List of names from Yizkor book</t>
  </si>
  <si>
    <t>Krakow</t>
    <phoneticPr fontId="2" type="noConversion"/>
  </si>
  <si>
    <t>Czenstochov: our legacy</t>
  </si>
  <si>
    <t>Przemysl</t>
  </si>
  <si>
    <t>Sefer Przemysl</t>
  </si>
  <si>
    <t>Index of names from Yizkor book</t>
  </si>
  <si>
    <t>Novy Yarichev</t>
  </si>
  <si>
    <t>Khurbn Jaryczow bay Lemberg; sefer zikaron le-kedoshei Jaryczow y-sevivoteha</t>
  </si>
  <si>
    <t>Radomysl Wielki</t>
  </si>
  <si>
    <t>Radomysl Rabati ve-ha-seviva; sefer yizkor</t>
  </si>
  <si>
    <t>Addresses of the People of Radomysl Wielki</t>
  </si>
  <si>
    <t>Gombin Memories</t>
  </si>
  <si>
    <t>Duma Czarist Voters List</t>
  </si>
  <si>
    <t>Siauliai</t>
  </si>
  <si>
    <t>Azoy zaynen mir gestorbn</t>
  </si>
  <si>
    <t>Index of names in book</t>
  </si>
  <si>
    <t>Tomaszow Mazowieck</t>
  </si>
  <si>
    <t>Sefer zikaron le-kehilat Tomaszow Mazowiecki</t>
  </si>
  <si>
    <t>List of headstones</t>
  </si>
  <si>
    <t>Tarnow</t>
  </si>
  <si>
    <t>Tarnow; kiyuma ve-hurbana shel ir yehudit</t>
  </si>
  <si>
    <t>Book Index</t>
  </si>
  <si>
    <t>Lipno</t>
  </si>
  <si>
    <t>Sefer Lipno. Skepe, Lubicz ve-ha-sevivah</t>
  </si>
  <si>
    <t>List of Names Appearing in Text</t>
  </si>
  <si>
    <t>Plock</t>
  </si>
  <si>
    <t>Nadvornaya</t>
  </si>
  <si>
    <t>Nadworna; sefer edut ve-zikaron</t>
  </si>
  <si>
    <t xml:space="preserve">1932 Tax payers List </t>
  </si>
  <si>
    <t>Jewish community high school, the teaching staff</t>
  </si>
  <si>
    <t>Belarus</t>
    <phoneticPr fontId="2" type="noConversion"/>
  </si>
  <si>
    <t>Baranovitsh in umkum un vidershtand</t>
  </si>
  <si>
    <t>List of judenrat positions</t>
  </si>
  <si>
    <t>Poland</t>
    <phoneticPr fontId="2" type="noConversion"/>
  </si>
  <si>
    <t>Past citizens</t>
    <phoneticPr fontId="2" type="noConversion"/>
  </si>
  <si>
    <t>Publicacion Aniversario dedicado al doble aniversario: 40 años de la Sociedad de Socorros Mutuos y 20 años de la Cooperativa</t>
  </si>
  <si>
    <t>The Administration of the Mutual Aid Society of Belchatow and Its Surrounding Areas</t>
  </si>
  <si>
    <t>Pinkes Bialystok; grunt-materyaln tsu der geshikte fun di yidn in Bialystok biz nokh der ershter velt-milkohme</t>
  </si>
  <si>
    <t>Index of people</t>
    <phoneticPr fontId="2" type="noConversion"/>
  </si>
  <si>
    <t>Sefer Marmarosh; mea ve-shishim kehilot kedoshot be- yishuvan u-ve-hurbanan</t>
  </si>
  <si>
    <t>List of Jewish surnames mentioned in the article</t>
  </si>
  <si>
    <t>Bobrka</t>
    <phoneticPr fontId="2" type="noConversion"/>
  </si>
  <si>
    <t>Le-zekher kehilat Bobrka u-benoteha</t>
  </si>
  <si>
    <t>Names in photograph captions</t>
  </si>
  <si>
    <t>Brest</t>
    <phoneticPr fontId="2" type="noConversion"/>
  </si>
  <si>
    <t>Brisk de-Lita</t>
  </si>
  <si>
    <t>Brzeziny</t>
    <phoneticPr fontId="2" type="noConversion"/>
  </si>
  <si>
    <t>Bzhezhin yisker-bukh</t>
  </si>
  <si>
    <t>List of Brzeziner Jews Who Were Contributors to Keren Kayemeth in 1913</t>
    <phoneticPr fontId="2" type="noConversion"/>
  </si>
  <si>
    <t>Bukowina</t>
    <phoneticPr fontId="2" type="noConversion"/>
  </si>
  <si>
    <t>Der Geshichte der Juden in der Bukowina, vol. I</t>
  </si>
  <si>
    <t>School students</t>
    <phoneticPr fontId="2" type="noConversion"/>
  </si>
  <si>
    <t>Byaroza</t>
    <phoneticPr fontId="2" type="noConversion"/>
  </si>
  <si>
    <t>Kartuz-Berezah; sefer zikaron ve-'edut le-kehilah she-hushmedah hy"d</t>
  </si>
  <si>
    <t>book index</t>
    <phoneticPr fontId="2" type="noConversion"/>
  </si>
  <si>
    <t>Byten</t>
    <phoneticPr fontId="2" type="noConversion"/>
  </si>
  <si>
    <t>Pinkas Byten</t>
  </si>
  <si>
    <t>List of Survivors</t>
    <phoneticPr fontId="2" type="noConversion"/>
  </si>
  <si>
    <t>Tshenstokhover yidn</t>
  </si>
  <si>
    <t>Who and Where - Biographies</t>
    <phoneticPr fontId="2" type="noConversion"/>
  </si>
  <si>
    <t>Romania</t>
    <phoneticPr fontId="2" type="noConversion"/>
  </si>
  <si>
    <t>Sefer zikaron le-yahadut Kluzh-Kolozsvar</t>
  </si>
  <si>
    <t>Index of names from the book</t>
    <phoneticPr fontId="2" type="noConversion"/>
  </si>
  <si>
    <t>Cottbus</t>
    <phoneticPr fontId="2" type="noConversion"/>
  </si>
  <si>
    <t>Germany</t>
    <phoneticPr fontId="2" type="noConversion"/>
  </si>
  <si>
    <t>The Jewish Community of Cottbus, 1930's-1945</t>
  </si>
  <si>
    <t>List of Jewish residents in Cottbus</t>
    <phoneticPr fontId="2" type="noConversion"/>
  </si>
  <si>
    <t>Ukraine</t>
    <phoneticPr fontId="2" type="noConversion"/>
  </si>
  <si>
    <t>Jewish homeowners in Czernowicz</t>
  </si>
  <si>
    <t>Druzhkopol</t>
    <phoneticPr fontId="2" type="noConversion"/>
  </si>
  <si>
    <t>Ayaratenu Druzhkopol</t>
  </si>
  <si>
    <t>List of natives in Israel</t>
  </si>
  <si>
    <t>Moldova</t>
    <phoneticPr fontId="2" type="noConversion"/>
  </si>
  <si>
    <t>Hayoh, hayetah, 'ayarah monagraf iyah tsiyurit al ayarati Dumbrovan</t>
  </si>
  <si>
    <t>Partial residents' list</t>
    <phoneticPr fontId="2" type="noConversion"/>
  </si>
  <si>
    <t>Dunapentele</t>
    <phoneticPr fontId="2" type="noConversion"/>
  </si>
  <si>
    <t>Hungary</t>
    <phoneticPr fontId="2" type="noConversion"/>
  </si>
  <si>
    <t>Jewish families in 1940</t>
    <phoneticPr fontId="2" type="noConversion"/>
  </si>
  <si>
    <t>Khurbn Dynow, Sonik, Dibetsk</t>
  </si>
  <si>
    <t>Name index of the book</t>
  </si>
  <si>
    <t>Sefer yizkor shel kehilat Dzialoszyce ve-ha-seviva</t>
  </si>
  <si>
    <t>Names mentioned in the book</t>
  </si>
  <si>
    <t>Ayaratenu le-she-avar Fehergyarmat</t>
  </si>
  <si>
    <t>Yizkor Book Name list</t>
    <phoneticPr fontId="2" type="noConversion"/>
  </si>
  <si>
    <t>Florina</t>
    <phoneticPr fontId="2" type="noConversion"/>
  </si>
  <si>
    <t>Greece</t>
    <phoneticPr fontId="2" type="noConversion"/>
  </si>
  <si>
    <t>Florina-nostalgia de una comunidad olvidada</t>
  </si>
  <si>
    <t>List of Jews deported by the Nazis from Florina, Greece</t>
  </si>
  <si>
    <t>Galicia</t>
    <phoneticPr fontId="2" type="noConversion"/>
  </si>
  <si>
    <t>Medina va-chachameha : Toledot kol ha-hachamim ve-has-soferim</t>
  </si>
  <si>
    <t>Celebrity list</t>
    <phoneticPr fontId="2" type="noConversion"/>
  </si>
  <si>
    <t>Ganichi</t>
    <phoneticPr fontId="2" type="noConversion"/>
  </si>
  <si>
    <t>Glinyany</t>
    <phoneticPr fontId="2" type="noConversion"/>
  </si>
  <si>
    <t>Megiles Gline</t>
  </si>
  <si>
    <t>Gora Kalwaria</t>
    <phoneticPr fontId="2" type="noConversion"/>
  </si>
  <si>
    <t>Megiles Ger</t>
  </si>
  <si>
    <t>Name list</t>
    <phoneticPr fontId="2" type="noConversion"/>
  </si>
  <si>
    <t>Gorzd</t>
    <phoneticPr fontId="2" type="noConversion"/>
  </si>
  <si>
    <t>Lithuania</t>
    <phoneticPr fontId="2" type="noConversion"/>
  </si>
  <si>
    <t>Sefer Gorzd (Lita); ayara be-hayeha u-be-hilyona</t>
  </si>
  <si>
    <t>List of names</t>
    <phoneticPr fontId="2" type="noConversion"/>
  </si>
  <si>
    <t>France</t>
    <phoneticPr fontId="2" type="noConversion"/>
  </si>
  <si>
    <t>Grussenheim, communauté juive disparue</t>
  </si>
  <si>
    <t>List of 1808 name change</t>
  </si>
  <si>
    <t>Gura Humorului</t>
    <phoneticPr fontId="2" type="noConversion"/>
  </si>
  <si>
    <t>Gura Humora: 'ayarah bi-derom Bukovina; koroteha shel kehilah yehudit</t>
  </si>
  <si>
    <t>List of commercials and businesses with names</t>
  </si>
  <si>
    <t>Horodenka</t>
    <phoneticPr fontId="2" type="noConversion"/>
  </si>
  <si>
    <t>Sefer Horodenka</t>
  </si>
  <si>
    <t>Jewish Partizans list</t>
    <phoneticPr fontId="2" type="noConversion"/>
  </si>
  <si>
    <t>Jedwabne</t>
    <phoneticPr fontId="2" type="noConversion"/>
  </si>
  <si>
    <t>Sefer Jedwabne; historiya ve-zikaron</t>
  </si>
  <si>
    <t>residents before 1939</t>
    <phoneticPr fontId="2" type="noConversion"/>
  </si>
  <si>
    <t>Lomza</t>
    <phoneticPr fontId="2" type="noConversion"/>
  </si>
  <si>
    <t>Kletsk</t>
    <phoneticPr fontId="2" type="noConversion"/>
  </si>
  <si>
    <t>Pinkas Kletsk</t>
  </si>
  <si>
    <t>Names of Rabbies</t>
    <phoneticPr fontId="2" type="noConversion"/>
  </si>
  <si>
    <t>Book of Kobrin; the scroll of life and destruction</t>
  </si>
  <si>
    <t>Name index</t>
    <phoneticPr fontId="2" type="noConversion"/>
  </si>
  <si>
    <t>Koden</t>
    <phoneticPr fontId="2" type="noConversion"/>
  </si>
  <si>
    <t>Koden - A shtetl no more</t>
  </si>
  <si>
    <t>Families of koden, genealogies</t>
  </si>
  <si>
    <t>Korczyna; sefer zikaron</t>
  </si>
  <si>
    <t>List of Jewish names that appear in the Korczyner Yizkor Book</t>
  </si>
  <si>
    <t>Kosovitzki</t>
    <phoneticPr fontId="2" type="noConversion"/>
  </si>
  <si>
    <t>Jews who lived in Germany registered in Krakow ghetto in 1940</t>
  </si>
  <si>
    <t>Jews who lived in Germany, registered in Krakow Ghetto, 1940</t>
  </si>
  <si>
    <t>Kremenets</t>
    <phoneticPr fontId="2" type="noConversion"/>
  </si>
  <si>
    <t>Kol Yotzei Kremenitz Be-Yisrael Ve-batfutsut, Booklet no. 11</t>
  </si>
  <si>
    <t>Kremenets Sefer Zikaron</t>
  </si>
  <si>
    <t>Kretchinef</t>
    <phoneticPr fontId="2" type="noConversion"/>
  </si>
  <si>
    <t>Kutno</t>
    <phoneticPr fontId="2" type="noConversion"/>
  </si>
  <si>
    <t>Kutno ve-ha-seviva</t>
  </si>
  <si>
    <t>Soldiers on the Front, Partisans, Underground Fighters</t>
  </si>
  <si>
    <t>Lanovtsy</t>
    <phoneticPr fontId="2" type="noConversion"/>
  </si>
  <si>
    <t>Lanovits: sefer zikaron le-kedoshei Lanovits she-nispu be-shoat ha-natsim</t>
  </si>
  <si>
    <t>List of Homeowners</t>
    <phoneticPr fontId="2" type="noConversion"/>
  </si>
  <si>
    <t>Lenin</t>
    <phoneticPr fontId="2" type="noConversion"/>
  </si>
  <si>
    <t>Kehilat Lenin; sefer zikaron</t>
  </si>
  <si>
    <t>Partizans who survived</t>
    <phoneticPr fontId="2" type="noConversion"/>
  </si>
  <si>
    <t>Libau</t>
    <phoneticPr fontId="2" type="noConversion"/>
  </si>
  <si>
    <t>Latvia</t>
    <phoneticPr fontId="2" type="noConversion"/>
  </si>
  <si>
    <t>A town named Libau</t>
  </si>
  <si>
    <t>Names and addresses of survivors</t>
  </si>
  <si>
    <t>Lita</t>
    <phoneticPr fontId="2" type="noConversion"/>
  </si>
  <si>
    <t>Yahadut Lita (vol. 1)</t>
  </si>
  <si>
    <t>Index to personalities</t>
    <phoneticPr fontId="2" type="noConversion"/>
  </si>
  <si>
    <t>Sefer zikaron le-kehilat Lomza</t>
  </si>
  <si>
    <t>Mlawa</t>
    <phoneticPr fontId="2" type="noConversion"/>
  </si>
  <si>
    <t>Mlawa ha-yehudit; koroteha, hitpathuta, kilayona---Di yidishe Mlawe; geshikte, oyfshtand , unkum</t>
  </si>
  <si>
    <t>Incex of names from Yizkor book</t>
  </si>
  <si>
    <t>Molchad</t>
    <phoneticPr fontId="2" type="noConversion"/>
  </si>
  <si>
    <t>Sefer-zikaron le-kehilat Meytshet</t>
  </si>
  <si>
    <t>Nankif</t>
    <phoneticPr fontId="2" type="noConversion"/>
  </si>
  <si>
    <t>Neresniza</t>
    <phoneticPr fontId="2" type="noConversion"/>
  </si>
  <si>
    <t>Nowy Zmigrod</t>
    <phoneticPr fontId="2" type="noConversion"/>
  </si>
  <si>
    <t>Nowy Żmigród</t>
  </si>
  <si>
    <t>Partial list of residents from Nowy Żmigród prior to and during World War II</t>
    <phoneticPr fontId="2" type="noConversion"/>
  </si>
  <si>
    <t>Ober Bistra</t>
    <phoneticPr fontId="2" type="noConversion"/>
  </si>
  <si>
    <t>Obertin</t>
    <phoneticPr fontId="2" type="noConversion"/>
  </si>
  <si>
    <t>List of Jewish people who were imprisoned and taken into German slavery from Obertin region, Ukraine</t>
  </si>
  <si>
    <t>WW2 prisoners</t>
  </si>
  <si>
    <t>Rokiskis</t>
    <phoneticPr fontId="2" type="noConversion"/>
  </si>
  <si>
    <t>Yisker-bukh fun Rakishok un umgegnt</t>
  </si>
  <si>
    <t>List of deceased who were not Holocaust victims</t>
  </si>
  <si>
    <t>Rzeszow</t>
    <phoneticPr fontId="2" type="noConversion"/>
  </si>
  <si>
    <t>Kehilat Raysha; sefer zikaron</t>
  </si>
  <si>
    <t>Sanok</t>
    <phoneticPr fontId="2" type="noConversion"/>
  </si>
  <si>
    <t>Sefer zikaron le-kehilat Sanok ve-ha-siviva</t>
  </si>
  <si>
    <t>Index of names from Yizkor book (Surnames only)</t>
  </si>
  <si>
    <t>Arim ve-imahot be-yisrael; matsevet kodesh le-kehilot yisrael she-nehrevu bi-yedei aritsim u-tmeim be-milhemet ha-olam ha-aharona, vol. 5, Stanislawow</t>
  </si>
  <si>
    <t>Ivano-Frankivsk Cemetery Inscriptions</t>
  </si>
  <si>
    <t>Strzyzow</t>
    <phoneticPr fontId="2" type="noConversion"/>
  </si>
  <si>
    <t>The book of Strzyzow and vicinity</t>
  </si>
  <si>
    <t>Szczuczyn</t>
    <phoneticPr fontId="2" type="noConversion"/>
  </si>
  <si>
    <t>Hurban kehilat Shtsutsin</t>
  </si>
  <si>
    <t xml:space="preserve">Former Residents of Shtutsin (Szczuczyn) Now Citizens of Israel </t>
  </si>
  <si>
    <t>Vinif</t>
    <phoneticPr fontId="2" type="noConversion"/>
  </si>
  <si>
    <t>Yedinitz</t>
    <phoneticPr fontId="2" type="noConversion"/>
  </si>
  <si>
    <t>Yad le-Yedinits; sefer zikaron le-yehudei Yedinits-Bessarabia</t>
  </si>
  <si>
    <t>Memorial book of the community of Augustow and vicinity</t>
  </si>
  <si>
    <t>English Index of Augustow Yizkor Book</t>
  </si>
  <si>
    <t>Belchatow - Publicacion Aniversario De La Sociedad De Ayuda Mutua De Belchatow y Alrededore</t>
  </si>
  <si>
    <t>Administration and manager committee members</t>
  </si>
  <si>
    <t>Bohemia</t>
  </si>
  <si>
    <t>Czech Republic</t>
  </si>
  <si>
    <t>Die Juden und judengemeinden Böhmens in vergangenheit und gegenwart</t>
  </si>
  <si>
    <t>Names in the book</t>
  </si>
  <si>
    <t>Braunschweig</t>
  </si>
  <si>
    <t>Germany</t>
  </si>
  <si>
    <t>Brunsvicensia Judaica, Gedenkbuch fur die judischen Mitburger der Stadt Braunschweig 1933-1945</t>
  </si>
  <si>
    <t>List of Names</t>
  </si>
  <si>
    <t>Brest</t>
  </si>
  <si>
    <t>List of people in the Table of Contents</t>
  </si>
  <si>
    <t>The Jews of Danzig 1840-1943: integration, struggle, rescue</t>
  </si>
  <si>
    <t>Index</t>
  </si>
  <si>
    <t>Gorodets</t>
  </si>
  <si>
    <t>Horodets; a geshikhte fun a shtetl, 1142-1942</t>
  </si>
  <si>
    <t>A list of names</t>
  </si>
  <si>
    <t>Grussenheim</t>
  </si>
  <si>
    <t>France</t>
  </si>
  <si>
    <t>1784 Census</t>
  </si>
  <si>
    <t>Jaryczow</t>
  </si>
  <si>
    <t>List of Survivors</t>
  </si>
  <si>
    <t>Jaslo</t>
  </si>
  <si>
    <t>Toldot yehudei Jaslo; me-reshit hityashvutam be-tokh ha-ir ad yemei ha-hurban al yedei ha-natsim.</t>
  </si>
  <si>
    <t>Name List of Jews that appear in the book</t>
  </si>
  <si>
    <t>Kibart</t>
  </si>
  <si>
    <t>Sefer HaZikron LeKehillat Kibart Lita</t>
  </si>
  <si>
    <t>List of Kibart Families</t>
  </si>
  <si>
    <t>Kobrin</t>
  </si>
  <si>
    <t>Book of Kobryn; the scroll of life and destruction</t>
  </si>
  <si>
    <t>List of names</t>
  </si>
  <si>
    <t>Korczyna</t>
  </si>
  <si>
    <t>Poland vol. 3: Western Galicia and Silesia</t>
  </si>
  <si>
    <t>List of Jewish Names</t>
  </si>
  <si>
    <t>Lambrivka</t>
  </si>
  <si>
    <t>HaMoshava Ungravka (Lambrovka): Parahat hityashvut Yehudit b'Bessarabia</t>
  </si>
  <si>
    <t>Lists of Residents and Staff</t>
  </si>
  <si>
    <t>Leh</t>
  </si>
  <si>
    <t>Sefer Marmarosh; mea ve-shishim kehilot kedoshot be-yishuvan u-ve-hurbanan</t>
  </si>
  <si>
    <t>Jewish Surnames</t>
  </si>
  <si>
    <t>Plotsk; toldot kehila atikat yomin be-Polin</t>
  </si>
  <si>
    <t>Plockers' Biographies</t>
  </si>
  <si>
    <t>Podu Iloaei</t>
  </si>
  <si>
    <t>Romania</t>
  </si>
  <si>
    <t xml:space="preserve">Pinkas ha-kehilot; entsiklopediya shel ha-yishuvim le-min hivasdam ve-ad le-aher shoat milhemet ha-olam ha-sheniya: </t>
  </si>
  <si>
    <t>Glossary of People</t>
  </si>
  <si>
    <t>Priluki</t>
  </si>
  <si>
    <t>Memorial book to the warriors, residents of Priluki who perished in the Great Fatherland War (WWII)</t>
  </si>
  <si>
    <t>Pruzhany</t>
  </si>
  <si>
    <t>Pinkas me-hamesh kehilot harevot Pruzana, Bereza, Malch, Schershev, Seltz</t>
  </si>
  <si>
    <t>Novi Sad</t>
  </si>
  <si>
    <t>Yugoslavia</t>
  </si>
  <si>
    <t>Teachers, Rabbis and leaders</t>
  </si>
  <si>
    <t>Nowy Sacz</t>
  </si>
  <si>
    <t>The book of the Jewish community of Nowy Sacz</t>
  </si>
  <si>
    <t xml:space="preserve">List from 1876 of Pre-Subscribers for a Seyfer </t>
  </si>
  <si>
    <t>Rachov</t>
  </si>
  <si>
    <t>Index of Names</t>
  </si>
  <si>
    <t>Radzyn</t>
  </si>
  <si>
    <t>Sefer Radzin</t>
  </si>
  <si>
    <t>Information of the Jewish Religion Congregation in Radzyn</t>
  </si>
  <si>
    <t>Rejowiec</t>
  </si>
  <si>
    <t>Ten Years of the State of Israel</t>
  </si>
  <si>
    <t>Families living before the war</t>
  </si>
  <si>
    <t>Riga</t>
  </si>
  <si>
    <t>Latvia</t>
  </si>
  <si>
    <t>Austrian, Czech, and German Jews in Riga</t>
  </si>
  <si>
    <t>Ghetto Name list</t>
  </si>
  <si>
    <t>Rohatyn</t>
  </si>
  <si>
    <t>Kehilat Rohatyn ve-ha-seviva</t>
  </si>
  <si>
    <t>Index of Surnames</t>
  </si>
  <si>
    <t>Rubiezewicze</t>
  </si>
  <si>
    <t>Rubiezewicze and surroundings book</t>
  </si>
  <si>
    <t>Holocaust Survivors who died later</t>
  </si>
  <si>
    <t>Rozwadow</t>
  </si>
  <si>
    <t>Rozwadow memorial book</t>
  </si>
  <si>
    <t>Rozwadow People 'Living' in Israel (as of 1968)</t>
  </si>
  <si>
    <t>Siedlice</t>
  </si>
  <si>
    <t>On the ruins of my home; the destruction of Siedlce</t>
  </si>
  <si>
    <t>Name Index</t>
  </si>
  <si>
    <t>Sopostkin</t>
  </si>
  <si>
    <t>Korot ayara ahat; megilat ha-sigsug ve-ha-hurban shel kehilat Sopotkin</t>
  </si>
  <si>
    <t>A list of families and professions and occupations</t>
  </si>
  <si>
    <t>Sosnowiec</t>
  </si>
  <si>
    <t>Sefer Sosnowiec ve-ha-seviva be-Zaglembie [vol. 1]</t>
  </si>
  <si>
    <t>The Jewish Community Executive Committee, administration, advisors of 1939</t>
  </si>
  <si>
    <t>Stanesti</t>
  </si>
  <si>
    <t>Unter Stanestie Bukowinaer Circle Twentieth Anniversary and Banquet Journal 1939-1950</t>
  </si>
  <si>
    <t>Suchowola</t>
  </si>
  <si>
    <t>Sefer Suchowola</t>
  </si>
  <si>
    <t>A list of the Jews of Suchawola before the war</t>
  </si>
  <si>
    <t>Szczuczyn</t>
  </si>
  <si>
    <t>Memorial book of the communities Szczuczyn, Wasiliszki, Ostryna, Nowy-Dwor, Rozank</t>
  </si>
  <si>
    <t>Name Index to Shchuchin Yizkor Book</t>
  </si>
  <si>
    <t>Tlumach</t>
  </si>
  <si>
    <t>Memorial book of Tlumacz</t>
  </si>
  <si>
    <t>Names from the book</t>
  </si>
  <si>
    <t>Vishnevets</t>
  </si>
  <si>
    <t>Wisniowiec; memorial book of the martyrs of Wisniowiec who perished in the Nazi holocaust</t>
  </si>
  <si>
    <t>List of names in the book</t>
  </si>
  <si>
    <t>Yedintsy</t>
  </si>
  <si>
    <t>Moldova</t>
  </si>
  <si>
    <t>Jewish Community Leaders</t>
  </si>
  <si>
    <t>Yedwabne; history and memorial book</t>
  </si>
  <si>
    <t>List of Jewish population that probably resided in Jedwabne prior 1939</t>
  </si>
  <si>
    <t>Zambrow</t>
  </si>
  <si>
    <t>The book of Zambrow</t>
  </si>
  <si>
    <t>Zambrow Name Index</t>
  </si>
  <si>
    <t>Zgierz</t>
  </si>
  <si>
    <t>Memorial book Zgierz</t>
  </si>
  <si>
    <t>Index to the English translation of the Zgiers people</t>
  </si>
  <si>
    <t>Motol</t>
  </si>
  <si>
    <t>List of Surnames</t>
  </si>
  <si>
    <t>YBID#</t>
  </si>
  <si>
    <t>Augustów</t>
  </si>
  <si>
    <t>Region</t>
  </si>
  <si>
    <t>Suwalki</t>
  </si>
  <si>
    <t>Date Added</t>
  </si>
  <si>
    <t>Ashmyany</t>
  </si>
  <si>
    <t>Vilna</t>
  </si>
  <si>
    <t>Minsk</t>
  </si>
  <si>
    <t>Bacău</t>
  </si>
  <si>
    <t>Moldavia</t>
  </si>
  <si>
    <t>Obştea evreiască din Bacǎu</t>
  </si>
  <si>
    <t>Baranavichy</t>
  </si>
  <si>
    <t>Będzin</t>
  </si>
  <si>
    <t>Piotrkow</t>
  </si>
  <si>
    <t>Bełchatów</t>
  </si>
  <si>
    <t>Białystok</t>
  </si>
  <si>
    <t>Bocicoiu Mare</t>
  </si>
  <si>
    <t>Maramures</t>
  </si>
  <si>
    <t>Lwow</t>
  </si>
  <si>
    <t>Częstochowa</t>
  </si>
  <si>
    <t>Cluj-Napoca</t>
  </si>
  <si>
    <t>Transylvania</t>
  </si>
  <si>
    <t>Bukowina</t>
  </si>
  <si>
    <t>Bucovina</t>
  </si>
  <si>
    <t>Chernivtsi</t>
  </si>
  <si>
    <r>
      <t xml:space="preserve">Index to </t>
    </r>
    <r>
      <rPr>
        <i/>
        <sz val="10"/>
        <rFont val="Cambria"/>
        <family val="1"/>
      </rPr>
      <t>Tshenstokhover yidn</t>
    </r>
    <r>
      <rPr>
        <sz val="10"/>
        <rFont val="Cambria"/>
        <family val="1"/>
      </rPr>
      <t xml:space="preserve"> "The Jews of Czestochowa"</t>
    </r>
  </si>
  <si>
    <t>Gdańsk</t>
  </si>
  <si>
    <t>Prussia</t>
  </si>
  <si>
    <t>Drahovo</t>
  </si>
  <si>
    <t>Transcarpathia</t>
  </si>
  <si>
    <t>Volhynia</t>
  </si>
  <si>
    <t>Dumbrăveni</t>
  </si>
  <si>
    <t>Bessarabia</t>
  </si>
  <si>
    <t>Hungary</t>
  </si>
  <si>
    <t>A dunapentelei zsidó közösség - Temetőjük - Fotók (IV. kötet)</t>
  </si>
  <si>
    <t>Kovno</t>
  </si>
  <si>
    <t>Dynów</t>
  </si>
  <si>
    <t>Działoszyce</t>
  </si>
  <si>
    <t>Fehérgyarmat</t>
  </si>
  <si>
    <t>Town
USBGN #</t>
  </si>
  <si>
    <t>Town Name</t>
  </si>
  <si>
    <t>Yizkor Book Title</t>
  </si>
  <si>
    <t>List Description</t>
  </si>
  <si>
    <t>TOTAL</t>
  </si>
  <si>
    <t>Galicia</t>
  </si>
  <si>
    <t>Augustow</t>
  </si>
  <si>
    <t>New</t>
  </si>
  <si>
    <t>Lomza</t>
  </si>
  <si>
    <t>Belchatow</t>
  </si>
  <si>
    <t>Brisk de-Lita: oyfl. in Yidish</t>
  </si>
  <si>
    <t>List of Rabbi's</t>
  </si>
  <si>
    <t>Czernowitz</t>
  </si>
  <si>
    <t>History of the Bukovina Jews, vol I.</t>
  </si>
  <si>
    <t>Danzig</t>
  </si>
  <si>
    <t>Preussen</t>
  </si>
  <si>
    <t>Volhinya</t>
  </si>
  <si>
    <t>Elsass-Lothringen</t>
  </si>
  <si>
    <t>Krakow</t>
  </si>
  <si>
    <t>Suwalski</t>
  </si>
  <si>
    <t>Maramaros</t>
  </si>
  <si>
    <t>Poltava</t>
  </si>
  <si>
    <t>Siedlce</t>
  </si>
  <si>
    <t>Lublin</t>
  </si>
  <si>
    <t>Livland</t>
  </si>
  <si>
    <t>Stanislawow</t>
  </si>
  <si>
    <t>Yedwabne</t>
  </si>
  <si>
    <t>Total number of new records</t>
  </si>
  <si>
    <t>New / Add /
Replace</t>
  </si>
  <si>
    <t># of
Entries</t>
  </si>
  <si>
    <t># of 
Entries</t>
  </si>
  <si>
    <t>Gąbin</t>
  </si>
  <si>
    <t>Warszawa</t>
  </si>
  <si>
    <t>List of Rabbis</t>
  </si>
  <si>
    <t>Index of Będzin Yizkor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</si>
</sst>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8" formatCode="_(* #,##0_);_(* \(#,##0\);_(* &quot;-&quot;??_);_(@_)"/>
  </numFmts>
  <fonts count="12" x14ac:knownFonts="1">
    <font>
      <sz val="10"/>
      <name val="Arial"/>
    </font>
    <font>
      <sz val="10"/>
      <name val="Arial"/>
    </font>
    <font>
      <sz val="8"/>
      <name val="Arial"/>
    </font>
    <font>
      <sz val="10"/>
      <name val="Cambria"/>
      <family val="1"/>
    </font>
    <font>
      <i/>
      <sz val="10"/>
      <name val="Cambria"/>
      <family val="1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Cambria"/>
      <family val="1"/>
      <scheme val="major"/>
    </font>
    <font>
      <i/>
      <sz val="10"/>
      <color indexed="8"/>
      <name val="Cambria"/>
      <family val="1"/>
      <scheme val="major"/>
    </font>
    <font>
      <i/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</cellStyleXfs>
  <cellXfs count="49">
    <xf numFmtId="0" fontId="0" fillId="0" borderId="0" xfId="0"/>
    <xf numFmtId="0" fontId="7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left" vertical="top"/>
    </xf>
    <xf numFmtId="0" fontId="9" fillId="0" borderId="0" xfId="0" applyFont="1"/>
    <xf numFmtId="3" fontId="7" fillId="0" borderId="0" xfId="0" applyNumberFormat="1" applyFont="1" applyAlignment="1">
      <alignment horizontal="right" vertical="top"/>
    </xf>
    <xf numFmtId="3" fontId="7" fillId="0" borderId="0" xfId="0" applyNumberFormat="1" applyFont="1" applyAlignment="1">
      <alignment horizontal="right"/>
    </xf>
    <xf numFmtId="1" fontId="6" fillId="0" borderId="0" xfId="2" applyNumberFormat="1" applyAlignment="1">
      <alignment horizontal="right" vertical="top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center" vertical="center"/>
    </xf>
    <xf numFmtId="0" fontId="6" fillId="0" borderId="0" xfId="2" applyAlignment="1">
      <alignment horizontal="right" vertical="top"/>
    </xf>
    <xf numFmtId="0" fontId="6" fillId="0" borderId="0" xfId="2" applyAlignment="1">
      <alignment horizontal="right"/>
    </xf>
    <xf numFmtId="1" fontId="6" fillId="0" borderId="0" xfId="2" applyNumberFormat="1" applyAlignment="1">
      <alignment horizontal="right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1" fontId="11" fillId="2" borderId="0" xfId="0" applyNumberFormat="1" applyFont="1" applyFill="1" applyAlignment="1">
      <alignment horizontal="right"/>
    </xf>
    <xf numFmtId="0" fontId="11" fillId="2" borderId="0" xfId="0" applyFont="1" applyFill="1"/>
    <xf numFmtId="3" fontId="11" fillId="2" borderId="0" xfId="0" applyNumberFormat="1" applyFont="1" applyFill="1" applyAlignment="1">
      <alignment horizontal="right"/>
    </xf>
    <xf numFmtId="0" fontId="11" fillId="0" borderId="0" xfId="0" applyFont="1"/>
    <xf numFmtId="0" fontId="10" fillId="0" borderId="0" xfId="3" applyFont="1" applyAlignment="1">
      <alignment horizontal="left" vertical="top"/>
    </xf>
    <xf numFmtId="0" fontId="7" fillId="0" borderId="0" xfId="3" applyFont="1" applyAlignment="1">
      <alignment horizontal="left" vertical="top"/>
    </xf>
    <xf numFmtId="0" fontId="7" fillId="0" borderId="0" xfId="3" applyFont="1"/>
    <xf numFmtId="0" fontId="7" fillId="0" borderId="0" xfId="3" applyFont="1" applyAlignment="1">
      <alignment horizontal="left" vertical="top" wrapText="1"/>
    </xf>
    <xf numFmtId="0" fontId="7" fillId="0" borderId="0" xfId="3" applyFont="1" applyAlignment="1">
      <alignment vertical="top"/>
    </xf>
    <xf numFmtId="178" fontId="7" fillId="0" borderId="0" xfId="1" applyNumberFormat="1" applyFont="1" applyAlignment="1">
      <alignment horizontal="right" vertical="center"/>
    </xf>
    <xf numFmtId="0" fontId="11" fillId="2" borderId="0" xfId="3" applyFont="1" applyFill="1" applyAlignment="1">
      <alignment horizontal="left" vertical="top"/>
    </xf>
    <xf numFmtId="0" fontId="7" fillId="0" borderId="0" xfId="3" applyFont="1" applyAlignment="1">
      <alignment horizontal="right" vertical="top"/>
    </xf>
    <xf numFmtId="0" fontId="11" fillId="2" borderId="0" xfId="3" applyFont="1" applyFill="1" applyAlignment="1">
      <alignment horizontal="right" vertical="top"/>
    </xf>
    <xf numFmtId="0" fontId="7" fillId="0" borderId="0" xfId="3" applyFont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178" fontId="11" fillId="2" borderId="0" xfId="1" applyNumberFormat="1" applyFont="1" applyFill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178" fontId="10" fillId="0" borderId="2" xfId="1" applyNumberFormat="1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</cellXfs>
  <cellStyles count="4">
    <cellStyle name="Comma" xfId="1" builtinId="3"/>
    <cellStyle name="Hyperlink" xfId="2" builtinId="8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ata.jewishgen.org/wconnect/wc.dll?jg~jgsys~yizkor~lookup_pb~1281" TargetMode="External"/><Relationship Id="rId13" Type="http://schemas.openxmlformats.org/officeDocument/2006/relationships/hyperlink" Target="http://data.jewishgen.org/wconnect/wc.dll?jg~jgsys~yizkor~lookup_pb~1079" TargetMode="External"/><Relationship Id="rId18" Type="http://schemas.openxmlformats.org/officeDocument/2006/relationships/hyperlink" Target="http://data.jewishgen.org/wconnect/wc.dll?jg~jgsys~yizkor~lookup_pb~313" TargetMode="External"/><Relationship Id="rId26" Type="http://schemas.openxmlformats.org/officeDocument/2006/relationships/hyperlink" Target="http://data.jewishgen.org/wconnect/wc.dll?jg~jgsys~yizkor~lookup_pb~19" TargetMode="External"/><Relationship Id="rId39" Type="http://schemas.openxmlformats.org/officeDocument/2006/relationships/hyperlink" Target="http://data.jewishgen.org/wconnect/wc.dll?jg~jgsys~yizkor~lookup_pb~1376" TargetMode="External"/><Relationship Id="rId3" Type="http://schemas.openxmlformats.org/officeDocument/2006/relationships/hyperlink" Target="http://data.jewishgen.org/wconnect/wc.dll?jg~jgsys~yizkor~lookup_pb~12" TargetMode="External"/><Relationship Id="rId21" Type="http://schemas.openxmlformats.org/officeDocument/2006/relationships/hyperlink" Target="http://data.jewishgen.org/wconnect/wc.dll?jg~jgsys~yizkor~lookup_pb~1456" TargetMode="External"/><Relationship Id="rId34" Type="http://schemas.openxmlformats.org/officeDocument/2006/relationships/hyperlink" Target="http://data.jewishgen.org/wconnect/wc.dll?jg~jgsys~yizkor~lookup_pb~351" TargetMode="External"/><Relationship Id="rId7" Type="http://schemas.openxmlformats.org/officeDocument/2006/relationships/hyperlink" Target="http://data.jewishgen.org/wconnect/wc.dll?jg~jgsys~yizkor~lookup_pb~9" TargetMode="External"/><Relationship Id="rId12" Type="http://schemas.openxmlformats.org/officeDocument/2006/relationships/hyperlink" Target="http://data.jewishgen.org/wconnect/wc.dll?jg~jgsys~yizkor~lookup_pb~302" TargetMode="External"/><Relationship Id="rId17" Type="http://schemas.openxmlformats.org/officeDocument/2006/relationships/hyperlink" Target="http://data.jewishgen.org/wconnect/wc.dll?jg~jgsys~yizkor~lookup_pb~978" TargetMode="External"/><Relationship Id="rId25" Type="http://schemas.openxmlformats.org/officeDocument/2006/relationships/hyperlink" Target="http://data.jewishgen.org/wconnect/wc.dll?jg~jgsys~yizkor~lookup_pb~19" TargetMode="External"/><Relationship Id="rId33" Type="http://schemas.openxmlformats.org/officeDocument/2006/relationships/hyperlink" Target="http://data.jewishgen.org/wconnect/wc.dll?jg~jgsys~yizkor~lookup_pb~350" TargetMode="External"/><Relationship Id="rId38" Type="http://schemas.openxmlformats.org/officeDocument/2006/relationships/hyperlink" Target="http://data.jewishgen.org/wconnect/wc.dll?jg~jgsys~community~-501031" TargetMode="External"/><Relationship Id="rId2" Type="http://schemas.openxmlformats.org/officeDocument/2006/relationships/hyperlink" Target="http://data.jewishgen.org/wconnect/wc.dll?jg~jgsys~yizkor~lookup_pb~109" TargetMode="External"/><Relationship Id="rId16" Type="http://schemas.openxmlformats.org/officeDocument/2006/relationships/hyperlink" Target="http://data.jewishgen.org/wconnect/wc.dll?jg~jgsys~yizkor~lookup_pb~308" TargetMode="External"/><Relationship Id="rId20" Type="http://schemas.openxmlformats.org/officeDocument/2006/relationships/hyperlink" Target="http://data.jewishgen.org/wconnect/wc.dll?jg~jgsys~yizkor~lookup_pb~180" TargetMode="External"/><Relationship Id="rId29" Type="http://schemas.openxmlformats.org/officeDocument/2006/relationships/hyperlink" Target="http://data.jewishgen.org/wconnect/wc.dll?jg~jgsys~yizkor~lookup_pb~93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data.jewishgen.org/wconnect/wc.dll?jg~jgsys~yizkor~lookup_pb~4" TargetMode="External"/><Relationship Id="rId6" Type="http://schemas.openxmlformats.org/officeDocument/2006/relationships/hyperlink" Target="http://data.jewishgen.org/wconnect/wc.dll?jg~jgsys~yizkor~lookup_pb~9" TargetMode="External"/><Relationship Id="rId11" Type="http://schemas.openxmlformats.org/officeDocument/2006/relationships/hyperlink" Target="http://data.jewishgen.org/wconnect/wc.dll?jg~jgsys~yizkor~lookup_pb~93" TargetMode="External"/><Relationship Id="rId24" Type="http://schemas.openxmlformats.org/officeDocument/2006/relationships/hyperlink" Target="http://data.jewishgen.org/wconnect/wc.dll?jg~jgsys~yizkor~lookup_pb~1356" TargetMode="External"/><Relationship Id="rId32" Type="http://schemas.openxmlformats.org/officeDocument/2006/relationships/hyperlink" Target="http://data.jewishgen.org/wconnect/wc.dll?jg~jgsys~yizkor~lookup_pb~1077" TargetMode="External"/><Relationship Id="rId37" Type="http://schemas.openxmlformats.org/officeDocument/2006/relationships/hyperlink" Target="http://data.jewishgen.org/wconnect/wc.dll?jg~jgsys~yizkor~lookup_pb~1292" TargetMode="External"/><Relationship Id="rId40" Type="http://schemas.openxmlformats.org/officeDocument/2006/relationships/hyperlink" Target="http://data.jewishgen.org/wconnect/wc.dll?jg~jgsys~community~-501166" TargetMode="External"/><Relationship Id="rId5" Type="http://schemas.openxmlformats.org/officeDocument/2006/relationships/hyperlink" Target="http://data.jewishgen.org/wconnect/wc.dll?jg~jgsys~yizkor~lookup_pb~282" TargetMode="External"/><Relationship Id="rId15" Type="http://schemas.openxmlformats.org/officeDocument/2006/relationships/hyperlink" Target="http://data.jewishgen.org/wconnect/wc.dll?jg~jgsys~yizkor~lookup_pb~1427" TargetMode="External"/><Relationship Id="rId23" Type="http://schemas.openxmlformats.org/officeDocument/2006/relationships/hyperlink" Target="http://data.jewishgen.org/wconnect/wc.dll?jg~jgsys~yizkor~lookup_pb~19" TargetMode="External"/><Relationship Id="rId28" Type="http://schemas.openxmlformats.org/officeDocument/2006/relationships/hyperlink" Target="http://data.jewishgen.org/wconnect/wc.dll?jg~jgsys~yizkor~lookup_pb~1244" TargetMode="External"/><Relationship Id="rId36" Type="http://schemas.openxmlformats.org/officeDocument/2006/relationships/hyperlink" Target="http://data.jewishgen.org/wconnect/wc.dll?jg~jgsys~yizkor~lookup_pb~358" TargetMode="External"/><Relationship Id="rId10" Type="http://schemas.openxmlformats.org/officeDocument/2006/relationships/hyperlink" Target="http://data.jewishgen.org/wconnect/wc.dll?jg~jgsys~yizkor~lookup_pb~292" TargetMode="External"/><Relationship Id="rId19" Type="http://schemas.openxmlformats.org/officeDocument/2006/relationships/hyperlink" Target="http://data.jewishgen.org/wconnect/wc.dll?jg~jgsys~yizkor~lookup_pb~21" TargetMode="External"/><Relationship Id="rId31" Type="http://schemas.openxmlformats.org/officeDocument/2006/relationships/hyperlink" Target="http://data.jewishgen.org/wconnect/wc.dll?jg~jgsys~yizkor~lookup_pb~1085" TargetMode="External"/><Relationship Id="rId4" Type="http://schemas.openxmlformats.org/officeDocument/2006/relationships/hyperlink" Target="http://data.jewishgen.org/wconnect/wc.dll?jg~jgsys~yizkor~lookup_pb~1429" TargetMode="External"/><Relationship Id="rId9" Type="http://schemas.openxmlformats.org/officeDocument/2006/relationships/hyperlink" Target="http://data.jewishgen.org/wconnect/wc.dll?jg~jgsys~yizkor~lookup_pb~1282" TargetMode="External"/><Relationship Id="rId14" Type="http://schemas.openxmlformats.org/officeDocument/2006/relationships/hyperlink" Target="http://data.jewishgen.org/wconnect/wc.dll?jg~jgsys~yizkor~lookup_pb~307" TargetMode="External"/><Relationship Id="rId22" Type="http://schemas.openxmlformats.org/officeDocument/2006/relationships/hyperlink" Target="http://data.jewishgen.org/wconnect/wc.dll?jg~jgsys~yizkor~lookup_pb~19" TargetMode="External"/><Relationship Id="rId27" Type="http://schemas.openxmlformats.org/officeDocument/2006/relationships/hyperlink" Target="http://data.jewishgen.org/wconnect/wc.dll?jg~jgsys~yizkor~lookup_pb~21" TargetMode="External"/><Relationship Id="rId30" Type="http://schemas.openxmlformats.org/officeDocument/2006/relationships/hyperlink" Target="http://data.jewishgen.org/wconnect/wc.dll?jg~jgsys~yizkor~lookup_pb~345" TargetMode="External"/><Relationship Id="rId35" Type="http://schemas.openxmlformats.org/officeDocument/2006/relationships/hyperlink" Target="http://data.jewishgen.org/wconnect/wc.dll?jg~jgsys~yizkor~lookup_pb~35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tabSelected="1" zoomScaleNormal="100" workbookViewId="0">
      <pane ySplit="1" topLeftCell="A2" activePane="bottomLeft" state="frozenSplit"/>
      <selection pane="bottomLeft"/>
    </sheetView>
  </sheetViews>
  <sheetFormatPr defaultColWidth="8.85546875" defaultRowHeight="12.75" x14ac:dyDescent="0.2"/>
  <cols>
    <col min="1" max="1" width="10.28515625" style="8" customWidth="1"/>
    <col min="2" max="2" width="15.140625" style="2" customWidth="1"/>
    <col min="3" max="3" width="13.28515625" style="2" customWidth="1"/>
    <col min="4" max="4" width="12.85546875" style="2" customWidth="1"/>
    <col min="5" max="5" width="8" style="14" customWidth="1"/>
    <col min="6" max="6" width="48.42578125" style="2" customWidth="1"/>
    <col min="7" max="7" width="37.5703125" style="2" customWidth="1"/>
    <col min="8" max="8" width="10.5703125" style="12" customWidth="1"/>
    <col min="9" max="9" width="13.28515625" style="2" customWidth="1"/>
    <col min="10" max="16384" width="8.85546875" style="2"/>
  </cols>
  <sheetData>
    <row r="1" spans="1:9" s="16" customFormat="1" ht="27" thickTop="1" thickBot="1" x14ac:dyDescent="0.25">
      <c r="A1" s="20" t="s">
        <v>383</v>
      </c>
      <c r="B1" s="21" t="s">
        <v>384</v>
      </c>
      <c r="C1" s="21" t="s">
        <v>0</v>
      </c>
      <c r="D1" s="22" t="s">
        <v>346</v>
      </c>
      <c r="E1" s="23" t="s">
        <v>344</v>
      </c>
      <c r="F1" s="22" t="s">
        <v>385</v>
      </c>
      <c r="G1" s="24" t="s">
        <v>386</v>
      </c>
      <c r="H1" s="25" t="s">
        <v>413</v>
      </c>
      <c r="I1" s="22" t="s">
        <v>348</v>
      </c>
    </row>
    <row r="2" spans="1:9" s="1" customFormat="1" ht="13.5" thickTop="1" x14ac:dyDescent="0.2">
      <c r="A2" s="17">
        <v>-492452</v>
      </c>
      <c r="B2" s="1" t="s">
        <v>345</v>
      </c>
      <c r="C2" s="1" t="s">
        <v>9</v>
      </c>
      <c r="D2" s="1" t="s">
        <v>347</v>
      </c>
      <c r="E2" s="13">
        <v>4</v>
      </c>
      <c r="F2" s="9" t="s">
        <v>229</v>
      </c>
      <c r="G2" s="1" t="s">
        <v>230</v>
      </c>
      <c r="H2" s="11">
        <v>1516</v>
      </c>
    </row>
    <row r="3" spans="1:9" x14ac:dyDescent="0.2">
      <c r="A3" s="18">
        <v>-1940949</v>
      </c>
      <c r="B3" s="2" t="s">
        <v>349</v>
      </c>
      <c r="C3" s="2" t="s">
        <v>7</v>
      </c>
      <c r="D3" s="2" t="s">
        <v>350</v>
      </c>
      <c r="E3" s="19">
        <v>109</v>
      </c>
      <c r="F3" s="10" t="s">
        <v>10</v>
      </c>
      <c r="G3" s="2" t="s">
        <v>11</v>
      </c>
      <c r="H3" s="12">
        <v>200</v>
      </c>
    </row>
    <row r="4" spans="1:9" ht="12.6" customHeight="1" x14ac:dyDescent="0.2">
      <c r="A4" s="18">
        <v>-1940996</v>
      </c>
      <c r="B4" s="2" t="s">
        <v>2</v>
      </c>
      <c r="C4" s="2" t="s">
        <v>7</v>
      </c>
      <c r="D4" s="2" t="s">
        <v>351</v>
      </c>
      <c r="E4" s="19">
        <v>12</v>
      </c>
      <c r="F4" s="10" t="s">
        <v>14</v>
      </c>
      <c r="G4" s="2" t="s">
        <v>15</v>
      </c>
      <c r="H4" s="12">
        <v>180</v>
      </c>
    </row>
    <row r="5" spans="1:9" x14ac:dyDescent="0.2">
      <c r="A5" s="18">
        <v>-1151501</v>
      </c>
      <c r="B5" s="2" t="s">
        <v>352</v>
      </c>
      <c r="C5" s="2" t="s">
        <v>274</v>
      </c>
      <c r="D5" s="2" t="s">
        <v>353</v>
      </c>
      <c r="E5" s="19">
        <v>1429</v>
      </c>
      <c r="F5" s="6" t="s">
        <v>354</v>
      </c>
      <c r="G5" s="2" t="s">
        <v>78</v>
      </c>
      <c r="H5" s="12">
        <v>134</v>
      </c>
    </row>
    <row r="6" spans="1:9" x14ac:dyDescent="0.2">
      <c r="A6" s="18">
        <v>-1941035</v>
      </c>
      <c r="B6" s="2" t="s">
        <v>355</v>
      </c>
      <c r="C6" s="2" t="s">
        <v>79</v>
      </c>
      <c r="D6" s="2" t="s">
        <v>351</v>
      </c>
      <c r="E6" s="19">
        <v>282</v>
      </c>
      <c r="F6" s="6" t="s">
        <v>80</v>
      </c>
      <c r="G6" s="2" t="s">
        <v>81</v>
      </c>
      <c r="H6" s="12">
        <v>27</v>
      </c>
    </row>
    <row r="7" spans="1:9" x14ac:dyDescent="0.2">
      <c r="A7" s="18">
        <v>-493096</v>
      </c>
      <c r="B7" s="2" t="s">
        <v>356</v>
      </c>
      <c r="C7" s="2" t="s">
        <v>9</v>
      </c>
      <c r="D7" s="2" t="s">
        <v>357</v>
      </c>
      <c r="E7" s="19">
        <v>9</v>
      </c>
      <c r="F7" s="6" t="s">
        <v>35</v>
      </c>
      <c r="G7" s="2" t="s">
        <v>417</v>
      </c>
      <c r="H7" s="12">
        <v>2144</v>
      </c>
    </row>
    <row r="8" spans="1:9" x14ac:dyDescent="0.2">
      <c r="A8" s="18">
        <v>-493096</v>
      </c>
      <c r="B8" s="2" t="s">
        <v>356</v>
      </c>
      <c r="C8" s="2" t="s">
        <v>82</v>
      </c>
      <c r="D8" s="2" t="s">
        <v>357</v>
      </c>
      <c r="E8" s="19">
        <v>9</v>
      </c>
      <c r="F8" s="6" t="s">
        <v>35</v>
      </c>
      <c r="G8" s="2" t="s">
        <v>83</v>
      </c>
      <c r="H8" s="12">
        <v>2040</v>
      </c>
    </row>
    <row r="9" spans="1:9" x14ac:dyDescent="0.2">
      <c r="A9" s="18">
        <v>-493112</v>
      </c>
      <c r="B9" s="2" t="s">
        <v>358</v>
      </c>
      <c r="C9" s="2" t="s">
        <v>82</v>
      </c>
      <c r="D9" s="2" t="s">
        <v>357</v>
      </c>
      <c r="E9" s="19">
        <v>1282</v>
      </c>
      <c r="F9" s="6" t="s">
        <v>84</v>
      </c>
      <c r="G9" s="2" t="s">
        <v>85</v>
      </c>
      <c r="H9" s="12">
        <v>75</v>
      </c>
    </row>
    <row r="10" spans="1:9" s="1" customFormat="1" x14ac:dyDescent="0.2">
      <c r="A10" s="17">
        <v>-493112</v>
      </c>
      <c r="B10" s="1" t="s">
        <v>358</v>
      </c>
      <c r="C10" s="1" t="s">
        <v>9</v>
      </c>
      <c r="D10" s="1" t="s">
        <v>357</v>
      </c>
      <c r="E10" s="13">
        <v>1281</v>
      </c>
      <c r="F10" s="9" t="s">
        <v>231</v>
      </c>
      <c r="G10" s="1" t="s">
        <v>232</v>
      </c>
      <c r="H10" s="11">
        <v>16</v>
      </c>
    </row>
    <row r="11" spans="1:9" x14ac:dyDescent="0.2">
      <c r="A11" s="18">
        <v>-493500</v>
      </c>
      <c r="B11" s="2" t="s">
        <v>359</v>
      </c>
      <c r="C11" s="2" t="s">
        <v>82</v>
      </c>
      <c r="D11" s="2" t="s">
        <v>3</v>
      </c>
      <c r="E11" s="19">
        <v>292</v>
      </c>
      <c r="F11" s="6" t="s">
        <v>86</v>
      </c>
      <c r="G11" s="2" t="s">
        <v>87</v>
      </c>
      <c r="H11" s="12">
        <v>1267</v>
      </c>
    </row>
    <row r="12" spans="1:9" x14ac:dyDescent="0.2">
      <c r="A12" s="18">
        <v>-1152958</v>
      </c>
      <c r="B12" s="2" t="s">
        <v>360</v>
      </c>
      <c r="C12" s="2" t="s">
        <v>274</v>
      </c>
      <c r="D12" s="2" t="s">
        <v>361</v>
      </c>
      <c r="E12" s="19">
        <v>93</v>
      </c>
      <c r="F12" s="6" t="s">
        <v>88</v>
      </c>
      <c r="G12" s="2" t="s">
        <v>89</v>
      </c>
      <c r="H12" s="12">
        <v>91</v>
      </c>
    </row>
    <row r="13" spans="1:9" x14ac:dyDescent="0.2">
      <c r="A13" s="18">
        <v>-1035787</v>
      </c>
      <c r="B13" s="2" t="s">
        <v>90</v>
      </c>
      <c r="C13" s="2" t="s">
        <v>40</v>
      </c>
      <c r="D13" s="2" t="s">
        <v>362</v>
      </c>
      <c r="E13" s="19">
        <v>302</v>
      </c>
      <c r="F13" s="6" t="s">
        <v>91</v>
      </c>
      <c r="G13" s="2" t="s">
        <v>92</v>
      </c>
      <c r="H13" s="12">
        <v>302</v>
      </c>
    </row>
    <row r="14" spans="1:9" s="1" customFormat="1" x14ac:dyDescent="0.2">
      <c r="A14" s="17">
        <v>-542599</v>
      </c>
      <c r="B14" s="1" t="s">
        <v>233</v>
      </c>
      <c r="C14" s="1" t="s">
        <v>234</v>
      </c>
      <c r="D14" s="1" t="s">
        <v>233</v>
      </c>
      <c r="E14" s="13">
        <v>1456</v>
      </c>
      <c r="F14" s="9" t="s">
        <v>235</v>
      </c>
      <c r="G14" s="1" t="s">
        <v>236</v>
      </c>
      <c r="H14" s="11">
        <v>288</v>
      </c>
    </row>
    <row r="15" spans="1:9" s="1" customFormat="1" x14ac:dyDescent="0.2">
      <c r="A15" s="17">
        <v>-1751596</v>
      </c>
      <c r="B15" s="1" t="s">
        <v>237</v>
      </c>
      <c r="C15" s="1" t="s">
        <v>238</v>
      </c>
      <c r="D15" s="1" t="s">
        <v>238</v>
      </c>
      <c r="E15" s="13">
        <v>1079</v>
      </c>
      <c r="F15" s="9" t="s">
        <v>239</v>
      </c>
      <c r="G15" s="1" t="s">
        <v>240</v>
      </c>
      <c r="H15" s="11">
        <v>937</v>
      </c>
    </row>
    <row r="16" spans="1:9" s="1" customFormat="1" x14ac:dyDescent="0.2">
      <c r="A16" s="17">
        <v>-1941830</v>
      </c>
      <c r="B16" s="1" t="s">
        <v>241</v>
      </c>
      <c r="C16" s="1" t="s">
        <v>7</v>
      </c>
      <c r="D16" s="1" t="s">
        <v>3</v>
      </c>
      <c r="E16" s="13">
        <v>307</v>
      </c>
      <c r="F16" s="9" t="s">
        <v>94</v>
      </c>
      <c r="G16" s="1" t="s">
        <v>242</v>
      </c>
      <c r="H16" s="11">
        <v>183</v>
      </c>
    </row>
    <row r="17" spans="1:8" x14ac:dyDescent="0.2">
      <c r="A17" s="18">
        <v>-1941830</v>
      </c>
      <c r="B17" s="2" t="s">
        <v>93</v>
      </c>
      <c r="C17" s="2" t="s">
        <v>79</v>
      </c>
      <c r="D17" s="2" t="s">
        <v>3</v>
      </c>
      <c r="E17" s="19">
        <v>1427</v>
      </c>
      <c r="F17" s="6" t="s">
        <v>94</v>
      </c>
      <c r="G17" s="2" t="s">
        <v>416</v>
      </c>
      <c r="H17" s="12">
        <v>54</v>
      </c>
    </row>
    <row r="18" spans="1:8" x14ac:dyDescent="0.2">
      <c r="A18" s="18">
        <v>-495559</v>
      </c>
      <c r="B18" s="2" t="s">
        <v>95</v>
      </c>
      <c r="C18" s="2" t="s">
        <v>82</v>
      </c>
      <c r="D18" s="2" t="s">
        <v>357</v>
      </c>
      <c r="E18" s="19">
        <v>308</v>
      </c>
      <c r="F18" s="6" t="s">
        <v>96</v>
      </c>
      <c r="G18" s="2" t="s">
        <v>97</v>
      </c>
      <c r="H18" s="12">
        <v>308</v>
      </c>
    </row>
    <row r="19" spans="1:8" x14ac:dyDescent="0.2">
      <c r="A19" s="18">
        <v>-2894002</v>
      </c>
      <c r="B19" s="2" t="s">
        <v>366</v>
      </c>
      <c r="C19" s="2" t="s">
        <v>274</v>
      </c>
      <c r="D19" s="2" t="s">
        <v>367</v>
      </c>
      <c r="E19" s="19">
        <v>19</v>
      </c>
      <c r="F19" s="6" t="s">
        <v>99</v>
      </c>
      <c r="G19" s="2" t="s">
        <v>100</v>
      </c>
      <c r="H19" s="12">
        <v>232</v>
      </c>
    </row>
    <row r="20" spans="1:8" x14ac:dyDescent="0.2">
      <c r="A20" s="18">
        <v>-2894002</v>
      </c>
      <c r="B20" s="2" t="s">
        <v>98</v>
      </c>
      <c r="C20" s="2" t="s">
        <v>274</v>
      </c>
      <c r="D20" s="2" t="s">
        <v>367</v>
      </c>
      <c r="E20" s="19">
        <v>19</v>
      </c>
      <c r="F20" s="6" t="s">
        <v>99</v>
      </c>
      <c r="G20" s="2" t="s">
        <v>100</v>
      </c>
      <c r="H20" s="12">
        <v>1224</v>
      </c>
    </row>
    <row r="21" spans="1:8" x14ac:dyDescent="0.2">
      <c r="A21" s="18">
        <v>-1942010</v>
      </c>
      <c r="B21" s="2" t="s">
        <v>101</v>
      </c>
      <c r="C21" s="2" t="s">
        <v>79</v>
      </c>
      <c r="D21" s="2" t="s">
        <v>3</v>
      </c>
      <c r="E21" s="19">
        <v>978</v>
      </c>
      <c r="F21" s="6" t="s">
        <v>102</v>
      </c>
      <c r="G21" s="2" t="s">
        <v>103</v>
      </c>
      <c r="H21" s="12">
        <v>872</v>
      </c>
    </row>
    <row r="22" spans="1:8" x14ac:dyDescent="0.2">
      <c r="A22" s="18">
        <v>-1942035</v>
      </c>
      <c r="B22" s="2" t="s">
        <v>104</v>
      </c>
      <c r="C22" s="2" t="s">
        <v>79</v>
      </c>
      <c r="D22" s="2" t="s">
        <v>3</v>
      </c>
      <c r="E22" s="19">
        <v>313</v>
      </c>
      <c r="F22" s="6" t="s">
        <v>105</v>
      </c>
      <c r="G22" s="2" t="s">
        <v>106</v>
      </c>
      <c r="H22" s="12">
        <v>255</v>
      </c>
    </row>
    <row r="23" spans="1:8" x14ac:dyDescent="0.2">
      <c r="A23" s="18">
        <v>-498439</v>
      </c>
      <c r="B23" s="2" t="s">
        <v>363</v>
      </c>
      <c r="C23" s="2" t="s">
        <v>82</v>
      </c>
      <c r="D23" s="2" t="s">
        <v>357</v>
      </c>
      <c r="E23" s="19">
        <v>21</v>
      </c>
      <c r="F23" s="6" t="s">
        <v>107</v>
      </c>
      <c r="G23" s="2" t="s">
        <v>108</v>
      </c>
      <c r="H23" s="12">
        <v>676</v>
      </c>
    </row>
    <row r="24" spans="1:8" x14ac:dyDescent="0.2">
      <c r="A24" s="18">
        <v>1156174</v>
      </c>
      <c r="B24" s="2" t="s">
        <v>364</v>
      </c>
      <c r="C24" s="2" t="s">
        <v>109</v>
      </c>
      <c r="D24" s="2" t="s">
        <v>365</v>
      </c>
      <c r="E24" s="19">
        <v>180</v>
      </c>
      <c r="F24" s="6" t="s">
        <v>110</v>
      </c>
      <c r="G24" s="2" t="s">
        <v>111</v>
      </c>
      <c r="H24" s="12">
        <v>1566</v>
      </c>
    </row>
    <row r="25" spans="1:8" x14ac:dyDescent="0.2">
      <c r="A25" s="18">
        <v>-1756822</v>
      </c>
      <c r="B25" s="2" t="s">
        <v>112</v>
      </c>
      <c r="C25" s="2" t="s">
        <v>113</v>
      </c>
      <c r="D25" s="2" t="s">
        <v>238</v>
      </c>
      <c r="E25" s="19">
        <v>1356</v>
      </c>
      <c r="F25" s="6" t="s">
        <v>114</v>
      </c>
      <c r="G25" s="2" t="s">
        <v>115</v>
      </c>
      <c r="H25" s="12">
        <v>754</v>
      </c>
    </row>
    <row r="26" spans="1:8" x14ac:dyDescent="0.2">
      <c r="A26" s="18">
        <v>-1037073</v>
      </c>
      <c r="B26" s="2" t="s">
        <v>368</v>
      </c>
      <c r="C26" s="2" t="s">
        <v>116</v>
      </c>
      <c r="D26" s="2" t="s">
        <v>367</v>
      </c>
      <c r="E26" s="19">
        <v>19</v>
      </c>
      <c r="F26" s="6" t="s">
        <v>99</v>
      </c>
      <c r="G26" s="2" t="s">
        <v>117</v>
      </c>
      <c r="H26" s="12">
        <v>71</v>
      </c>
    </row>
    <row r="27" spans="1:8" s="1" customFormat="1" x14ac:dyDescent="0.2">
      <c r="A27" s="17">
        <v>-1037073</v>
      </c>
      <c r="B27" s="2" t="s">
        <v>368</v>
      </c>
      <c r="C27" s="1" t="s">
        <v>40</v>
      </c>
      <c r="D27" s="2" t="s">
        <v>367</v>
      </c>
      <c r="E27" s="13">
        <v>19</v>
      </c>
      <c r="F27" s="6" t="s">
        <v>99</v>
      </c>
      <c r="G27" s="1" t="s">
        <v>236</v>
      </c>
      <c r="H27" s="11">
        <v>963</v>
      </c>
    </row>
    <row r="28" spans="1:8" x14ac:dyDescent="0.2">
      <c r="A28" s="18">
        <v>-498439</v>
      </c>
      <c r="B28" s="2" t="s">
        <v>363</v>
      </c>
      <c r="C28" s="2" t="s">
        <v>9</v>
      </c>
      <c r="D28" s="2" t="s">
        <v>357</v>
      </c>
      <c r="E28" s="19">
        <v>21</v>
      </c>
      <c r="F28" s="6" t="s">
        <v>51</v>
      </c>
      <c r="G28" s="2" t="s">
        <v>369</v>
      </c>
      <c r="H28" s="12">
        <v>2908</v>
      </c>
    </row>
    <row r="29" spans="1:8" s="1" customFormat="1" x14ac:dyDescent="0.2">
      <c r="A29" s="17">
        <v>-501400</v>
      </c>
      <c r="B29" s="1" t="s">
        <v>370</v>
      </c>
      <c r="C29" s="1" t="s">
        <v>9</v>
      </c>
      <c r="D29" s="1" t="s">
        <v>371</v>
      </c>
      <c r="E29" s="13">
        <v>1244</v>
      </c>
      <c r="F29" s="9" t="s">
        <v>243</v>
      </c>
      <c r="G29" s="1" t="s">
        <v>244</v>
      </c>
      <c r="H29" s="11">
        <v>155</v>
      </c>
    </row>
    <row r="30" spans="1:8" x14ac:dyDescent="0.2">
      <c r="A30" s="18">
        <v>-1038165</v>
      </c>
      <c r="B30" s="2" t="s">
        <v>372</v>
      </c>
      <c r="C30" s="2" t="s">
        <v>40</v>
      </c>
      <c r="D30" s="2" t="s">
        <v>373</v>
      </c>
      <c r="E30" s="19">
        <v>93</v>
      </c>
      <c r="F30" s="6" t="s">
        <v>88</v>
      </c>
      <c r="G30" s="2" t="s">
        <v>89</v>
      </c>
      <c r="H30" s="12">
        <v>39</v>
      </c>
    </row>
    <row r="31" spans="1:8" x14ac:dyDescent="0.2">
      <c r="A31" s="18">
        <v>-1038219</v>
      </c>
      <c r="B31" s="2" t="s">
        <v>118</v>
      </c>
      <c r="C31" s="2" t="s">
        <v>116</v>
      </c>
      <c r="D31" s="2" t="s">
        <v>374</v>
      </c>
      <c r="E31" s="19">
        <v>345</v>
      </c>
      <c r="F31" s="6" t="s">
        <v>119</v>
      </c>
      <c r="G31" s="2" t="s">
        <v>120</v>
      </c>
      <c r="H31" s="12">
        <v>80</v>
      </c>
    </row>
    <row r="32" spans="1:8" x14ac:dyDescent="0.2">
      <c r="A32" s="18">
        <v>-2276292</v>
      </c>
      <c r="B32" s="2" t="s">
        <v>375</v>
      </c>
      <c r="C32" s="2" t="s">
        <v>121</v>
      </c>
      <c r="D32" s="2" t="s">
        <v>376</v>
      </c>
      <c r="E32" s="19">
        <v>1085</v>
      </c>
      <c r="F32" s="6" t="s">
        <v>122</v>
      </c>
      <c r="G32" s="2" t="s">
        <v>123</v>
      </c>
      <c r="H32" s="12">
        <v>260</v>
      </c>
    </row>
    <row r="33" spans="1:8" x14ac:dyDescent="0.2">
      <c r="A33" s="18">
        <v>-852501</v>
      </c>
      <c r="B33" s="2" t="s">
        <v>124</v>
      </c>
      <c r="C33" s="2" t="s">
        <v>125</v>
      </c>
      <c r="D33" s="2" t="s">
        <v>377</v>
      </c>
      <c r="E33" s="19">
        <v>1077</v>
      </c>
      <c r="F33" s="6" t="s">
        <v>378</v>
      </c>
      <c r="G33" s="2" t="s">
        <v>126</v>
      </c>
      <c r="H33" s="12">
        <v>94</v>
      </c>
    </row>
    <row r="34" spans="1:8" x14ac:dyDescent="0.2">
      <c r="A34" s="18">
        <v>-2614051</v>
      </c>
      <c r="B34" s="2" t="s">
        <v>1</v>
      </c>
      <c r="C34" s="2" t="s">
        <v>8</v>
      </c>
      <c r="D34" s="2" t="s">
        <v>379</v>
      </c>
      <c r="E34" s="19">
        <v>350</v>
      </c>
      <c r="F34" s="10" t="s">
        <v>12</v>
      </c>
      <c r="G34" s="2" t="s">
        <v>13</v>
      </c>
      <c r="H34" s="12">
        <v>150</v>
      </c>
    </row>
    <row r="35" spans="1:8" x14ac:dyDescent="0.2">
      <c r="A35" s="18">
        <v>-500386</v>
      </c>
      <c r="B35" s="2" t="s">
        <v>380</v>
      </c>
      <c r="C35" s="2" t="s">
        <v>82</v>
      </c>
      <c r="D35" s="2" t="s">
        <v>362</v>
      </c>
      <c r="E35" s="19">
        <v>351</v>
      </c>
      <c r="F35" s="6" t="s">
        <v>127</v>
      </c>
      <c r="G35" s="2" t="s">
        <v>128</v>
      </c>
      <c r="H35" s="12">
        <v>405</v>
      </c>
    </row>
    <row r="36" spans="1:8" x14ac:dyDescent="0.2">
      <c r="A36" s="18">
        <v>-500433</v>
      </c>
      <c r="B36" s="2" t="s">
        <v>381</v>
      </c>
      <c r="C36" s="2" t="s">
        <v>82</v>
      </c>
      <c r="D36" s="2" t="s">
        <v>25</v>
      </c>
      <c r="E36" s="19">
        <v>353</v>
      </c>
      <c r="F36" s="6" t="s">
        <v>129</v>
      </c>
      <c r="G36" s="2" t="s">
        <v>130</v>
      </c>
      <c r="H36" s="12">
        <v>145</v>
      </c>
    </row>
    <row r="37" spans="1:8" x14ac:dyDescent="0.2">
      <c r="A37" s="18">
        <v>-853159</v>
      </c>
      <c r="B37" s="2" t="s">
        <v>382</v>
      </c>
      <c r="C37" s="2" t="s">
        <v>125</v>
      </c>
      <c r="D37" s="2" t="s">
        <v>377</v>
      </c>
      <c r="E37" s="19">
        <v>358</v>
      </c>
      <c r="F37" s="6" t="s">
        <v>131</v>
      </c>
      <c r="G37" s="2" t="s">
        <v>132</v>
      </c>
      <c r="H37" s="12">
        <v>455</v>
      </c>
    </row>
    <row r="38" spans="1:8" x14ac:dyDescent="0.2">
      <c r="A38" s="18">
        <v>-817423</v>
      </c>
      <c r="B38" s="2" t="s">
        <v>133</v>
      </c>
      <c r="C38" s="2" t="s">
        <v>134</v>
      </c>
      <c r="D38" s="2" t="s">
        <v>29</v>
      </c>
      <c r="E38" s="19">
        <v>1292</v>
      </c>
      <c r="F38" s="6" t="s">
        <v>135</v>
      </c>
      <c r="G38" s="2" t="s">
        <v>136</v>
      </c>
      <c r="H38" s="12">
        <v>295</v>
      </c>
    </row>
    <row r="39" spans="1:8" x14ac:dyDescent="0.2">
      <c r="A39" s="18">
        <v>-501031</v>
      </c>
      <c r="B39" s="2" t="s">
        <v>414</v>
      </c>
      <c r="C39" s="2" t="s">
        <v>9</v>
      </c>
      <c r="D39" s="2" t="s">
        <v>415</v>
      </c>
      <c r="E39" s="19">
        <v>1376</v>
      </c>
      <c r="F39" s="6" t="s">
        <v>60</v>
      </c>
      <c r="G39" s="2" t="s">
        <v>61</v>
      </c>
      <c r="H39" s="12">
        <v>339</v>
      </c>
    </row>
    <row r="40" spans="1:8" x14ac:dyDescent="0.2">
      <c r="A40" s="18">
        <v>-501166</v>
      </c>
      <c r="B40" s="2" t="s">
        <v>137</v>
      </c>
      <c r="C40" s="2" t="s">
        <v>9</v>
      </c>
      <c r="D40" s="2" t="s">
        <v>388</v>
      </c>
      <c r="E40" s="14">
        <v>1508</v>
      </c>
      <c r="F40" s="10" t="s">
        <v>138</v>
      </c>
      <c r="G40" s="2" t="s">
        <v>139</v>
      </c>
      <c r="H40" s="12">
        <v>300</v>
      </c>
    </row>
    <row r="41" spans="1:8" x14ac:dyDescent="0.2">
      <c r="B41" s="2" t="s">
        <v>140</v>
      </c>
      <c r="C41" s="2" t="s">
        <v>274</v>
      </c>
      <c r="D41" s="2" t="s">
        <v>361</v>
      </c>
      <c r="E41" s="14">
        <v>93</v>
      </c>
      <c r="F41" s="6" t="s">
        <v>88</v>
      </c>
      <c r="G41" s="2" t="s">
        <v>89</v>
      </c>
      <c r="H41" s="12">
        <v>50</v>
      </c>
    </row>
    <row r="42" spans="1:8" x14ac:dyDescent="0.2">
      <c r="B42" s="2" t="s">
        <v>141</v>
      </c>
      <c r="C42" s="2" t="s">
        <v>116</v>
      </c>
      <c r="E42" s="14">
        <v>37</v>
      </c>
      <c r="F42" s="6" t="s">
        <v>142</v>
      </c>
      <c r="G42" s="2" t="s">
        <v>106</v>
      </c>
      <c r="H42" s="12">
        <v>239</v>
      </c>
    </row>
    <row r="43" spans="1:8" x14ac:dyDescent="0.2">
      <c r="B43" s="2" t="s">
        <v>143</v>
      </c>
      <c r="C43" s="2" t="s">
        <v>82</v>
      </c>
      <c r="E43" s="14">
        <v>365</v>
      </c>
      <c r="F43" s="6" t="s">
        <v>144</v>
      </c>
      <c r="G43" s="2" t="s">
        <v>145</v>
      </c>
      <c r="H43" s="12">
        <v>555</v>
      </c>
    </row>
    <row r="44" spans="1:8" s="1" customFormat="1" x14ac:dyDescent="0.2">
      <c r="A44" s="7"/>
      <c r="B44" s="1" t="s">
        <v>245</v>
      </c>
      <c r="C44" s="1" t="s">
        <v>40</v>
      </c>
      <c r="E44" s="15">
        <v>272</v>
      </c>
      <c r="F44" s="9" t="s">
        <v>246</v>
      </c>
      <c r="G44" s="1" t="s">
        <v>247</v>
      </c>
      <c r="H44" s="11">
        <v>829</v>
      </c>
    </row>
    <row r="45" spans="1:8" x14ac:dyDescent="0.2">
      <c r="B45" s="2" t="s">
        <v>146</v>
      </c>
      <c r="C45" s="2" t="s">
        <v>147</v>
      </c>
      <c r="E45" s="14">
        <v>360</v>
      </c>
      <c r="F45" s="6" t="s">
        <v>148</v>
      </c>
      <c r="G45" s="2" t="s">
        <v>149</v>
      </c>
      <c r="H45" s="12">
        <v>348</v>
      </c>
    </row>
    <row r="46" spans="1:8" x14ac:dyDescent="0.2">
      <c r="B46" s="2" t="s">
        <v>3</v>
      </c>
      <c r="C46" s="2" t="s">
        <v>7</v>
      </c>
      <c r="E46" s="14">
        <v>41</v>
      </c>
      <c r="F46" s="10" t="s">
        <v>16</v>
      </c>
      <c r="G46" s="2" t="s">
        <v>17</v>
      </c>
      <c r="H46" s="12">
        <v>601</v>
      </c>
    </row>
    <row r="47" spans="1:8" s="1" customFormat="1" x14ac:dyDescent="0.2">
      <c r="A47" s="7"/>
      <c r="B47" s="1" t="s">
        <v>248</v>
      </c>
      <c r="C47" s="1" t="s">
        <v>249</v>
      </c>
      <c r="E47" s="15">
        <v>1453</v>
      </c>
      <c r="F47" s="9" t="s">
        <v>151</v>
      </c>
      <c r="G47" s="1" t="s">
        <v>250</v>
      </c>
      <c r="H47" s="11">
        <v>26</v>
      </c>
    </row>
    <row r="48" spans="1:8" x14ac:dyDescent="0.2">
      <c r="B48" s="2" t="s">
        <v>248</v>
      </c>
      <c r="C48" s="2" t="s">
        <v>150</v>
      </c>
      <c r="E48" s="14">
        <v>1453</v>
      </c>
      <c r="F48" s="6" t="s">
        <v>151</v>
      </c>
      <c r="G48" s="2" t="s">
        <v>152</v>
      </c>
      <c r="H48" s="12">
        <v>203</v>
      </c>
    </row>
    <row r="49" spans="1:8" x14ac:dyDescent="0.2">
      <c r="B49" s="2" t="s">
        <v>153</v>
      </c>
      <c r="C49" s="2" t="s">
        <v>109</v>
      </c>
      <c r="E49" s="14">
        <v>972</v>
      </c>
      <c r="F49" s="6" t="s">
        <v>154</v>
      </c>
      <c r="G49" s="2" t="s">
        <v>155</v>
      </c>
      <c r="H49" s="12">
        <v>247</v>
      </c>
    </row>
    <row r="50" spans="1:8" x14ac:dyDescent="0.2">
      <c r="B50" s="2" t="s">
        <v>156</v>
      </c>
      <c r="C50" s="2" t="s">
        <v>116</v>
      </c>
      <c r="E50" s="14">
        <v>259</v>
      </c>
      <c r="F50" s="6" t="s">
        <v>157</v>
      </c>
      <c r="G50" s="2" t="s">
        <v>158</v>
      </c>
      <c r="H50" s="12">
        <v>420</v>
      </c>
    </row>
    <row r="51" spans="1:8" s="1" customFormat="1" x14ac:dyDescent="0.2">
      <c r="A51" s="7"/>
      <c r="B51" s="1" t="s">
        <v>251</v>
      </c>
      <c r="C51" s="1" t="s">
        <v>40</v>
      </c>
      <c r="E51" s="15">
        <v>388</v>
      </c>
      <c r="F51" s="9" t="s">
        <v>56</v>
      </c>
      <c r="G51" s="1" t="s">
        <v>252</v>
      </c>
      <c r="H51" s="11">
        <v>196</v>
      </c>
    </row>
    <row r="52" spans="1:8" s="1" customFormat="1" x14ac:dyDescent="0.2">
      <c r="A52" s="7"/>
      <c r="B52" s="1" t="s">
        <v>253</v>
      </c>
      <c r="C52" s="1" t="s">
        <v>9</v>
      </c>
      <c r="E52" s="15">
        <v>389</v>
      </c>
      <c r="F52" s="9" t="s">
        <v>254</v>
      </c>
      <c r="G52" s="1" t="s">
        <v>255</v>
      </c>
      <c r="H52" s="11">
        <v>1380</v>
      </c>
    </row>
    <row r="53" spans="1:8" x14ac:dyDescent="0.2">
      <c r="B53" s="2" t="s">
        <v>159</v>
      </c>
      <c r="C53" s="2" t="s">
        <v>82</v>
      </c>
      <c r="E53" s="14">
        <v>48</v>
      </c>
      <c r="F53" s="6" t="s">
        <v>160</v>
      </c>
      <c r="G53" s="2" t="s">
        <v>161</v>
      </c>
      <c r="H53" s="12">
        <v>460</v>
      </c>
    </row>
    <row r="54" spans="1:8" s="1" customFormat="1" x14ac:dyDescent="0.2">
      <c r="A54" s="7"/>
      <c r="B54" s="2" t="s">
        <v>159</v>
      </c>
      <c r="C54" s="1" t="s">
        <v>9</v>
      </c>
      <c r="E54" s="15">
        <v>48</v>
      </c>
      <c r="F54" s="9" t="s">
        <v>334</v>
      </c>
      <c r="G54" s="1" t="s">
        <v>335</v>
      </c>
      <c r="H54" s="11">
        <v>194</v>
      </c>
    </row>
    <row r="55" spans="1:8" s="1" customFormat="1" x14ac:dyDescent="0.2">
      <c r="A55" s="7"/>
      <c r="B55" s="1" t="s">
        <v>256</v>
      </c>
      <c r="C55" s="1" t="s">
        <v>8</v>
      </c>
      <c r="E55" s="15">
        <v>940</v>
      </c>
      <c r="F55" s="9" t="s">
        <v>257</v>
      </c>
      <c r="G55" s="1" t="s">
        <v>258</v>
      </c>
      <c r="H55" s="11">
        <v>156</v>
      </c>
    </row>
    <row r="56" spans="1:8" x14ac:dyDescent="0.2">
      <c r="B56" s="2" t="s">
        <v>25</v>
      </c>
      <c r="C56" s="2" t="s">
        <v>9</v>
      </c>
      <c r="E56" s="14">
        <v>410</v>
      </c>
      <c r="F56" s="6" t="s">
        <v>26</v>
      </c>
      <c r="G56" s="2" t="s">
        <v>27</v>
      </c>
      <c r="H56" s="12">
        <v>1902</v>
      </c>
    </row>
    <row r="57" spans="1:8" x14ac:dyDescent="0.2">
      <c r="B57" s="2" t="s">
        <v>163</v>
      </c>
      <c r="C57" s="2" t="s">
        <v>79</v>
      </c>
      <c r="E57" s="14">
        <v>57</v>
      </c>
      <c r="F57" s="6" t="s">
        <v>164</v>
      </c>
      <c r="G57" s="2" t="s">
        <v>165</v>
      </c>
      <c r="H57" s="12">
        <v>66</v>
      </c>
    </row>
    <row r="58" spans="1:8" s="1" customFormat="1" x14ac:dyDescent="0.2">
      <c r="A58" s="7"/>
      <c r="B58" s="1" t="s">
        <v>259</v>
      </c>
      <c r="C58" s="1" t="s">
        <v>7</v>
      </c>
      <c r="E58" s="15">
        <v>413</v>
      </c>
      <c r="F58" s="9" t="s">
        <v>260</v>
      </c>
      <c r="G58" s="1" t="s">
        <v>261</v>
      </c>
      <c r="H58" s="11">
        <v>1699</v>
      </c>
    </row>
    <row r="59" spans="1:8" x14ac:dyDescent="0.2">
      <c r="B59" s="1" t="s">
        <v>259</v>
      </c>
      <c r="C59" s="2" t="s">
        <v>79</v>
      </c>
      <c r="E59" s="14">
        <v>59</v>
      </c>
      <c r="F59" s="6" t="s">
        <v>166</v>
      </c>
      <c r="G59" s="2" t="s">
        <v>167</v>
      </c>
      <c r="H59" s="12">
        <v>1752</v>
      </c>
    </row>
    <row r="60" spans="1:8" s="1" customFormat="1" x14ac:dyDescent="0.2">
      <c r="A60" s="7"/>
      <c r="B60" s="1" t="s">
        <v>262</v>
      </c>
      <c r="C60" s="1" t="s">
        <v>9</v>
      </c>
      <c r="E60" s="15">
        <v>64</v>
      </c>
      <c r="F60" s="9" t="s">
        <v>263</v>
      </c>
      <c r="G60" s="1" t="s">
        <v>264</v>
      </c>
      <c r="H60" s="11">
        <v>135</v>
      </c>
    </row>
    <row r="61" spans="1:8" x14ac:dyDescent="0.2">
      <c r="B61" s="1" t="s">
        <v>262</v>
      </c>
      <c r="C61" s="2" t="s">
        <v>82</v>
      </c>
      <c r="E61" s="14">
        <v>64</v>
      </c>
      <c r="F61" s="6" t="s">
        <v>171</v>
      </c>
      <c r="G61" s="2" t="s">
        <v>172</v>
      </c>
      <c r="H61" s="12">
        <v>979</v>
      </c>
    </row>
    <row r="62" spans="1:8" x14ac:dyDescent="0.2">
      <c r="B62" s="2" t="s">
        <v>168</v>
      </c>
      <c r="C62" s="2" t="s">
        <v>82</v>
      </c>
      <c r="E62" s="14">
        <v>60</v>
      </c>
      <c r="F62" s="6" t="s">
        <v>169</v>
      </c>
      <c r="G62" s="2" t="s">
        <v>170</v>
      </c>
      <c r="H62" s="12">
        <v>541</v>
      </c>
    </row>
    <row r="63" spans="1:8" x14ac:dyDescent="0.2">
      <c r="B63" s="2" t="s">
        <v>173</v>
      </c>
      <c r="C63" s="2" t="s">
        <v>274</v>
      </c>
      <c r="D63" s="2" t="s">
        <v>361</v>
      </c>
      <c r="E63" s="14">
        <v>93</v>
      </c>
      <c r="F63" s="6" t="s">
        <v>88</v>
      </c>
      <c r="G63" s="2" t="s">
        <v>89</v>
      </c>
      <c r="H63" s="12">
        <v>8</v>
      </c>
    </row>
    <row r="64" spans="1:8" x14ac:dyDescent="0.2">
      <c r="B64" s="2" t="s">
        <v>50</v>
      </c>
      <c r="C64" s="2" t="s">
        <v>82</v>
      </c>
      <c r="E64" s="14">
        <v>1306</v>
      </c>
      <c r="F64" s="6" t="s">
        <v>174</v>
      </c>
      <c r="G64" s="2" t="s">
        <v>175</v>
      </c>
      <c r="H64" s="12">
        <v>459</v>
      </c>
    </row>
    <row r="65" spans="1:8" x14ac:dyDescent="0.2">
      <c r="B65" s="2" t="s">
        <v>176</v>
      </c>
      <c r="C65" s="2" t="s">
        <v>116</v>
      </c>
      <c r="E65" s="14">
        <v>1313</v>
      </c>
      <c r="F65" s="6" t="s">
        <v>177</v>
      </c>
      <c r="G65" s="2" t="s">
        <v>167</v>
      </c>
      <c r="H65" s="12">
        <v>639</v>
      </c>
    </row>
    <row r="66" spans="1:8" x14ac:dyDescent="0.2">
      <c r="B66" s="2" t="s">
        <v>176</v>
      </c>
      <c r="C66" s="2" t="s">
        <v>116</v>
      </c>
      <c r="E66" s="14">
        <v>1455</v>
      </c>
      <c r="F66" s="6" t="s">
        <v>178</v>
      </c>
      <c r="G66" s="2" t="s">
        <v>167</v>
      </c>
      <c r="H66" s="12">
        <v>1202</v>
      </c>
    </row>
    <row r="67" spans="1:8" x14ac:dyDescent="0.2">
      <c r="B67" s="2" t="s">
        <v>179</v>
      </c>
      <c r="C67" s="2" t="s">
        <v>274</v>
      </c>
      <c r="D67" s="2" t="s">
        <v>361</v>
      </c>
      <c r="E67" s="14">
        <v>93</v>
      </c>
      <c r="F67" s="6" t="s">
        <v>88</v>
      </c>
      <c r="G67" s="2" t="s">
        <v>89</v>
      </c>
      <c r="H67" s="12">
        <v>72</v>
      </c>
    </row>
    <row r="68" spans="1:8" ht="12.6" customHeight="1" x14ac:dyDescent="0.2">
      <c r="B68" s="2" t="s">
        <v>180</v>
      </c>
      <c r="C68" s="2" t="s">
        <v>82</v>
      </c>
      <c r="E68" s="14">
        <v>442</v>
      </c>
      <c r="F68" s="6" t="s">
        <v>181</v>
      </c>
      <c r="G68" s="2" t="s">
        <v>182</v>
      </c>
      <c r="H68" s="12">
        <v>112</v>
      </c>
    </row>
    <row r="69" spans="1:8" s="1" customFormat="1" x14ac:dyDescent="0.2">
      <c r="A69" s="7"/>
      <c r="B69" s="1" t="s">
        <v>265</v>
      </c>
      <c r="C69" s="1" t="s">
        <v>40</v>
      </c>
      <c r="E69" s="15">
        <v>865</v>
      </c>
      <c r="F69" s="9" t="s">
        <v>266</v>
      </c>
      <c r="G69" s="1" t="s">
        <v>267</v>
      </c>
      <c r="H69" s="11">
        <v>82</v>
      </c>
    </row>
    <row r="70" spans="1:8" x14ac:dyDescent="0.2">
      <c r="B70" s="2" t="s">
        <v>183</v>
      </c>
      <c r="C70" s="2" t="s">
        <v>116</v>
      </c>
      <c r="E70" s="14">
        <v>71</v>
      </c>
      <c r="F70" s="6" t="s">
        <v>184</v>
      </c>
      <c r="G70" s="2" t="s">
        <v>185</v>
      </c>
      <c r="H70" s="12">
        <v>319</v>
      </c>
    </row>
    <row r="71" spans="1:8" s="1" customFormat="1" x14ac:dyDescent="0.2">
      <c r="A71" s="7"/>
      <c r="B71" s="1" t="s">
        <v>268</v>
      </c>
      <c r="C71" s="1" t="s">
        <v>40</v>
      </c>
      <c r="E71" s="15">
        <v>93</v>
      </c>
      <c r="F71" s="9" t="s">
        <v>269</v>
      </c>
      <c r="G71" s="1" t="s">
        <v>270</v>
      </c>
      <c r="H71" s="11">
        <v>5</v>
      </c>
    </row>
    <row r="72" spans="1:8" x14ac:dyDescent="0.2">
      <c r="B72" s="2" t="s">
        <v>186</v>
      </c>
      <c r="C72" s="2" t="s">
        <v>79</v>
      </c>
      <c r="E72" s="14">
        <v>448</v>
      </c>
      <c r="F72" s="6" t="s">
        <v>187</v>
      </c>
      <c r="G72" s="2" t="s">
        <v>188</v>
      </c>
      <c r="H72" s="12">
        <v>96</v>
      </c>
    </row>
    <row r="73" spans="1:8" x14ac:dyDescent="0.2">
      <c r="B73" s="2" t="s">
        <v>189</v>
      </c>
      <c r="C73" s="2" t="s">
        <v>190</v>
      </c>
      <c r="E73" s="14">
        <v>786</v>
      </c>
      <c r="F73" s="10" t="s">
        <v>191</v>
      </c>
      <c r="G73" s="2" t="s">
        <v>192</v>
      </c>
      <c r="H73" s="12">
        <v>479</v>
      </c>
    </row>
    <row r="74" spans="1:8" x14ac:dyDescent="0.2">
      <c r="B74" s="2" t="s">
        <v>71</v>
      </c>
      <c r="C74" s="2" t="s">
        <v>9</v>
      </c>
      <c r="E74" s="14">
        <v>454</v>
      </c>
      <c r="F74" s="6" t="s">
        <v>72</v>
      </c>
      <c r="G74" s="2" t="s">
        <v>73</v>
      </c>
      <c r="H74" s="12">
        <v>130</v>
      </c>
    </row>
    <row r="75" spans="1:8" x14ac:dyDescent="0.2">
      <c r="B75" s="2" t="s">
        <v>193</v>
      </c>
      <c r="C75" s="2" t="s">
        <v>147</v>
      </c>
      <c r="E75" s="14">
        <v>78</v>
      </c>
      <c r="F75" s="6" t="s">
        <v>194</v>
      </c>
      <c r="G75" s="2" t="s">
        <v>195</v>
      </c>
      <c r="H75" s="12">
        <v>2994</v>
      </c>
    </row>
    <row r="76" spans="1:8" x14ac:dyDescent="0.2">
      <c r="B76" s="2" t="s">
        <v>162</v>
      </c>
      <c r="C76" s="2" t="s">
        <v>82</v>
      </c>
      <c r="E76" s="14">
        <v>85</v>
      </c>
      <c r="F76" s="6" t="s">
        <v>196</v>
      </c>
      <c r="G76" s="2" t="s">
        <v>54</v>
      </c>
      <c r="H76" s="12">
        <v>5500</v>
      </c>
    </row>
    <row r="77" spans="1:8" x14ac:dyDescent="0.2">
      <c r="B77" s="2" t="s">
        <v>197</v>
      </c>
      <c r="C77" s="2" t="s">
        <v>82</v>
      </c>
      <c r="E77" s="14">
        <v>477</v>
      </c>
      <c r="F77" s="6" t="s">
        <v>198</v>
      </c>
      <c r="G77" s="2" t="s">
        <v>199</v>
      </c>
      <c r="H77" s="12">
        <v>518</v>
      </c>
    </row>
    <row r="78" spans="1:8" x14ac:dyDescent="0.2">
      <c r="B78" s="2" t="s">
        <v>200</v>
      </c>
      <c r="C78" s="2" t="s">
        <v>79</v>
      </c>
      <c r="E78" s="14">
        <v>481</v>
      </c>
      <c r="F78" s="6" t="s">
        <v>201</v>
      </c>
      <c r="G78" s="2" t="s">
        <v>167</v>
      </c>
      <c r="H78" s="12">
        <v>1167</v>
      </c>
    </row>
    <row r="79" spans="1:8" x14ac:dyDescent="0.2">
      <c r="B79" s="2" t="s">
        <v>342</v>
      </c>
      <c r="C79" s="2" t="s">
        <v>7</v>
      </c>
      <c r="E79" s="14">
        <v>1254</v>
      </c>
      <c r="F79" s="10" t="s">
        <v>18</v>
      </c>
      <c r="G79" s="2" t="s">
        <v>11</v>
      </c>
      <c r="H79" s="12">
        <v>230</v>
      </c>
    </row>
    <row r="80" spans="1:8" x14ac:dyDescent="0.2">
      <c r="B80" s="2" t="s">
        <v>75</v>
      </c>
      <c r="C80" s="2" t="s">
        <v>40</v>
      </c>
      <c r="E80" s="14">
        <v>484</v>
      </c>
      <c r="F80" s="6" t="s">
        <v>76</v>
      </c>
      <c r="G80" s="2" t="s">
        <v>77</v>
      </c>
      <c r="H80" s="12">
        <v>332</v>
      </c>
    </row>
    <row r="81" spans="1:8" x14ac:dyDescent="0.2">
      <c r="B81" s="2" t="s">
        <v>202</v>
      </c>
      <c r="C81" s="2" t="s">
        <v>274</v>
      </c>
      <c r="D81" s="2" t="s">
        <v>361</v>
      </c>
      <c r="E81" s="14">
        <v>93</v>
      </c>
      <c r="F81" s="6" t="s">
        <v>88</v>
      </c>
      <c r="G81" s="2" t="s">
        <v>89</v>
      </c>
      <c r="H81" s="12">
        <v>8</v>
      </c>
    </row>
    <row r="82" spans="1:8" x14ac:dyDescent="0.2">
      <c r="B82" s="2" t="s">
        <v>203</v>
      </c>
      <c r="C82" s="2" t="s">
        <v>274</v>
      </c>
      <c r="D82" s="2" t="s">
        <v>361</v>
      </c>
      <c r="E82" s="14">
        <v>93</v>
      </c>
      <c r="F82" s="6" t="s">
        <v>88</v>
      </c>
      <c r="G82" s="2" t="s">
        <v>89</v>
      </c>
      <c r="H82" s="12">
        <v>27</v>
      </c>
    </row>
    <row r="83" spans="1:8" s="1" customFormat="1" x14ac:dyDescent="0.2">
      <c r="A83" s="7"/>
      <c r="B83" s="1" t="s">
        <v>281</v>
      </c>
      <c r="C83" s="1" t="s">
        <v>282</v>
      </c>
      <c r="E83" s="15">
        <v>832</v>
      </c>
      <c r="F83" s="9" t="s">
        <v>275</v>
      </c>
      <c r="G83" s="1" t="s">
        <v>283</v>
      </c>
      <c r="H83" s="11">
        <v>24</v>
      </c>
    </row>
    <row r="84" spans="1:8" s="1" customFormat="1" x14ac:dyDescent="0.2">
      <c r="A84" s="7"/>
      <c r="B84" s="1" t="s">
        <v>284</v>
      </c>
      <c r="C84" s="1" t="s">
        <v>9</v>
      </c>
      <c r="E84" s="15">
        <v>494</v>
      </c>
      <c r="F84" s="9" t="s">
        <v>285</v>
      </c>
      <c r="G84" s="2" t="s">
        <v>286</v>
      </c>
      <c r="H84" s="11">
        <v>23</v>
      </c>
    </row>
    <row r="85" spans="1:8" x14ac:dyDescent="0.2">
      <c r="B85" s="2" t="s">
        <v>55</v>
      </c>
      <c r="C85" s="2" t="s">
        <v>40</v>
      </c>
      <c r="E85" s="14">
        <v>388</v>
      </c>
      <c r="F85" s="6" t="s">
        <v>56</v>
      </c>
      <c r="G85" s="2" t="s">
        <v>22</v>
      </c>
      <c r="H85" s="12">
        <v>102</v>
      </c>
    </row>
    <row r="86" spans="1:8" x14ac:dyDescent="0.2">
      <c r="B86" s="2" t="s">
        <v>47</v>
      </c>
      <c r="C86" s="2" t="s">
        <v>9</v>
      </c>
      <c r="E86" s="14">
        <v>113</v>
      </c>
      <c r="F86" s="6" t="s">
        <v>48</v>
      </c>
      <c r="G86" s="2" t="s">
        <v>49</v>
      </c>
      <c r="H86" s="12">
        <v>242</v>
      </c>
    </row>
    <row r="87" spans="1:8" x14ac:dyDescent="0.2">
      <c r="B87" s="2" t="s">
        <v>204</v>
      </c>
      <c r="C87" s="2" t="s">
        <v>82</v>
      </c>
      <c r="E87" s="14">
        <v>1509</v>
      </c>
      <c r="F87" s="10" t="s">
        <v>205</v>
      </c>
      <c r="G87" s="2" t="s">
        <v>206</v>
      </c>
      <c r="H87" s="12">
        <v>2362</v>
      </c>
    </row>
    <row r="88" spans="1:8" x14ac:dyDescent="0.2">
      <c r="B88" s="2" t="s">
        <v>207</v>
      </c>
      <c r="C88" s="2" t="s">
        <v>274</v>
      </c>
      <c r="D88" s="2" t="s">
        <v>361</v>
      </c>
      <c r="E88" s="14">
        <v>93</v>
      </c>
      <c r="F88" s="6" t="s">
        <v>88</v>
      </c>
      <c r="G88" s="2" t="s">
        <v>89</v>
      </c>
      <c r="H88" s="12">
        <v>30</v>
      </c>
    </row>
    <row r="89" spans="1:8" x14ac:dyDescent="0.2">
      <c r="B89" s="2" t="s">
        <v>208</v>
      </c>
      <c r="C89" s="2" t="s">
        <v>116</v>
      </c>
      <c r="E89" s="14">
        <v>941</v>
      </c>
      <c r="F89" s="6" t="s">
        <v>209</v>
      </c>
      <c r="G89" s="2" t="s">
        <v>210</v>
      </c>
      <c r="H89" s="12">
        <v>423</v>
      </c>
    </row>
    <row r="90" spans="1:8" s="1" customFormat="1" x14ac:dyDescent="0.2">
      <c r="A90" s="7"/>
      <c r="B90" s="1" t="s">
        <v>74</v>
      </c>
      <c r="C90" s="1" t="s">
        <v>9</v>
      </c>
      <c r="E90" s="15">
        <v>528</v>
      </c>
      <c r="F90" s="9" t="s">
        <v>271</v>
      </c>
      <c r="G90" s="2" t="s">
        <v>272</v>
      </c>
      <c r="H90" s="11">
        <v>558</v>
      </c>
    </row>
    <row r="91" spans="1:8" x14ac:dyDescent="0.2">
      <c r="B91" s="2" t="s">
        <v>44</v>
      </c>
      <c r="C91" s="2" t="s">
        <v>40</v>
      </c>
      <c r="E91" s="14">
        <v>113</v>
      </c>
      <c r="F91" s="6" t="s">
        <v>45</v>
      </c>
      <c r="G91" s="5" t="s">
        <v>46</v>
      </c>
      <c r="H91" s="12">
        <v>324</v>
      </c>
    </row>
    <row r="92" spans="1:8" s="1" customFormat="1" x14ac:dyDescent="0.2">
      <c r="A92" s="7"/>
      <c r="B92" s="1" t="s">
        <v>273</v>
      </c>
      <c r="C92" s="1" t="s">
        <v>274</v>
      </c>
      <c r="E92" s="15">
        <v>821</v>
      </c>
      <c r="F92" s="9" t="s">
        <v>275</v>
      </c>
      <c r="G92" s="1" t="s">
        <v>276</v>
      </c>
      <c r="H92" s="11">
        <v>1820</v>
      </c>
    </row>
    <row r="93" spans="1:8" s="1" customFormat="1" x14ac:dyDescent="0.2">
      <c r="A93" s="7"/>
      <c r="B93" s="1" t="s">
        <v>277</v>
      </c>
      <c r="C93" s="1" t="s">
        <v>40</v>
      </c>
      <c r="E93" s="15">
        <v>918</v>
      </c>
      <c r="F93" s="9" t="s">
        <v>278</v>
      </c>
      <c r="G93" s="2" t="s">
        <v>240</v>
      </c>
      <c r="H93" s="11">
        <v>1277</v>
      </c>
    </row>
    <row r="94" spans="1:8" s="1" customFormat="1" x14ac:dyDescent="0.2">
      <c r="A94" s="7"/>
      <c r="B94" s="1" t="s">
        <v>279</v>
      </c>
      <c r="C94" s="1" t="s">
        <v>7</v>
      </c>
      <c r="E94" s="15">
        <v>267</v>
      </c>
      <c r="F94" s="9" t="s">
        <v>280</v>
      </c>
      <c r="G94" s="2" t="s">
        <v>236</v>
      </c>
      <c r="H94" s="11">
        <v>368</v>
      </c>
    </row>
    <row r="95" spans="1:8" x14ac:dyDescent="0.2">
      <c r="B95" s="2" t="s">
        <v>52</v>
      </c>
      <c r="C95" s="2" t="s">
        <v>9</v>
      </c>
      <c r="E95" s="14">
        <v>118</v>
      </c>
      <c r="F95" s="6" t="s">
        <v>53</v>
      </c>
      <c r="G95" s="2" t="s">
        <v>54</v>
      </c>
      <c r="H95" s="12">
        <v>778</v>
      </c>
    </row>
    <row r="96" spans="1:8" s="1" customFormat="1" x14ac:dyDescent="0.2">
      <c r="A96" s="7"/>
      <c r="B96" s="1" t="s">
        <v>287</v>
      </c>
      <c r="C96" s="1" t="s">
        <v>40</v>
      </c>
      <c r="E96" s="15">
        <v>93</v>
      </c>
      <c r="F96" s="9" t="s">
        <v>269</v>
      </c>
      <c r="G96" s="2" t="s">
        <v>270</v>
      </c>
      <c r="H96" s="11">
        <v>57</v>
      </c>
    </row>
    <row r="97" spans="1:8" s="1" customFormat="1" x14ac:dyDescent="0.2">
      <c r="A97" s="7"/>
      <c r="B97" s="1" t="s">
        <v>36</v>
      </c>
      <c r="C97" s="1" t="s">
        <v>9</v>
      </c>
      <c r="E97" s="15">
        <v>121</v>
      </c>
      <c r="F97" s="9" t="s">
        <v>37</v>
      </c>
      <c r="G97" s="2" t="s">
        <v>288</v>
      </c>
      <c r="H97" s="11">
        <v>1833</v>
      </c>
    </row>
    <row r="98" spans="1:8" x14ac:dyDescent="0.2">
      <c r="B98" s="2" t="s">
        <v>36</v>
      </c>
      <c r="C98" s="2" t="s">
        <v>9</v>
      </c>
      <c r="E98" s="14">
        <v>121</v>
      </c>
      <c r="F98" s="6" t="s">
        <v>37</v>
      </c>
      <c r="G98" s="2" t="s">
        <v>38</v>
      </c>
      <c r="H98" s="12">
        <v>101</v>
      </c>
    </row>
    <row r="99" spans="1:8" x14ac:dyDescent="0.2">
      <c r="B99" s="2" t="s">
        <v>57</v>
      </c>
      <c r="C99" s="2" t="s">
        <v>9</v>
      </c>
      <c r="E99" s="14">
        <v>542</v>
      </c>
      <c r="F99" s="6" t="s">
        <v>58</v>
      </c>
      <c r="G99" s="5" t="s">
        <v>59</v>
      </c>
      <c r="H99" s="12">
        <v>188</v>
      </c>
    </row>
    <row r="100" spans="1:8" s="1" customFormat="1" ht="12.6" customHeight="1" x14ac:dyDescent="0.2">
      <c r="A100" s="7"/>
      <c r="B100" s="1" t="s">
        <v>289</v>
      </c>
      <c r="C100" s="1" t="s">
        <v>9</v>
      </c>
      <c r="E100" s="15">
        <v>544</v>
      </c>
      <c r="F100" s="9" t="s">
        <v>290</v>
      </c>
      <c r="G100" s="3" t="s">
        <v>291</v>
      </c>
      <c r="H100" s="11">
        <v>3150</v>
      </c>
    </row>
    <row r="101" spans="1:8" s="1" customFormat="1" x14ac:dyDescent="0.2">
      <c r="A101" s="7"/>
      <c r="B101" s="1" t="s">
        <v>292</v>
      </c>
      <c r="C101" s="1" t="s">
        <v>9</v>
      </c>
      <c r="E101" s="15">
        <v>1424</v>
      </c>
      <c r="F101" s="9" t="s">
        <v>293</v>
      </c>
      <c r="G101" s="1" t="s">
        <v>294</v>
      </c>
      <c r="H101" s="11">
        <v>392</v>
      </c>
    </row>
    <row r="102" spans="1:8" s="1" customFormat="1" x14ac:dyDescent="0.2">
      <c r="A102" s="7"/>
      <c r="B102" s="1" t="s">
        <v>295</v>
      </c>
      <c r="C102" s="1" t="s">
        <v>296</v>
      </c>
      <c r="E102" s="15">
        <v>1080</v>
      </c>
      <c r="F102" s="9" t="s">
        <v>297</v>
      </c>
      <c r="G102" s="1" t="s">
        <v>298</v>
      </c>
      <c r="H102" s="11">
        <v>867</v>
      </c>
    </row>
    <row r="103" spans="1:8" s="1" customFormat="1" x14ac:dyDescent="0.2">
      <c r="A103" s="7"/>
      <c r="B103" s="1" t="s">
        <v>299</v>
      </c>
      <c r="C103" s="1" t="s">
        <v>40</v>
      </c>
      <c r="E103" s="15">
        <v>243</v>
      </c>
      <c r="F103" s="9" t="s">
        <v>300</v>
      </c>
      <c r="G103" s="1" t="s">
        <v>301</v>
      </c>
      <c r="H103" s="11">
        <v>2079</v>
      </c>
    </row>
    <row r="104" spans="1:8" x14ac:dyDescent="0.2">
      <c r="B104" s="2" t="s">
        <v>211</v>
      </c>
      <c r="C104" s="2" t="s">
        <v>147</v>
      </c>
      <c r="E104" s="14">
        <v>123</v>
      </c>
      <c r="F104" s="6" t="s">
        <v>212</v>
      </c>
      <c r="G104" s="2" t="s">
        <v>213</v>
      </c>
      <c r="H104" s="12">
        <v>251</v>
      </c>
    </row>
    <row r="105" spans="1:8" s="1" customFormat="1" x14ac:dyDescent="0.2">
      <c r="A105" s="7"/>
      <c r="B105" s="1" t="s">
        <v>305</v>
      </c>
      <c r="C105" s="1" t="s">
        <v>9</v>
      </c>
      <c r="E105" s="15">
        <v>125</v>
      </c>
      <c r="F105" s="9" t="s">
        <v>306</v>
      </c>
      <c r="G105" s="2" t="s">
        <v>307</v>
      </c>
      <c r="H105" s="11">
        <v>79</v>
      </c>
    </row>
    <row r="106" spans="1:8" s="1" customFormat="1" x14ac:dyDescent="0.2">
      <c r="A106" s="7"/>
      <c r="B106" s="1" t="s">
        <v>302</v>
      </c>
      <c r="C106" s="1" t="s">
        <v>7</v>
      </c>
      <c r="E106" s="15">
        <v>558</v>
      </c>
      <c r="F106" s="9" t="s">
        <v>303</v>
      </c>
      <c r="G106" s="1" t="s">
        <v>304</v>
      </c>
      <c r="H106" s="11">
        <v>220</v>
      </c>
    </row>
    <row r="107" spans="1:8" x14ac:dyDescent="0.2">
      <c r="B107" s="2" t="s">
        <v>214</v>
      </c>
      <c r="C107" s="2" t="s">
        <v>82</v>
      </c>
      <c r="E107" s="14">
        <v>127</v>
      </c>
      <c r="F107" s="6" t="s">
        <v>215</v>
      </c>
      <c r="G107" s="2" t="s">
        <v>42</v>
      </c>
      <c r="H107" s="12">
        <v>3094</v>
      </c>
    </row>
    <row r="108" spans="1:8" x14ac:dyDescent="0.2">
      <c r="B108" s="2" t="s">
        <v>216</v>
      </c>
      <c r="C108" s="2" t="s">
        <v>82</v>
      </c>
      <c r="E108" s="14">
        <v>128</v>
      </c>
      <c r="F108" s="6" t="s">
        <v>217</v>
      </c>
      <c r="G108" s="2" t="s">
        <v>218</v>
      </c>
      <c r="H108" s="12">
        <v>74</v>
      </c>
    </row>
    <row r="109" spans="1:8" x14ac:dyDescent="0.2">
      <c r="B109" s="2" t="s">
        <v>62</v>
      </c>
      <c r="C109" s="2" t="s">
        <v>8</v>
      </c>
      <c r="E109" s="14">
        <v>1116</v>
      </c>
      <c r="F109" s="6" t="s">
        <v>63</v>
      </c>
      <c r="G109" s="2" t="s">
        <v>64</v>
      </c>
      <c r="H109" s="12">
        <v>165</v>
      </c>
    </row>
    <row r="110" spans="1:8" s="1" customFormat="1" x14ac:dyDescent="0.2">
      <c r="A110" s="7"/>
      <c r="B110" s="1" t="s">
        <v>308</v>
      </c>
      <c r="C110" s="1" t="s">
        <v>9</v>
      </c>
      <c r="E110" s="15">
        <v>571</v>
      </c>
      <c r="F110" s="9" t="s">
        <v>309</v>
      </c>
      <c r="G110" s="1" t="s">
        <v>310</v>
      </c>
      <c r="H110" s="11">
        <v>402</v>
      </c>
    </row>
    <row r="111" spans="1:8" x14ac:dyDescent="0.2">
      <c r="B111" s="2" t="s">
        <v>5</v>
      </c>
      <c r="C111" s="2" t="s">
        <v>9</v>
      </c>
      <c r="E111" s="14">
        <v>589</v>
      </c>
      <c r="F111" s="10" t="s">
        <v>23</v>
      </c>
      <c r="G111" s="2" t="s">
        <v>24</v>
      </c>
      <c r="H111" s="12">
        <v>526</v>
      </c>
    </row>
    <row r="112" spans="1:8" x14ac:dyDescent="0.2">
      <c r="B112" s="2" t="s">
        <v>4</v>
      </c>
      <c r="C112" s="2" t="s">
        <v>7</v>
      </c>
      <c r="E112" s="14">
        <v>134</v>
      </c>
      <c r="F112" s="10" t="s">
        <v>19</v>
      </c>
      <c r="G112" s="2" t="s">
        <v>20</v>
      </c>
      <c r="H112" s="12">
        <v>2332</v>
      </c>
    </row>
    <row r="113" spans="1:8" s="1" customFormat="1" x14ac:dyDescent="0.2">
      <c r="A113" s="7"/>
      <c r="B113" s="1" t="s">
        <v>311</v>
      </c>
      <c r="C113" s="1" t="s">
        <v>7</v>
      </c>
      <c r="E113" s="15">
        <v>136</v>
      </c>
      <c r="F113" s="9" t="s">
        <v>312</v>
      </c>
      <c r="G113" s="2" t="s">
        <v>313</v>
      </c>
      <c r="H113" s="11">
        <v>248</v>
      </c>
    </row>
    <row r="114" spans="1:8" s="1" customFormat="1" ht="12.6" customHeight="1" x14ac:dyDescent="0.2">
      <c r="A114" s="7"/>
      <c r="B114" s="1" t="s">
        <v>314</v>
      </c>
      <c r="C114" s="1" t="s">
        <v>9</v>
      </c>
      <c r="E114" s="15">
        <v>137</v>
      </c>
      <c r="F114" s="9" t="s">
        <v>315</v>
      </c>
      <c r="G114" s="3" t="s">
        <v>316</v>
      </c>
      <c r="H114" s="11">
        <v>75</v>
      </c>
    </row>
    <row r="115" spans="1:8" s="1" customFormat="1" x14ac:dyDescent="0.2">
      <c r="A115" s="7"/>
      <c r="B115" s="1" t="s">
        <v>317</v>
      </c>
      <c r="C115" s="1" t="s">
        <v>40</v>
      </c>
      <c r="E115" s="15">
        <v>980</v>
      </c>
      <c r="F115" s="9" t="s">
        <v>318</v>
      </c>
      <c r="G115" s="1" t="s">
        <v>252</v>
      </c>
      <c r="H115" s="11">
        <v>119</v>
      </c>
    </row>
    <row r="116" spans="1:8" x14ac:dyDescent="0.2">
      <c r="B116" s="2" t="s">
        <v>43</v>
      </c>
      <c r="C116" s="2" t="s">
        <v>116</v>
      </c>
      <c r="E116" s="14">
        <v>264</v>
      </c>
      <c r="F116" s="6" t="s">
        <v>219</v>
      </c>
      <c r="G116" s="2" t="s">
        <v>220</v>
      </c>
      <c r="H116" s="12">
        <v>352</v>
      </c>
    </row>
    <row r="117" spans="1:8" x14ac:dyDescent="0.2">
      <c r="B117" s="2" t="s">
        <v>221</v>
      </c>
      <c r="C117" s="2" t="s">
        <v>82</v>
      </c>
      <c r="E117" s="14">
        <v>142</v>
      </c>
      <c r="F117" s="6" t="s">
        <v>222</v>
      </c>
      <c r="G117" s="2" t="s">
        <v>49</v>
      </c>
      <c r="H117" s="12">
        <v>1037</v>
      </c>
    </row>
    <row r="118" spans="1:8" s="1" customFormat="1" x14ac:dyDescent="0.2">
      <c r="A118" s="7"/>
      <c r="B118" s="1" t="s">
        <v>319</v>
      </c>
      <c r="C118" s="1" t="s">
        <v>9</v>
      </c>
      <c r="E118" s="15">
        <v>221</v>
      </c>
      <c r="F118" s="9" t="s">
        <v>320</v>
      </c>
      <c r="G118" s="2" t="s">
        <v>321</v>
      </c>
      <c r="H118" s="11">
        <v>327</v>
      </c>
    </row>
    <row r="119" spans="1:8" s="1" customFormat="1" x14ac:dyDescent="0.2">
      <c r="A119" s="7"/>
      <c r="B119" s="1" t="s">
        <v>322</v>
      </c>
      <c r="C119" s="1" t="s">
        <v>7</v>
      </c>
      <c r="E119" s="15">
        <v>145</v>
      </c>
      <c r="F119" s="9" t="s">
        <v>323</v>
      </c>
      <c r="G119" s="2" t="s">
        <v>324</v>
      </c>
      <c r="H119" s="11">
        <v>1691</v>
      </c>
    </row>
    <row r="120" spans="1:8" x14ac:dyDescent="0.2">
      <c r="B120" s="2" t="s">
        <v>223</v>
      </c>
      <c r="C120" s="2" t="s">
        <v>82</v>
      </c>
      <c r="E120" s="14">
        <v>610</v>
      </c>
      <c r="F120" s="6" t="s">
        <v>224</v>
      </c>
      <c r="G120" s="2" t="s">
        <v>225</v>
      </c>
      <c r="H120" s="12">
        <v>177</v>
      </c>
    </row>
    <row r="121" spans="1:8" x14ac:dyDescent="0.2">
      <c r="B121" s="2" t="s">
        <v>68</v>
      </c>
      <c r="C121" s="2" t="s">
        <v>9</v>
      </c>
      <c r="E121" s="14">
        <v>146</v>
      </c>
      <c r="F121" s="6" t="s">
        <v>69</v>
      </c>
      <c r="G121" s="2" t="s">
        <v>70</v>
      </c>
      <c r="H121" s="12">
        <v>1164</v>
      </c>
    </row>
    <row r="122" spans="1:8" x14ac:dyDescent="0.2">
      <c r="B122" s="2" t="s">
        <v>28</v>
      </c>
      <c r="C122" s="2" t="s">
        <v>29</v>
      </c>
      <c r="E122" s="14">
        <v>564</v>
      </c>
      <c r="F122" s="6" t="s">
        <v>30</v>
      </c>
      <c r="G122" s="2" t="s">
        <v>31</v>
      </c>
      <c r="H122" s="12">
        <v>79</v>
      </c>
    </row>
    <row r="123" spans="1:8" s="1" customFormat="1" x14ac:dyDescent="0.2">
      <c r="A123" s="7"/>
      <c r="B123" s="1" t="s">
        <v>325</v>
      </c>
      <c r="C123" s="1" t="s">
        <v>40</v>
      </c>
      <c r="E123" s="15">
        <v>624</v>
      </c>
      <c r="F123" s="9" t="s">
        <v>326</v>
      </c>
      <c r="G123" s="1" t="s">
        <v>327</v>
      </c>
      <c r="H123" s="11">
        <v>377</v>
      </c>
    </row>
    <row r="124" spans="1:8" x14ac:dyDescent="0.2">
      <c r="B124" s="2" t="s">
        <v>65</v>
      </c>
      <c r="C124" s="2" t="s">
        <v>9</v>
      </c>
      <c r="E124" s="14">
        <v>628</v>
      </c>
      <c r="F124" s="6" t="s">
        <v>66</v>
      </c>
      <c r="G124" s="2" t="s">
        <v>67</v>
      </c>
      <c r="H124" s="12">
        <v>1064</v>
      </c>
    </row>
    <row r="125" spans="1:8" x14ac:dyDescent="0.2">
      <c r="B125" s="2" t="s">
        <v>39</v>
      </c>
      <c r="C125" s="2" t="s">
        <v>40</v>
      </c>
      <c r="E125" s="14">
        <v>223</v>
      </c>
      <c r="F125" s="6" t="s">
        <v>41</v>
      </c>
      <c r="G125" s="2" t="s">
        <v>42</v>
      </c>
      <c r="H125" s="12">
        <v>595</v>
      </c>
    </row>
    <row r="126" spans="1:8" x14ac:dyDescent="0.2">
      <c r="B126" s="2" t="s">
        <v>226</v>
      </c>
      <c r="C126" s="2" t="s">
        <v>274</v>
      </c>
      <c r="D126" s="2" t="s">
        <v>361</v>
      </c>
      <c r="E126" s="14">
        <v>93</v>
      </c>
      <c r="F126" s="6" t="s">
        <v>88</v>
      </c>
      <c r="G126" s="2" t="s">
        <v>89</v>
      </c>
      <c r="H126" s="12">
        <v>15</v>
      </c>
    </row>
    <row r="127" spans="1:8" s="1" customFormat="1" x14ac:dyDescent="0.2">
      <c r="A127" s="7"/>
      <c r="B127" s="1" t="s">
        <v>328</v>
      </c>
      <c r="C127" s="1" t="s">
        <v>40</v>
      </c>
      <c r="E127" s="15">
        <v>212</v>
      </c>
      <c r="F127" s="9" t="s">
        <v>329</v>
      </c>
      <c r="G127" s="1" t="s">
        <v>330</v>
      </c>
      <c r="H127" s="11">
        <v>418</v>
      </c>
    </row>
    <row r="128" spans="1:8" x14ac:dyDescent="0.2">
      <c r="B128" s="2" t="s">
        <v>6</v>
      </c>
      <c r="C128" s="2" t="s">
        <v>7</v>
      </c>
      <c r="E128" s="14">
        <v>658</v>
      </c>
      <c r="F128" s="10" t="s">
        <v>21</v>
      </c>
      <c r="G128" s="2" t="s">
        <v>22</v>
      </c>
      <c r="H128" s="12">
        <v>72</v>
      </c>
    </row>
    <row r="129" spans="1:9" x14ac:dyDescent="0.2">
      <c r="B129" s="2" t="s">
        <v>32</v>
      </c>
      <c r="C129" s="2" t="s">
        <v>9</v>
      </c>
      <c r="E129" s="14">
        <v>1410</v>
      </c>
      <c r="F129" s="6" t="s">
        <v>33</v>
      </c>
      <c r="G129" s="2" t="s">
        <v>34</v>
      </c>
      <c r="H129" s="12">
        <v>239</v>
      </c>
    </row>
    <row r="130" spans="1:9" x14ac:dyDescent="0.2">
      <c r="B130" s="2" t="s">
        <v>227</v>
      </c>
      <c r="C130" s="2" t="s">
        <v>121</v>
      </c>
      <c r="E130" s="14">
        <v>224</v>
      </c>
      <c r="F130" s="6" t="s">
        <v>228</v>
      </c>
      <c r="G130" s="2" t="s">
        <v>343</v>
      </c>
      <c r="H130" s="12">
        <v>727</v>
      </c>
    </row>
    <row r="131" spans="1:9" s="1" customFormat="1" x14ac:dyDescent="0.2">
      <c r="A131" s="7"/>
      <c r="B131" s="1" t="s">
        <v>331</v>
      </c>
      <c r="C131" s="1" t="s">
        <v>332</v>
      </c>
      <c r="E131" s="15">
        <v>224</v>
      </c>
      <c r="F131" s="9" t="s">
        <v>228</v>
      </c>
      <c r="G131" s="4" t="s">
        <v>333</v>
      </c>
      <c r="H131" s="11">
        <v>24</v>
      </c>
    </row>
    <row r="132" spans="1:9" s="1" customFormat="1" x14ac:dyDescent="0.2">
      <c r="A132" s="7"/>
      <c r="B132" s="1" t="s">
        <v>336</v>
      </c>
      <c r="C132" s="1" t="s">
        <v>9</v>
      </c>
      <c r="E132" s="15">
        <v>173</v>
      </c>
      <c r="F132" s="9" t="s">
        <v>337</v>
      </c>
      <c r="G132" s="1" t="s">
        <v>338</v>
      </c>
      <c r="H132" s="11">
        <v>343</v>
      </c>
    </row>
    <row r="133" spans="1:9" s="1" customFormat="1" x14ac:dyDescent="0.2">
      <c r="A133" s="7"/>
      <c r="B133" s="1" t="s">
        <v>339</v>
      </c>
      <c r="C133" s="1" t="s">
        <v>9</v>
      </c>
      <c r="E133" s="15">
        <v>687</v>
      </c>
      <c r="F133" s="9" t="s">
        <v>340</v>
      </c>
      <c r="G133" s="2" t="s">
        <v>341</v>
      </c>
      <c r="H133" s="11">
        <v>3050</v>
      </c>
    </row>
    <row r="135" spans="1:9" s="30" customFormat="1" ht="14.25" x14ac:dyDescent="0.2">
      <c r="A135" s="26" t="s">
        <v>387</v>
      </c>
      <c r="B135" s="26"/>
      <c r="C135" s="26"/>
      <c r="D135" s="26"/>
      <c r="E135" s="27">
        <f>COUNT(E2:E134)</f>
        <v>132</v>
      </c>
      <c r="F135" s="28"/>
      <c r="G135" s="28"/>
      <c r="H135" s="29">
        <f>SUM(H2:H133)</f>
        <v>85691</v>
      </c>
      <c r="I135" s="28"/>
    </row>
  </sheetData>
  <phoneticPr fontId="2" type="noConversion"/>
  <hyperlinks>
    <hyperlink ref="E2" r:id="rId1" display="http://data.jewishgen.org/wconnect/wc.dll?jg~jgsys~yizkor~lookup_pb~4"/>
    <hyperlink ref="E3" r:id="rId2" display="http://data.jewishgen.org/wconnect/wc.dll?jg~jgsys~yizkor~lookup_pb~109"/>
    <hyperlink ref="E4" r:id="rId3" display="http://data.jewishgen.org/wconnect/wc.dll?jg~jgsys~yizkor~lookup_pb~12"/>
    <hyperlink ref="E5" r:id="rId4" display="http://data.jewishgen.org/wconnect/wc.dll?jg~jgsys~yizkor~lookup_pb~1429"/>
    <hyperlink ref="E6" r:id="rId5" display="http://data.jewishgen.org/wconnect/wc.dll?jg~jgsys~yizkor~lookup_pb~282"/>
    <hyperlink ref="E7" r:id="rId6" display="http://data.jewishgen.org/wconnect/wc.dll?jg~jgsys~yizkor~lookup_pb~9"/>
    <hyperlink ref="E8" r:id="rId7" display="http://data.jewishgen.org/wconnect/wc.dll?jg~jgsys~yizkor~lookup_pb~9"/>
    <hyperlink ref="E10" r:id="rId8" display="http://data.jewishgen.org/wconnect/wc.dll?jg~jgsys~yizkor~lookup_pb~1281"/>
    <hyperlink ref="E9" r:id="rId9" display="http://data.jewishgen.org/wconnect/wc.dll?jg~jgsys~yizkor~lookup_pb~1282"/>
    <hyperlink ref="E11" r:id="rId10" display="http://data.jewishgen.org/wconnect/wc.dll?jg~jgsys~yizkor~lookup_pb~292"/>
    <hyperlink ref="E12" r:id="rId11" display="http://data.jewishgen.org/wconnect/wc.dll?jg~jgsys~yizkor~lookup_pb~93"/>
    <hyperlink ref="E13" r:id="rId12" display="http://data.jewishgen.org/wconnect/wc.dll?jg~jgsys~yizkor~lookup_pb~302"/>
    <hyperlink ref="E15" r:id="rId13" display="http://data.jewishgen.org/wconnect/wc.dll?jg~jgsys~yizkor~lookup_pb~1079"/>
    <hyperlink ref="E16" r:id="rId14" display="http://data.jewishgen.org/wconnect/wc.dll?jg~jgsys~yizkor~lookup_pb~307"/>
    <hyperlink ref="E17" r:id="rId15" display="http://data.jewishgen.org/wconnect/wc.dll?jg~jgsys~yizkor~lookup_pb~1427"/>
    <hyperlink ref="E18" r:id="rId16" display="http://data.jewishgen.org/wconnect/wc.dll?jg~jgsys~yizkor~lookup_pb~308"/>
    <hyperlink ref="E21" r:id="rId17" display="http://data.jewishgen.org/wconnect/wc.dll?jg~jgsys~yizkor~lookup_pb~978"/>
    <hyperlink ref="E22" r:id="rId18" display="http://data.jewishgen.org/wconnect/wc.dll?jg~jgsys~yizkor~lookup_pb~313"/>
    <hyperlink ref="E23" r:id="rId19" display="http://data.jewishgen.org/wconnect/wc.dll?jg~jgsys~yizkor~lookup_pb~21"/>
    <hyperlink ref="E24" r:id="rId20" display="http://data.jewishgen.org/wconnect/wc.dll?jg~jgsys~yizkor~lookup_pb~180"/>
    <hyperlink ref="E14" r:id="rId21" display="http://data.jewishgen.org/wconnect/wc.dll?jg~jgsys~yizkor~lookup_pb~1456"/>
    <hyperlink ref="E19" r:id="rId22" display="http://data.jewishgen.org/wconnect/wc.dll?jg~jgsys~yizkor~lookup_pb~19"/>
    <hyperlink ref="E20" r:id="rId23" display="http://data.jewishgen.org/wconnect/wc.dll?jg~jgsys~yizkor~lookup_pb~19"/>
    <hyperlink ref="E25" r:id="rId24" display="http://data.jewishgen.org/wconnect/wc.dll?jg~jgsys~yizkor~lookup_pb~1356"/>
    <hyperlink ref="E26" r:id="rId25" display="http://data.jewishgen.org/wconnect/wc.dll?jg~jgsys~yizkor~lookup_pb~19"/>
    <hyperlink ref="E27" r:id="rId26" display="http://data.jewishgen.org/wconnect/wc.dll?jg~jgsys~yizkor~lookup_pb~19"/>
    <hyperlink ref="E28" r:id="rId27" display="http://data.jewishgen.org/wconnect/wc.dll?jg~jgsys~yizkor~lookup_pb~21"/>
    <hyperlink ref="E29" r:id="rId28" display="http://data.jewishgen.org/wconnect/wc.dll?jg~jgsys~yizkor~lookup_pb~1244"/>
    <hyperlink ref="E30" r:id="rId29" display="http://data.jewishgen.org/wconnect/wc.dll?jg~jgsys~yizkor~lookup_pb~93"/>
    <hyperlink ref="E31" r:id="rId30" display="http://data.jewishgen.org/wconnect/wc.dll?jg~jgsys~yizkor~lookup_pb~345"/>
    <hyperlink ref="E32" r:id="rId31" display="http://data.jewishgen.org/wconnect/wc.dll?jg~jgsys~yizkor~lookup_pb~1085"/>
    <hyperlink ref="E33" r:id="rId32" display="http://data.jewishgen.org/wconnect/wc.dll?jg~jgsys~yizkor~lookup_pb~1077"/>
    <hyperlink ref="E34" r:id="rId33" display="http://data.jewishgen.org/wconnect/wc.dll?jg~jgsys~yizkor~lookup_pb~350"/>
    <hyperlink ref="E35" r:id="rId34" display="http://data.jewishgen.org/wconnect/wc.dll?jg~jgsys~yizkor~lookup_pb~351"/>
    <hyperlink ref="E36" r:id="rId35" display="http://data.jewishgen.org/wconnect/wc.dll?jg~jgsys~yizkor~lookup_pb~353"/>
    <hyperlink ref="E37" r:id="rId36" display="http://data.jewishgen.org/wconnect/wc.dll?jg~jgsys~yizkor~lookup_pb~358"/>
    <hyperlink ref="E38" r:id="rId37" display="http://data.jewishgen.org/wconnect/wc.dll?jg~jgsys~yizkor~lookup_pb~1292"/>
    <hyperlink ref="A39" r:id="rId38" display="http://data.jewishgen.org/wconnect/wc.dll?jg~jgsys~community~-501031"/>
    <hyperlink ref="E39" r:id="rId39" display="http://data.jewishgen.org/wconnect/wc.dll?jg~jgsys~yizkor~lookup_pb~1376"/>
    <hyperlink ref="A40" r:id="rId40" display="http://data.jewishgen.org/wconnect/wc.dll?jg~jgsys~community~-501166"/>
  </hyperlinks>
  <pageMargins left="0.75" right="0.75" top="1" bottom="1" header="0.5" footer="0.5"/>
  <pageSetup orientation="portrait" r:id="rId4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Normal="100" workbookViewId="0">
      <pane ySplit="1" topLeftCell="A2" activePane="bottomLeft" state="frozen"/>
      <selection activeCell="B1" sqref="B1"/>
      <selection pane="bottomLeft"/>
    </sheetView>
  </sheetViews>
  <sheetFormatPr defaultRowHeight="12.75" x14ac:dyDescent="0.2"/>
  <cols>
    <col min="1" max="1" width="10.42578125" style="32" customWidth="1"/>
    <col min="2" max="2" width="16.7109375" style="32" bestFit="1" customWidth="1"/>
    <col min="3" max="3" width="13.5703125" style="32" customWidth="1"/>
    <col min="4" max="4" width="14.85546875" style="32" bestFit="1" customWidth="1"/>
    <col min="5" max="5" width="7.7109375" style="38" customWidth="1"/>
    <col min="6" max="6" width="42.7109375" style="32" customWidth="1"/>
    <col min="7" max="7" width="35.140625" style="32" customWidth="1"/>
    <col min="8" max="8" width="11.85546875" style="36" customWidth="1"/>
    <col min="9" max="9" width="13.28515625" style="40" customWidth="1"/>
    <col min="10" max="16384" width="9.140625" style="32"/>
  </cols>
  <sheetData>
    <row r="1" spans="1:9" s="31" customFormat="1" ht="27" thickTop="1" thickBot="1" x14ac:dyDescent="0.25">
      <c r="A1" s="20" t="s">
        <v>383</v>
      </c>
      <c r="B1" s="43" t="s">
        <v>384</v>
      </c>
      <c r="C1" s="43" t="s">
        <v>0</v>
      </c>
      <c r="D1" s="44" t="s">
        <v>346</v>
      </c>
      <c r="E1" s="45" t="s">
        <v>344</v>
      </c>
      <c r="F1" s="46" t="s">
        <v>385</v>
      </c>
      <c r="G1" s="45" t="s">
        <v>386</v>
      </c>
      <c r="H1" s="47" t="s">
        <v>412</v>
      </c>
      <c r="I1" s="48" t="s">
        <v>411</v>
      </c>
    </row>
    <row r="2" spans="1:9" ht="13.5" thickTop="1" x14ac:dyDescent="0.2">
      <c r="B2" s="32" t="s">
        <v>389</v>
      </c>
      <c r="C2" s="32" t="s">
        <v>9</v>
      </c>
      <c r="D2" s="32" t="s">
        <v>391</v>
      </c>
      <c r="E2" s="38">
        <v>4</v>
      </c>
      <c r="F2" s="32" t="s">
        <v>229</v>
      </c>
      <c r="G2" s="32" t="s">
        <v>230</v>
      </c>
      <c r="H2" s="36">
        <v>1516</v>
      </c>
      <c r="I2" s="40" t="s">
        <v>390</v>
      </c>
    </row>
    <row r="3" spans="1:9" x14ac:dyDescent="0.2">
      <c r="B3" s="32" t="s">
        <v>392</v>
      </c>
      <c r="C3" s="32" t="s">
        <v>9</v>
      </c>
      <c r="D3" s="32" t="s">
        <v>357</v>
      </c>
      <c r="E3" s="38">
        <v>1281</v>
      </c>
      <c r="F3" s="32" t="s">
        <v>231</v>
      </c>
      <c r="G3" s="32" t="s">
        <v>232</v>
      </c>
      <c r="H3" s="36">
        <v>16</v>
      </c>
      <c r="I3" s="40" t="s">
        <v>390</v>
      </c>
    </row>
    <row r="4" spans="1:9" x14ac:dyDescent="0.2">
      <c r="B4" s="32" t="s">
        <v>233</v>
      </c>
      <c r="C4" s="32" t="s">
        <v>234</v>
      </c>
      <c r="D4" s="32" t="s">
        <v>233</v>
      </c>
      <c r="E4" s="38">
        <v>1456</v>
      </c>
      <c r="F4" s="32" t="s">
        <v>235</v>
      </c>
      <c r="G4" s="32" t="s">
        <v>236</v>
      </c>
      <c r="H4" s="36">
        <v>288</v>
      </c>
      <c r="I4" s="40" t="s">
        <v>390</v>
      </c>
    </row>
    <row r="5" spans="1:9" x14ac:dyDescent="0.2">
      <c r="B5" s="32" t="s">
        <v>237</v>
      </c>
      <c r="C5" s="32" t="s">
        <v>238</v>
      </c>
      <c r="D5" s="32" t="s">
        <v>237</v>
      </c>
      <c r="E5" s="38">
        <v>1079</v>
      </c>
      <c r="F5" s="32" t="s">
        <v>239</v>
      </c>
      <c r="G5" s="32" t="s">
        <v>240</v>
      </c>
      <c r="H5" s="36">
        <v>937</v>
      </c>
      <c r="I5" s="40" t="s">
        <v>390</v>
      </c>
    </row>
    <row r="6" spans="1:9" x14ac:dyDescent="0.2">
      <c r="B6" s="32" t="s">
        <v>241</v>
      </c>
      <c r="C6" s="32" t="s">
        <v>7</v>
      </c>
      <c r="D6" s="32" t="s">
        <v>3</v>
      </c>
      <c r="E6" s="38">
        <v>307</v>
      </c>
      <c r="F6" s="32" t="s">
        <v>94</v>
      </c>
      <c r="G6" s="32" t="s">
        <v>242</v>
      </c>
      <c r="H6" s="36">
        <v>183</v>
      </c>
      <c r="I6" s="40" t="s">
        <v>390</v>
      </c>
    </row>
    <row r="7" spans="1:9" x14ac:dyDescent="0.2">
      <c r="B7" s="32" t="s">
        <v>241</v>
      </c>
      <c r="C7" s="32" t="s">
        <v>7</v>
      </c>
      <c r="D7" s="32" t="s">
        <v>3</v>
      </c>
      <c r="E7" s="38">
        <v>1427</v>
      </c>
      <c r="F7" s="32" t="s">
        <v>393</v>
      </c>
      <c r="G7" s="32" t="s">
        <v>394</v>
      </c>
      <c r="H7" s="36">
        <v>54</v>
      </c>
      <c r="I7" s="40" t="s">
        <v>390</v>
      </c>
    </row>
    <row r="8" spans="1:9" x14ac:dyDescent="0.2">
      <c r="B8" s="32" t="s">
        <v>395</v>
      </c>
      <c r="C8" s="32" t="s">
        <v>40</v>
      </c>
      <c r="D8" s="32" t="s">
        <v>366</v>
      </c>
      <c r="E8" s="38">
        <v>19</v>
      </c>
      <c r="F8" s="32" t="s">
        <v>396</v>
      </c>
      <c r="G8" s="32" t="s">
        <v>236</v>
      </c>
      <c r="H8" s="36">
        <v>963</v>
      </c>
      <c r="I8" s="40" t="s">
        <v>390</v>
      </c>
    </row>
    <row r="9" spans="1:9" x14ac:dyDescent="0.2">
      <c r="B9" s="32" t="s">
        <v>397</v>
      </c>
      <c r="C9" s="32" t="s">
        <v>9</v>
      </c>
      <c r="D9" s="32" t="s">
        <v>398</v>
      </c>
      <c r="E9" s="38">
        <v>1244</v>
      </c>
      <c r="F9" s="32" t="s">
        <v>243</v>
      </c>
      <c r="G9" s="32" t="s">
        <v>244</v>
      </c>
      <c r="H9" s="36">
        <v>155</v>
      </c>
      <c r="I9" s="40" t="s">
        <v>390</v>
      </c>
    </row>
    <row r="10" spans="1:9" x14ac:dyDescent="0.2">
      <c r="B10" s="32" t="s">
        <v>245</v>
      </c>
      <c r="C10" s="32" t="s">
        <v>40</v>
      </c>
      <c r="D10" s="32" t="s">
        <v>399</v>
      </c>
      <c r="E10" s="38">
        <v>272</v>
      </c>
      <c r="F10" s="32" t="s">
        <v>246</v>
      </c>
      <c r="G10" s="32" t="s">
        <v>247</v>
      </c>
      <c r="H10" s="36">
        <v>829</v>
      </c>
      <c r="I10" s="40" t="s">
        <v>390</v>
      </c>
    </row>
    <row r="11" spans="1:9" x14ac:dyDescent="0.2">
      <c r="B11" s="32" t="s">
        <v>248</v>
      </c>
      <c r="C11" s="32" t="s">
        <v>249</v>
      </c>
      <c r="D11" s="32" t="s">
        <v>400</v>
      </c>
      <c r="E11" s="38">
        <v>1453</v>
      </c>
      <c r="F11" s="32" t="s">
        <v>151</v>
      </c>
      <c r="G11" s="32" t="s">
        <v>250</v>
      </c>
      <c r="H11" s="36">
        <v>26</v>
      </c>
      <c r="I11" s="40" t="s">
        <v>390</v>
      </c>
    </row>
    <row r="12" spans="1:9" x14ac:dyDescent="0.2">
      <c r="B12" s="32" t="s">
        <v>251</v>
      </c>
      <c r="C12" s="32" t="s">
        <v>40</v>
      </c>
      <c r="D12" s="32" t="s">
        <v>362</v>
      </c>
      <c r="E12" s="38">
        <v>388</v>
      </c>
      <c r="F12" s="32" t="s">
        <v>56</v>
      </c>
      <c r="G12" s="32" t="s">
        <v>252</v>
      </c>
      <c r="H12" s="36">
        <v>196</v>
      </c>
      <c r="I12" s="40" t="s">
        <v>390</v>
      </c>
    </row>
    <row r="13" spans="1:9" x14ac:dyDescent="0.2">
      <c r="B13" s="32" t="s">
        <v>253</v>
      </c>
      <c r="C13" s="32" t="s">
        <v>9</v>
      </c>
      <c r="D13" s="32" t="s">
        <v>401</v>
      </c>
      <c r="E13" s="38">
        <v>389</v>
      </c>
      <c r="F13" s="32" t="s">
        <v>254</v>
      </c>
      <c r="G13" s="32" t="s">
        <v>255</v>
      </c>
      <c r="H13" s="36">
        <v>1380</v>
      </c>
      <c r="I13" s="40" t="s">
        <v>390</v>
      </c>
    </row>
    <row r="14" spans="1:9" x14ac:dyDescent="0.2">
      <c r="B14" s="32" t="s">
        <v>256</v>
      </c>
      <c r="C14" s="32" t="s">
        <v>8</v>
      </c>
      <c r="D14" s="32" t="s">
        <v>402</v>
      </c>
      <c r="E14" s="38">
        <v>940</v>
      </c>
      <c r="F14" s="32" t="s">
        <v>257</v>
      </c>
      <c r="G14" s="32" t="s">
        <v>258</v>
      </c>
      <c r="H14" s="36">
        <v>156</v>
      </c>
      <c r="I14" s="40" t="s">
        <v>390</v>
      </c>
    </row>
    <row r="15" spans="1:9" x14ac:dyDescent="0.2">
      <c r="B15" s="32" t="s">
        <v>259</v>
      </c>
      <c r="C15" s="32" t="s">
        <v>7</v>
      </c>
      <c r="D15" s="32" t="s">
        <v>3</v>
      </c>
      <c r="E15" s="38">
        <v>413</v>
      </c>
      <c r="F15" s="32" t="s">
        <v>260</v>
      </c>
      <c r="G15" s="32" t="s">
        <v>261</v>
      </c>
      <c r="H15" s="36">
        <v>1699</v>
      </c>
      <c r="I15" s="40" t="s">
        <v>390</v>
      </c>
    </row>
    <row r="16" spans="1:9" x14ac:dyDescent="0.2">
      <c r="B16" s="32" t="s">
        <v>262</v>
      </c>
      <c r="C16" s="32" t="s">
        <v>9</v>
      </c>
      <c r="D16" s="32" t="s">
        <v>362</v>
      </c>
      <c r="E16" s="38">
        <v>64</v>
      </c>
      <c r="F16" s="32" t="s">
        <v>263</v>
      </c>
      <c r="G16" s="32" t="s">
        <v>264</v>
      </c>
      <c r="H16" s="36">
        <v>135</v>
      </c>
      <c r="I16" s="40" t="s">
        <v>390</v>
      </c>
    </row>
    <row r="17" spans="2:9" x14ac:dyDescent="0.2">
      <c r="B17" s="32" t="s">
        <v>265</v>
      </c>
      <c r="C17" s="32" t="s">
        <v>40</v>
      </c>
      <c r="D17" s="32" t="s">
        <v>376</v>
      </c>
      <c r="E17" s="38">
        <v>865</v>
      </c>
      <c r="F17" s="32" t="s">
        <v>266</v>
      </c>
      <c r="G17" s="32" t="s">
        <v>267</v>
      </c>
      <c r="H17" s="36">
        <v>82</v>
      </c>
      <c r="I17" s="40" t="s">
        <v>390</v>
      </c>
    </row>
    <row r="18" spans="2:9" x14ac:dyDescent="0.2">
      <c r="B18" s="32" t="s">
        <v>268</v>
      </c>
      <c r="C18" s="32" t="s">
        <v>40</v>
      </c>
      <c r="D18" s="32" t="s">
        <v>403</v>
      </c>
      <c r="E18" s="38">
        <v>93</v>
      </c>
      <c r="F18" s="32" t="s">
        <v>269</v>
      </c>
      <c r="G18" s="32" t="s">
        <v>270</v>
      </c>
      <c r="H18" s="36">
        <v>5</v>
      </c>
      <c r="I18" s="40" t="s">
        <v>390</v>
      </c>
    </row>
    <row r="19" spans="2:9" x14ac:dyDescent="0.2">
      <c r="B19" s="32" t="s">
        <v>74</v>
      </c>
      <c r="C19" s="32" t="s">
        <v>9</v>
      </c>
      <c r="D19" s="32" t="s">
        <v>74</v>
      </c>
      <c r="E19" s="38">
        <v>528</v>
      </c>
      <c r="F19" s="32" t="s">
        <v>271</v>
      </c>
      <c r="G19" s="33" t="s">
        <v>272</v>
      </c>
      <c r="H19" s="36">
        <v>558</v>
      </c>
      <c r="I19" s="40" t="s">
        <v>390</v>
      </c>
    </row>
    <row r="20" spans="2:9" x14ac:dyDescent="0.2">
      <c r="B20" s="32" t="s">
        <v>273</v>
      </c>
      <c r="C20" s="32" t="s">
        <v>274</v>
      </c>
      <c r="D20" s="32" t="s">
        <v>353</v>
      </c>
      <c r="E20" s="38">
        <v>821</v>
      </c>
      <c r="F20" s="32" t="s">
        <v>275</v>
      </c>
      <c r="G20" s="32" t="s">
        <v>276</v>
      </c>
      <c r="H20" s="36">
        <v>1820</v>
      </c>
      <c r="I20" s="40" t="s">
        <v>390</v>
      </c>
    </row>
    <row r="21" spans="2:9" x14ac:dyDescent="0.2">
      <c r="B21" s="32" t="s">
        <v>277</v>
      </c>
      <c r="C21" s="32" t="s">
        <v>40</v>
      </c>
      <c r="D21" s="32" t="s">
        <v>404</v>
      </c>
      <c r="E21" s="38">
        <v>918</v>
      </c>
      <c r="F21" s="32" t="s">
        <v>278</v>
      </c>
      <c r="G21" s="32" t="s">
        <v>240</v>
      </c>
      <c r="H21" s="36">
        <v>1277</v>
      </c>
      <c r="I21" s="40" t="s">
        <v>390</v>
      </c>
    </row>
    <row r="22" spans="2:9" x14ac:dyDescent="0.2">
      <c r="B22" s="32" t="s">
        <v>279</v>
      </c>
      <c r="C22" s="32" t="s">
        <v>7</v>
      </c>
      <c r="D22" s="32" t="s">
        <v>3</v>
      </c>
      <c r="E22" s="38">
        <v>267</v>
      </c>
      <c r="F22" s="32" t="s">
        <v>280</v>
      </c>
      <c r="G22" s="32" t="s">
        <v>236</v>
      </c>
      <c r="H22" s="36">
        <v>368</v>
      </c>
      <c r="I22" s="40" t="s">
        <v>390</v>
      </c>
    </row>
    <row r="23" spans="2:9" x14ac:dyDescent="0.2">
      <c r="B23" s="32" t="s">
        <v>281</v>
      </c>
      <c r="C23" s="32" t="s">
        <v>282</v>
      </c>
      <c r="D23" s="32" t="s">
        <v>377</v>
      </c>
      <c r="E23" s="38">
        <v>832</v>
      </c>
      <c r="F23" s="32" t="s">
        <v>275</v>
      </c>
      <c r="G23" s="32" t="s">
        <v>283</v>
      </c>
      <c r="H23" s="36">
        <v>24</v>
      </c>
      <c r="I23" s="40" t="s">
        <v>390</v>
      </c>
    </row>
    <row r="24" spans="2:9" x14ac:dyDescent="0.2">
      <c r="B24" s="32" t="s">
        <v>284</v>
      </c>
      <c r="C24" s="32" t="s">
        <v>9</v>
      </c>
      <c r="D24" s="32" t="s">
        <v>401</v>
      </c>
      <c r="E24" s="38">
        <v>494</v>
      </c>
      <c r="F24" s="32" t="s">
        <v>285</v>
      </c>
      <c r="G24" s="32" t="s">
        <v>286</v>
      </c>
      <c r="H24" s="36">
        <v>23</v>
      </c>
      <c r="I24" s="40" t="s">
        <v>390</v>
      </c>
    </row>
    <row r="25" spans="2:9" x14ac:dyDescent="0.2">
      <c r="B25" s="32" t="s">
        <v>287</v>
      </c>
      <c r="C25" s="32" t="s">
        <v>40</v>
      </c>
      <c r="D25" s="32" t="s">
        <v>403</v>
      </c>
      <c r="E25" s="38">
        <v>93</v>
      </c>
      <c r="F25" s="32" t="s">
        <v>269</v>
      </c>
      <c r="G25" s="32" t="s">
        <v>270</v>
      </c>
      <c r="H25" s="36">
        <v>57</v>
      </c>
      <c r="I25" s="40" t="s">
        <v>390</v>
      </c>
    </row>
    <row r="26" spans="2:9" x14ac:dyDescent="0.2">
      <c r="B26" s="32" t="s">
        <v>36</v>
      </c>
      <c r="C26" s="32" t="s">
        <v>9</v>
      </c>
      <c r="D26" s="32" t="s">
        <v>357</v>
      </c>
      <c r="E26" s="38">
        <v>121</v>
      </c>
      <c r="F26" s="32" t="s">
        <v>37</v>
      </c>
      <c r="G26" s="32" t="s">
        <v>288</v>
      </c>
      <c r="H26" s="36">
        <v>1833</v>
      </c>
      <c r="I26" s="40" t="s">
        <v>390</v>
      </c>
    </row>
    <row r="27" spans="2:9" ht="25.5" x14ac:dyDescent="0.2">
      <c r="B27" s="32" t="s">
        <v>289</v>
      </c>
      <c r="C27" s="32" t="s">
        <v>9</v>
      </c>
      <c r="D27" s="32" t="s">
        <v>405</v>
      </c>
      <c r="E27" s="38">
        <v>544</v>
      </c>
      <c r="F27" s="32" t="s">
        <v>290</v>
      </c>
      <c r="G27" s="34" t="s">
        <v>291</v>
      </c>
      <c r="H27" s="36">
        <v>3150</v>
      </c>
      <c r="I27" s="40" t="s">
        <v>390</v>
      </c>
    </row>
    <row r="28" spans="2:9" x14ac:dyDescent="0.2">
      <c r="B28" s="32" t="s">
        <v>292</v>
      </c>
      <c r="C28" s="32" t="s">
        <v>9</v>
      </c>
      <c r="D28" s="32" t="s">
        <v>406</v>
      </c>
      <c r="E28" s="38">
        <v>1424</v>
      </c>
      <c r="F28" s="32" t="s">
        <v>293</v>
      </c>
      <c r="G28" s="32" t="s">
        <v>294</v>
      </c>
      <c r="H28" s="36">
        <v>392</v>
      </c>
      <c r="I28" s="40" t="s">
        <v>390</v>
      </c>
    </row>
    <row r="29" spans="2:9" x14ac:dyDescent="0.2">
      <c r="B29" s="32" t="s">
        <v>295</v>
      </c>
      <c r="C29" s="32" t="s">
        <v>296</v>
      </c>
      <c r="D29" s="32" t="s">
        <v>407</v>
      </c>
      <c r="E29" s="38">
        <v>1080</v>
      </c>
      <c r="F29" s="32" t="s">
        <v>297</v>
      </c>
      <c r="G29" s="32" t="s">
        <v>298</v>
      </c>
      <c r="H29" s="36">
        <v>867</v>
      </c>
      <c r="I29" s="40" t="s">
        <v>390</v>
      </c>
    </row>
    <row r="30" spans="2:9" x14ac:dyDescent="0.2">
      <c r="B30" s="32" t="s">
        <v>299</v>
      </c>
      <c r="C30" s="32" t="s">
        <v>40</v>
      </c>
      <c r="D30" s="32" t="s">
        <v>408</v>
      </c>
      <c r="E30" s="38">
        <v>243</v>
      </c>
      <c r="F30" s="32" t="s">
        <v>300</v>
      </c>
      <c r="G30" s="32" t="s">
        <v>301</v>
      </c>
      <c r="H30" s="36">
        <v>2079</v>
      </c>
      <c r="I30" s="40" t="s">
        <v>390</v>
      </c>
    </row>
    <row r="31" spans="2:9" x14ac:dyDescent="0.2">
      <c r="B31" s="32" t="s">
        <v>302</v>
      </c>
      <c r="C31" s="32" t="s">
        <v>7</v>
      </c>
      <c r="D31" s="32" t="s">
        <v>351</v>
      </c>
      <c r="E31" s="38">
        <v>558</v>
      </c>
      <c r="F31" s="32" t="s">
        <v>303</v>
      </c>
      <c r="G31" s="32" t="s">
        <v>304</v>
      </c>
      <c r="H31" s="36">
        <v>220</v>
      </c>
      <c r="I31" s="40" t="s">
        <v>390</v>
      </c>
    </row>
    <row r="32" spans="2:9" x14ac:dyDescent="0.2">
      <c r="B32" s="32" t="s">
        <v>305</v>
      </c>
      <c r="C32" s="32" t="s">
        <v>9</v>
      </c>
      <c r="D32" s="32" t="s">
        <v>362</v>
      </c>
      <c r="E32" s="38">
        <v>125</v>
      </c>
      <c r="F32" s="32" t="s">
        <v>306</v>
      </c>
      <c r="G32" s="33" t="s">
        <v>307</v>
      </c>
      <c r="H32" s="36">
        <v>79</v>
      </c>
      <c r="I32" s="40" t="s">
        <v>390</v>
      </c>
    </row>
    <row r="33" spans="1:9" x14ac:dyDescent="0.2">
      <c r="B33" s="32" t="s">
        <v>308</v>
      </c>
      <c r="C33" s="32" t="s">
        <v>9</v>
      </c>
      <c r="D33" s="32" t="s">
        <v>405</v>
      </c>
      <c r="E33" s="38">
        <v>571</v>
      </c>
      <c r="F33" s="32" t="s">
        <v>309</v>
      </c>
      <c r="G33" s="32" t="s">
        <v>310</v>
      </c>
      <c r="H33" s="36">
        <v>402</v>
      </c>
      <c r="I33" s="40" t="s">
        <v>390</v>
      </c>
    </row>
    <row r="34" spans="1:9" x14ac:dyDescent="0.2">
      <c r="B34" s="32" t="s">
        <v>311</v>
      </c>
      <c r="C34" s="32" t="s">
        <v>7</v>
      </c>
      <c r="D34" s="32" t="s">
        <v>391</v>
      </c>
      <c r="E34" s="38">
        <v>136</v>
      </c>
      <c r="F34" s="32" t="s">
        <v>312</v>
      </c>
      <c r="G34" s="33" t="s">
        <v>313</v>
      </c>
      <c r="H34" s="36">
        <v>248</v>
      </c>
      <c r="I34" s="40" t="s">
        <v>390</v>
      </c>
    </row>
    <row r="35" spans="1:9" ht="38.25" x14ac:dyDescent="0.2">
      <c r="B35" s="32" t="s">
        <v>314</v>
      </c>
      <c r="C35" s="32" t="s">
        <v>9</v>
      </c>
      <c r="D35" s="32" t="s">
        <v>357</v>
      </c>
      <c r="E35" s="38">
        <v>137</v>
      </c>
      <c r="F35" s="32" t="s">
        <v>315</v>
      </c>
      <c r="G35" s="34" t="s">
        <v>316</v>
      </c>
      <c r="H35" s="36">
        <v>75</v>
      </c>
      <c r="I35" s="40" t="s">
        <v>390</v>
      </c>
    </row>
    <row r="36" spans="1:9" x14ac:dyDescent="0.2">
      <c r="B36" s="32" t="s">
        <v>317</v>
      </c>
      <c r="C36" s="32" t="s">
        <v>40</v>
      </c>
      <c r="D36" s="32" t="s">
        <v>366</v>
      </c>
      <c r="E36" s="38">
        <v>980</v>
      </c>
      <c r="F36" s="32" t="s">
        <v>318</v>
      </c>
      <c r="G36" s="32" t="s">
        <v>252</v>
      </c>
      <c r="H36" s="36">
        <v>119</v>
      </c>
      <c r="I36" s="40" t="s">
        <v>390</v>
      </c>
    </row>
    <row r="37" spans="1:9" x14ac:dyDescent="0.2">
      <c r="B37" s="32" t="s">
        <v>319</v>
      </c>
      <c r="C37" s="32" t="s">
        <v>9</v>
      </c>
      <c r="D37" s="32" t="s">
        <v>3</v>
      </c>
      <c r="E37" s="38">
        <v>221</v>
      </c>
      <c r="F37" s="32" t="s">
        <v>320</v>
      </c>
      <c r="G37" s="33" t="s">
        <v>321</v>
      </c>
      <c r="H37" s="36">
        <v>327</v>
      </c>
      <c r="I37" s="40" t="s">
        <v>390</v>
      </c>
    </row>
    <row r="38" spans="1:9" x14ac:dyDescent="0.2">
      <c r="B38" s="32" t="s">
        <v>322</v>
      </c>
      <c r="C38" s="32" t="s">
        <v>7</v>
      </c>
      <c r="D38" s="32" t="s">
        <v>350</v>
      </c>
      <c r="E38" s="38">
        <v>145</v>
      </c>
      <c r="F38" s="32" t="s">
        <v>323</v>
      </c>
      <c r="G38" s="33" t="s">
        <v>324</v>
      </c>
      <c r="H38" s="36">
        <v>1691</v>
      </c>
      <c r="I38" s="40" t="s">
        <v>390</v>
      </c>
    </row>
    <row r="39" spans="1:9" x14ac:dyDescent="0.2">
      <c r="B39" s="32" t="s">
        <v>325</v>
      </c>
      <c r="C39" s="32" t="s">
        <v>40</v>
      </c>
      <c r="D39" s="32" t="s">
        <v>408</v>
      </c>
      <c r="E39" s="38">
        <v>624</v>
      </c>
      <c r="F39" s="32" t="s">
        <v>326</v>
      </c>
      <c r="G39" s="32" t="s">
        <v>327</v>
      </c>
      <c r="H39" s="36">
        <v>377</v>
      </c>
      <c r="I39" s="40" t="s">
        <v>390</v>
      </c>
    </row>
    <row r="40" spans="1:9" x14ac:dyDescent="0.2">
      <c r="B40" s="32" t="s">
        <v>328</v>
      </c>
      <c r="C40" s="32" t="s">
        <v>40</v>
      </c>
      <c r="D40" s="32" t="s">
        <v>399</v>
      </c>
      <c r="E40" s="38">
        <v>212</v>
      </c>
      <c r="F40" s="32" t="s">
        <v>329</v>
      </c>
      <c r="G40" s="32" t="s">
        <v>330</v>
      </c>
      <c r="H40" s="36">
        <v>418</v>
      </c>
      <c r="I40" s="40" t="s">
        <v>390</v>
      </c>
    </row>
    <row r="41" spans="1:9" x14ac:dyDescent="0.2">
      <c r="B41" s="32" t="s">
        <v>331</v>
      </c>
      <c r="C41" s="32" t="s">
        <v>332</v>
      </c>
      <c r="D41" s="32" t="s">
        <v>376</v>
      </c>
      <c r="E41" s="38">
        <v>224</v>
      </c>
      <c r="F41" s="32" t="s">
        <v>228</v>
      </c>
      <c r="G41" s="35" t="s">
        <v>333</v>
      </c>
      <c r="H41" s="36">
        <v>24</v>
      </c>
      <c r="I41" s="40" t="s">
        <v>390</v>
      </c>
    </row>
    <row r="42" spans="1:9" x14ac:dyDescent="0.2">
      <c r="B42" s="32" t="s">
        <v>409</v>
      </c>
      <c r="C42" s="32" t="s">
        <v>9</v>
      </c>
      <c r="D42" s="32" t="s">
        <v>391</v>
      </c>
      <c r="E42" s="38">
        <v>48</v>
      </c>
      <c r="F42" s="32" t="s">
        <v>334</v>
      </c>
      <c r="G42" s="32" t="s">
        <v>335</v>
      </c>
      <c r="H42" s="36">
        <v>194</v>
      </c>
      <c r="I42" s="40" t="s">
        <v>390</v>
      </c>
    </row>
    <row r="43" spans="1:9" x14ac:dyDescent="0.2">
      <c r="B43" s="32" t="s">
        <v>336</v>
      </c>
      <c r="C43" s="32" t="s">
        <v>9</v>
      </c>
      <c r="D43" s="32" t="s">
        <v>391</v>
      </c>
      <c r="E43" s="38">
        <v>173</v>
      </c>
      <c r="F43" s="32" t="s">
        <v>337</v>
      </c>
      <c r="G43" s="32" t="s">
        <v>338</v>
      </c>
      <c r="H43" s="36">
        <v>343</v>
      </c>
      <c r="I43" s="40" t="s">
        <v>390</v>
      </c>
    </row>
    <row r="44" spans="1:9" x14ac:dyDescent="0.2">
      <c r="B44" s="32" t="s">
        <v>339</v>
      </c>
      <c r="C44" s="32" t="s">
        <v>9</v>
      </c>
      <c r="D44" s="32" t="s">
        <v>357</v>
      </c>
      <c r="E44" s="38">
        <v>687</v>
      </c>
      <c r="F44" s="32" t="s">
        <v>340</v>
      </c>
      <c r="G44" s="33" t="s">
        <v>341</v>
      </c>
      <c r="H44" s="36">
        <v>3050</v>
      </c>
      <c r="I44" s="40" t="s">
        <v>390</v>
      </c>
    </row>
    <row r="46" spans="1:9" s="31" customFormat="1" ht="14.25" x14ac:dyDescent="0.2">
      <c r="A46" s="37"/>
      <c r="B46" s="37"/>
      <c r="C46" s="37"/>
      <c r="D46" s="37"/>
      <c r="E46" s="39"/>
      <c r="F46" s="37"/>
      <c r="G46" s="37" t="s">
        <v>410</v>
      </c>
      <c r="H46" s="42">
        <f>SUM(H2:H44)</f>
        <v>28635</v>
      </c>
      <c r="I46" s="41"/>
    </row>
  </sheetData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YBMNI Inventory</vt:lpstr>
      <vt:lpstr>Update 2013 April</vt:lpstr>
    </vt:vector>
  </TitlesOfParts>
  <Company>Nokia Siemens Networks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avhazan</dc:creator>
  <cp:lastModifiedBy>Warren</cp:lastModifiedBy>
  <dcterms:created xsi:type="dcterms:W3CDTF">2010-06-14T21:01:04Z</dcterms:created>
  <dcterms:modified xsi:type="dcterms:W3CDTF">2016-05-30T17:10:23Z</dcterms:modified>
</cp:coreProperties>
</file>