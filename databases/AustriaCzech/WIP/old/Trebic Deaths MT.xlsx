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autoCompressPictures="0"/>
  <mc:AlternateContent xmlns:mc="http://schemas.openxmlformats.org/markup-compatibility/2006">
    <mc:Choice Requires="x15">
      <x15ac:absPath xmlns:x15ac="http://schemas.microsoft.com/office/spreadsheetml/2010/11/ac" url="E:\data\allbohmor\aug2014\"/>
    </mc:Choice>
  </mc:AlternateContent>
  <bookViews>
    <workbookView xWindow="0" yWindow="0" windowWidth="25200" windowHeight="11985" tabRatio="500"/>
  </bookViews>
  <sheets>
    <sheet name="Sheet1" sheetId="1" r:id="rId1"/>
    <sheet name="Sheet2" sheetId="2" r:id="rId2"/>
  </sheets>
  <definedNames>
    <definedName name="_xlnm._FilterDatabase" localSheetId="0" hidden="1">Sheet1!$A$1:$Q$2975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K3" i="1" l="1"/>
  <c r="L3" i="1"/>
  <c r="M3" i="1"/>
  <c r="K4" i="1"/>
  <c r="L4" i="1"/>
  <c r="M4" i="1"/>
  <c r="K5" i="1"/>
  <c r="L5" i="1"/>
  <c r="M5" i="1"/>
  <c r="K6" i="1"/>
  <c r="L6" i="1"/>
  <c r="M6" i="1"/>
  <c r="K7" i="1"/>
  <c r="J7" i="1" s="1"/>
  <c r="L7" i="1"/>
  <c r="M7" i="1"/>
  <c r="K8" i="1"/>
  <c r="L8" i="1"/>
  <c r="M8" i="1"/>
  <c r="K9" i="1"/>
  <c r="L9" i="1"/>
  <c r="M9" i="1"/>
  <c r="K10" i="1"/>
  <c r="L10" i="1"/>
  <c r="M10" i="1"/>
  <c r="K11" i="1"/>
  <c r="L11" i="1"/>
  <c r="M11" i="1"/>
  <c r="K12" i="1"/>
  <c r="L12" i="1"/>
  <c r="M12" i="1"/>
  <c r="K13" i="1"/>
  <c r="L13" i="1"/>
  <c r="M13" i="1"/>
  <c r="K14" i="1"/>
  <c r="L14" i="1"/>
  <c r="M14" i="1"/>
  <c r="K15" i="1"/>
  <c r="L15" i="1"/>
  <c r="M15" i="1"/>
  <c r="K16" i="1"/>
  <c r="L16" i="1"/>
  <c r="M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K22" i="1"/>
  <c r="L22" i="1"/>
  <c r="M22" i="1"/>
  <c r="K23" i="1"/>
  <c r="L23" i="1"/>
  <c r="M23" i="1"/>
  <c r="K24" i="1"/>
  <c r="L24" i="1"/>
  <c r="M24" i="1"/>
  <c r="K25" i="1"/>
  <c r="L25" i="1"/>
  <c r="M25" i="1"/>
  <c r="K26" i="1"/>
  <c r="L26" i="1"/>
  <c r="M26" i="1"/>
  <c r="K27" i="1"/>
  <c r="L27" i="1"/>
  <c r="M27" i="1"/>
  <c r="K28" i="1"/>
  <c r="L28" i="1"/>
  <c r="M28" i="1"/>
  <c r="K29" i="1"/>
  <c r="L29" i="1"/>
  <c r="M29" i="1"/>
  <c r="K30" i="1"/>
  <c r="L30" i="1"/>
  <c r="M30" i="1"/>
  <c r="K31" i="1"/>
  <c r="L31" i="1"/>
  <c r="M31" i="1"/>
  <c r="K32" i="1"/>
  <c r="L32" i="1"/>
  <c r="M32" i="1"/>
  <c r="J32" i="1" s="1"/>
  <c r="K33" i="1"/>
  <c r="L33" i="1"/>
  <c r="M33" i="1"/>
  <c r="K34" i="1"/>
  <c r="L34" i="1"/>
  <c r="M34" i="1"/>
  <c r="J34" i="1" s="1"/>
  <c r="K35" i="1"/>
  <c r="L35" i="1"/>
  <c r="M35" i="1"/>
  <c r="K36" i="1"/>
  <c r="L36" i="1"/>
  <c r="M36" i="1"/>
  <c r="K37" i="1"/>
  <c r="L37" i="1"/>
  <c r="M37" i="1"/>
  <c r="K38" i="1"/>
  <c r="L38" i="1"/>
  <c r="M38" i="1"/>
  <c r="J38" i="1" s="1"/>
  <c r="K39" i="1"/>
  <c r="L39" i="1"/>
  <c r="M39" i="1"/>
  <c r="K40" i="1"/>
  <c r="L40" i="1"/>
  <c r="M40" i="1"/>
  <c r="K41" i="1"/>
  <c r="L41" i="1"/>
  <c r="M41" i="1"/>
  <c r="K42" i="1"/>
  <c r="L42" i="1"/>
  <c r="M42" i="1"/>
  <c r="K43" i="1"/>
  <c r="L43" i="1"/>
  <c r="M43" i="1"/>
  <c r="K44" i="1"/>
  <c r="L44" i="1"/>
  <c r="M44" i="1"/>
  <c r="K45" i="1"/>
  <c r="L45" i="1"/>
  <c r="M45" i="1"/>
  <c r="K46" i="1"/>
  <c r="L46" i="1"/>
  <c r="M46" i="1"/>
  <c r="K47" i="1"/>
  <c r="L47" i="1"/>
  <c r="M47" i="1"/>
  <c r="K48" i="1"/>
  <c r="L48" i="1"/>
  <c r="M48" i="1"/>
  <c r="K49" i="1"/>
  <c r="L49" i="1"/>
  <c r="M49" i="1"/>
  <c r="K50" i="1"/>
  <c r="L50" i="1"/>
  <c r="M50" i="1"/>
  <c r="K51" i="1"/>
  <c r="L51" i="1"/>
  <c r="M51" i="1"/>
  <c r="K52" i="1"/>
  <c r="L52" i="1"/>
  <c r="M52" i="1"/>
  <c r="K53" i="1"/>
  <c r="L53" i="1"/>
  <c r="M53" i="1"/>
  <c r="K54" i="1"/>
  <c r="L54" i="1"/>
  <c r="M54" i="1"/>
  <c r="K55" i="1"/>
  <c r="L55" i="1"/>
  <c r="M55" i="1"/>
  <c r="K56" i="1"/>
  <c r="L56" i="1"/>
  <c r="M56" i="1"/>
  <c r="K57" i="1"/>
  <c r="L57" i="1"/>
  <c r="M57" i="1"/>
  <c r="K58" i="1"/>
  <c r="L58" i="1"/>
  <c r="M58" i="1"/>
  <c r="K59" i="1"/>
  <c r="L59" i="1"/>
  <c r="M59" i="1"/>
  <c r="K60" i="1"/>
  <c r="L60" i="1"/>
  <c r="M60" i="1"/>
  <c r="K61" i="1"/>
  <c r="L61" i="1"/>
  <c r="M61" i="1"/>
  <c r="K62" i="1"/>
  <c r="L62" i="1"/>
  <c r="M62" i="1"/>
  <c r="K63" i="1"/>
  <c r="L63" i="1"/>
  <c r="M63" i="1"/>
  <c r="K64" i="1"/>
  <c r="L64" i="1"/>
  <c r="M64" i="1"/>
  <c r="K65" i="1"/>
  <c r="L65" i="1"/>
  <c r="M65" i="1"/>
  <c r="K66" i="1"/>
  <c r="L66" i="1"/>
  <c r="M66" i="1"/>
  <c r="K67" i="1"/>
  <c r="L67" i="1"/>
  <c r="M67" i="1"/>
  <c r="K68" i="1"/>
  <c r="L68" i="1"/>
  <c r="M68" i="1"/>
  <c r="K69" i="1"/>
  <c r="L69" i="1"/>
  <c r="M69" i="1"/>
  <c r="K70" i="1"/>
  <c r="L70" i="1"/>
  <c r="M70" i="1"/>
  <c r="K71" i="1"/>
  <c r="L71" i="1"/>
  <c r="M71" i="1"/>
  <c r="K72" i="1"/>
  <c r="L72" i="1"/>
  <c r="M72" i="1"/>
  <c r="K73" i="1"/>
  <c r="L73" i="1"/>
  <c r="M73" i="1"/>
  <c r="K74" i="1"/>
  <c r="L74" i="1"/>
  <c r="M74" i="1"/>
  <c r="K75" i="1"/>
  <c r="J75" i="1" s="1"/>
  <c r="L75" i="1"/>
  <c r="M75" i="1"/>
  <c r="K76" i="1"/>
  <c r="L76" i="1"/>
  <c r="M76" i="1"/>
  <c r="K77" i="1"/>
  <c r="L77" i="1"/>
  <c r="M77" i="1"/>
  <c r="K78" i="1"/>
  <c r="L78" i="1"/>
  <c r="M78" i="1"/>
  <c r="K79" i="1"/>
  <c r="L79" i="1"/>
  <c r="M79" i="1"/>
  <c r="K80" i="1"/>
  <c r="L80" i="1"/>
  <c r="M80" i="1"/>
  <c r="K81" i="1"/>
  <c r="L81" i="1"/>
  <c r="M81" i="1"/>
  <c r="K82" i="1"/>
  <c r="L82" i="1"/>
  <c r="M82" i="1"/>
  <c r="K83" i="1"/>
  <c r="L83" i="1"/>
  <c r="M83" i="1"/>
  <c r="K84" i="1"/>
  <c r="L84" i="1"/>
  <c r="M84" i="1"/>
  <c r="K85" i="1"/>
  <c r="L85" i="1"/>
  <c r="M85" i="1"/>
  <c r="K86" i="1"/>
  <c r="L86" i="1"/>
  <c r="M86" i="1"/>
  <c r="K87" i="1"/>
  <c r="L87" i="1"/>
  <c r="M87" i="1"/>
  <c r="K88" i="1"/>
  <c r="L88" i="1"/>
  <c r="M88" i="1"/>
  <c r="K89" i="1"/>
  <c r="L89" i="1"/>
  <c r="M89" i="1"/>
  <c r="K90" i="1"/>
  <c r="L90" i="1"/>
  <c r="M90" i="1"/>
  <c r="K91" i="1"/>
  <c r="L91" i="1"/>
  <c r="M91" i="1"/>
  <c r="K92" i="1"/>
  <c r="L92" i="1"/>
  <c r="M92" i="1"/>
  <c r="K93" i="1"/>
  <c r="L93" i="1"/>
  <c r="M93" i="1"/>
  <c r="K94" i="1"/>
  <c r="L94" i="1"/>
  <c r="M94" i="1"/>
  <c r="K95" i="1"/>
  <c r="L95" i="1"/>
  <c r="M95" i="1"/>
  <c r="K96" i="1"/>
  <c r="L96" i="1"/>
  <c r="M96" i="1"/>
  <c r="K97" i="1"/>
  <c r="L97" i="1"/>
  <c r="M97" i="1"/>
  <c r="K98" i="1"/>
  <c r="L98" i="1"/>
  <c r="M98" i="1"/>
  <c r="K99" i="1"/>
  <c r="L99" i="1"/>
  <c r="M99" i="1"/>
  <c r="K100" i="1"/>
  <c r="L100" i="1"/>
  <c r="M100" i="1"/>
  <c r="K101" i="1"/>
  <c r="L101" i="1"/>
  <c r="M101" i="1"/>
  <c r="K102" i="1"/>
  <c r="L102" i="1"/>
  <c r="M102" i="1"/>
  <c r="K103" i="1"/>
  <c r="L103" i="1"/>
  <c r="M103" i="1"/>
  <c r="K104" i="1"/>
  <c r="L104" i="1"/>
  <c r="M104" i="1"/>
  <c r="J104" i="1" s="1"/>
  <c r="K105" i="1"/>
  <c r="L105" i="1"/>
  <c r="M105" i="1"/>
  <c r="K106" i="1"/>
  <c r="L106" i="1"/>
  <c r="M106" i="1"/>
  <c r="K107" i="1"/>
  <c r="L107" i="1"/>
  <c r="M107" i="1"/>
  <c r="K108" i="1"/>
  <c r="L108" i="1"/>
  <c r="M108" i="1"/>
  <c r="K109" i="1"/>
  <c r="L109" i="1"/>
  <c r="M109" i="1"/>
  <c r="K110" i="1"/>
  <c r="L110" i="1"/>
  <c r="M110" i="1"/>
  <c r="K111" i="1"/>
  <c r="L111" i="1"/>
  <c r="M111" i="1"/>
  <c r="K112" i="1"/>
  <c r="L112" i="1"/>
  <c r="M112" i="1"/>
  <c r="K113" i="1"/>
  <c r="L113" i="1"/>
  <c r="M113" i="1"/>
  <c r="K114" i="1"/>
  <c r="L114" i="1"/>
  <c r="M114" i="1"/>
  <c r="K115" i="1"/>
  <c r="L115" i="1"/>
  <c r="M115" i="1"/>
  <c r="K116" i="1"/>
  <c r="L116" i="1"/>
  <c r="M116" i="1"/>
  <c r="K117" i="1"/>
  <c r="L117" i="1"/>
  <c r="M117" i="1"/>
  <c r="K118" i="1"/>
  <c r="L118" i="1"/>
  <c r="M118" i="1"/>
  <c r="K119" i="1"/>
  <c r="L119" i="1"/>
  <c r="M119" i="1"/>
  <c r="K120" i="1"/>
  <c r="L120" i="1"/>
  <c r="M120" i="1"/>
  <c r="K121" i="1"/>
  <c r="L121" i="1"/>
  <c r="M121" i="1"/>
  <c r="K122" i="1"/>
  <c r="L122" i="1"/>
  <c r="M122" i="1"/>
  <c r="K123" i="1"/>
  <c r="L123" i="1"/>
  <c r="M123" i="1"/>
  <c r="K124" i="1"/>
  <c r="L124" i="1"/>
  <c r="M124" i="1"/>
  <c r="J124" i="1" s="1"/>
  <c r="K125" i="1"/>
  <c r="L125" i="1"/>
  <c r="M125" i="1"/>
  <c r="K126" i="1"/>
  <c r="L126" i="1"/>
  <c r="M126" i="1"/>
  <c r="K127" i="1"/>
  <c r="L127" i="1"/>
  <c r="M127" i="1"/>
  <c r="K128" i="1"/>
  <c r="L128" i="1"/>
  <c r="M128" i="1"/>
  <c r="K129" i="1"/>
  <c r="L129" i="1"/>
  <c r="M129" i="1"/>
  <c r="K130" i="1"/>
  <c r="L130" i="1"/>
  <c r="M130" i="1"/>
  <c r="K131" i="1"/>
  <c r="L131" i="1"/>
  <c r="M131" i="1"/>
  <c r="K132" i="1"/>
  <c r="L132" i="1"/>
  <c r="M132" i="1"/>
  <c r="K133" i="1"/>
  <c r="L133" i="1"/>
  <c r="M133" i="1"/>
  <c r="K134" i="1"/>
  <c r="L134" i="1"/>
  <c r="M134" i="1"/>
  <c r="K135" i="1"/>
  <c r="L135" i="1"/>
  <c r="M135" i="1"/>
  <c r="K136" i="1"/>
  <c r="L136" i="1"/>
  <c r="M136" i="1"/>
  <c r="K137" i="1"/>
  <c r="L137" i="1"/>
  <c r="M137" i="1"/>
  <c r="K138" i="1"/>
  <c r="L138" i="1"/>
  <c r="M138" i="1"/>
  <c r="K139" i="1"/>
  <c r="L139" i="1"/>
  <c r="M139" i="1"/>
  <c r="K140" i="1"/>
  <c r="L140" i="1"/>
  <c r="M140" i="1"/>
  <c r="K141" i="1"/>
  <c r="L141" i="1"/>
  <c r="M141" i="1"/>
  <c r="K142" i="1"/>
  <c r="L142" i="1"/>
  <c r="M142" i="1"/>
  <c r="K143" i="1"/>
  <c r="L143" i="1"/>
  <c r="M143" i="1"/>
  <c r="K144" i="1"/>
  <c r="L144" i="1"/>
  <c r="M144" i="1"/>
  <c r="K145" i="1"/>
  <c r="L145" i="1"/>
  <c r="M145" i="1"/>
  <c r="K146" i="1"/>
  <c r="L146" i="1"/>
  <c r="M146" i="1"/>
  <c r="K147" i="1"/>
  <c r="L147" i="1"/>
  <c r="M147" i="1"/>
  <c r="K148" i="1"/>
  <c r="L148" i="1"/>
  <c r="M148" i="1"/>
  <c r="K149" i="1"/>
  <c r="L149" i="1"/>
  <c r="M149" i="1"/>
  <c r="K150" i="1"/>
  <c r="L150" i="1"/>
  <c r="M150" i="1"/>
  <c r="K151" i="1"/>
  <c r="L151" i="1"/>
  <c r="M151" i="1"/>
  <c r="K152" i="1"/>
  <c r="L152" i="1"/>
  <c r="M152" i="1"/>
  <c r="K153" i="1"/>
  <c r="L153" i="1"/>
  <c r="M153" i="1"/>
  <c r="K154" i="1"/>
  <c r="L154" i="1"/>
  <c r="M154" i="1"/>
  <c r="K155" i="1"/>
  <c r="L155" i="1"/>
  <c r="M155" i="1"/>
  <c r="K156" i="1"/>
  <c r="L156" i="1"/>
  <c r="M156" i="1"/>
  <c r="K157" i="1"/>
  <c r="L157" i="1"/>
  <c r="M157" i="1"/>
  <c r="K158" i="1"/>
  <c r="L158" i="1"/>
  <c r="M158" i="1"/>
  <c r="K159" i="1"/>
  <c r="L159" i="1"/>
  <c r="M159" i="1"/>
  <c r="K160" i="1"/>
  <c r="L160" i="1"/>
  <c r="M160" i="1"/>
  <c r="K161" i="1"/>
  <c r="L161" i="1"/>
  <c r="M161" i="1"/>
  <c r="K162" i="1"/>
  <c r="L162" i="1"/>
  <c r="M162" i="1"/>
  <c r="K163" i="1"/>
  <c r="L163" i="1"/>
  <c r="M163" i="1"/>
  <c r="K164" i="1"/>
  <c r="L164" i="1"/>
  <c r="M164" i="1"/>
  <c r="K165" i="1"/>
  <c r="L165" i="1"/>
  <c r="M165" i="1"/>
  <c r="K166" i="1"/>
  <c r="L166" i="1"/>
  <c r="M166" i="1"/>
  <c r="K167" i="1"/>
  <c r="L167" i="1"/>
  <c r="M167" i="1"/>
  <c r="K168" i="1"/>
  <c r="L168" i="1"/>
  <c r="M168" i="1"/>
  <c r="K169" i="1"/>
  <c r="L169" i="1"/>
  <c r="M169" i="1"/>
  <c r="K170" i="1"/>
  <c r="L170" i="1"/>
  <c r="M170" i="1"/>
  <c r="K171" i="1"/>
  <c r="L171" i="1"/>
  <c r="M171" i="1"/>
  <c r="K172" i="1"/>
  <c r="L172" i="1"/>
  <c r="M172" i="1"/>
  <c r="K173" i="1"/>
  <c r="L173" i="1"/>
  <c r="M173" i="1"/>
  <c r="K174" i="1"/>
  <c r="L174" i="1"/>
  <c r="M174" i="1"/>
  <c r="K175" i="1"/>
  <c r="L175" i="1"/>
  <c r="M175" i="1"/>
  <c r="K176" i="1"/>
  <c r="L176" i="1"/>
  <c r="M176" i="1"/>
  <c r="K177" i="1"/>
  <c r="L177" i="1"/>
  <c r="M177" i="1"/>
  <c r="K178" i="1"/>
  <c r="L178" i="1"/>
  <c r="M178" i="1"/>
  <c r="K179" i="1"/>
  <c r="L179" i="1"/>
  <c r="M179" i="1"/>
  <c r="K180" i="1"/>
  <c r="L180" i="1"/>
  <c r="M180" i="1"/>
  <c r="K181" i="1"/>
  <c r="L181" i="1"/>
  <c r="M181" i="1"/>
  <c r="K182" i="1"/>
  <c r="L182" i="1"/>
  <c r="M182" i="1"/>
  <c r="K183" i="1"/>
  <c r="L183" i="1"/>
  <c r="M183" i="1"/>
  <c r="K184" i="1"/>
  <c r="L184" i="1"/>
  <c r="M184" i="1"/>
  <c r="K185" i="1"/>
  <c r="L185" i="1"/>
  <c r="M185" i="1"/>
  <c r="K186" i="1"/>
  <c r="L186" i="1"/>
  <c r="M186" i="1"/>
  <c r="K187" i="1"/>
  <c r="L187" i="1"/>
  <c r="M187" i="1"/>
  <c r="K188" i="1"/>
  <c r="L188" i="1"/>
  <c r="M188" i="1"/>
  <c r="K189" i="1"/>
  <c r="L189" i="1"/>
  <c r="M189" i="1"/>
  <c r="K190" i="1"/>
  <c r="L190" i="1"/>
  <c r="M190" i="1"/>
  <c r="K191" i="1"/>
  <c r="L191" i="1"/>
  <c r="M191" i="1"/>
  <c r="K192" i="1"/>
  <c r="L192" i="1"/>
  <c r="M192" i="1"/>
  <c r="K193" i="1"/>
  <c r="L193" i="1"/>
  <c r="M193" i="1"/>
  <c r="K194" i="1"/>
  <c r="L194" i="1"/>
  <c r="M194" i="1"/>
  <c r="K195" i="1"/>
  <c r="L195" i="1"/>
  <c r="M195" i="1"/>
  <c r="K196" i="1"/>
  <c r="L196" i="1"/>
  <c r="M196" i="1"/>
  <c r="K197" i="1"/>
  <c r="L197" i="1"/>
  <c r="M197" i="1"/>
  <c r="K198" i="1"/>
  <c r="L198" i="1"/>
  <c r="M198" i="1"/>
  <c r="K199" i="1"/>
  <c r="L199" i="1"/>
  <c r="M199" i="1"/>
  <c r="K200" i="1"/>
  <c r="L200" i="1"/>
  <c r="M200" i="1"/>
  <c r="K201" i="1"/>
  <c r="L201" i="1"/>
  <c r="M201" i="1"/>
  <c r="K202" i="1"/>
  <c r="L202" i="1"/>
  <c r="M202" i="1"/>
  <c r="K203" i="1"/>
  <c r="L203" i="1"/>
  <c r="M203" i="1"/>
  <c r="K204" i="1"/>
  <c r="L204" i="1"/>
  <c r="M204" i="1"/>
  <c r="K205" i="1"/>
  <c r="L205" i="1"/>
  <c r="M205" i="1"/>
  <c r="K206" i="1"/>
  <c r="L206" i="1"/>
  <c r="M206" i="1"/>
  <c r="K207" i="1"/>
  <c r="L207" i="1"/>
  <c r="M207" i="1"/>
  <c r="K208" i="1"/>
  <c r="L208" i="1"/>
  <c r="M208" i="1"/>
  <c r="K209" i="1"/>
  <c r="L209" i="1"/>
  <c r="M209" i="1"/>
  <c r="K210" i="1"/>
  <c r="L210" i="1"/>
  <c r="M210" i="1"/>
  <c r="K211" i="1"/>
  <c r="L211" i="1"/>
  <c r="M211" i="1"/>
  <c r="K212" i="1"/>
  <c r="L212" i="1"/>
  <c r="M212" i="1"/>
  <c r="K213" i="1"/>
  <c r="L213" i="1"/>
  <c r="M213" i="1"/>
  <c r="K214" i="1"/>
  <c r="L214" i="1"/>
  <c r="M214" i="1"/>
  <c r="K215" i="1"/>
  <c r="L215" i="1"/>
  <c r="M215" i="1"/>
  <c r="K216" i="1"/>
  <c r="L216" i="1"/>
  <c r="M216" i="1"/>
  <c r="K217" i="1"/>
  <c r="L217" i="1"/>
  <c r="M217" i="1"/>
  <c r="K218" i="1"/>
  <c r="L218" i="1"/>
  <c r="M218" i="1"/>
  <c r="K219" i="1"/>
  <c r="L219" i="1"/>
  <c r="M219" i="1"/>
  <c r="K220" i="1"/>
  <c r="L220" i="1"/>
  <c r="M220" i="1"/>
  <c r="K221" i="1"/>
  <c r="L221" i="1"/>
  <c r="M221" i="1"/>
  <c r="K222" i="1"/>
  <c r="L222" i="1"/>
  <c r="M222" i="1"/>
  <c r="K223" i="1"/>
  <c r="L223" i="1"/>
  <c r="M223" i="1"/>
  <c r="K224" i="1"/>
  <c r="L224" i="1"/>
  <c r="M224" i="1"/>
  <c r="K225" i="1"/>
  <c r="L225" i="1"/>
  <c r="M225" i="1"/>
  <c r="K226" i="1"/>
  <c r="L226" i="1"/>
  <c r="M226" i="1"/>
  <c r="K227" i="1"/>
  <c r="L227" i="1"/>
  <c r="M227" i="1"/>
  <c r="K228" i="1"/>
  <c r="L228" i="1"/>
  <c r="M228" i="1"/>
  <c r="K229" i="1"/>
  <c r="L229" i="1"/>
  <c r="M229" i="1"/>
  <c r="K230" i="1"/>
  <c r="L230" i="1"/>
  <c r="M230" i="1"/>
  <c r="K231" i="1"/>
  <c r="L231" i="1"/>
  <c r="M231" i="1"/>
  <c r="K232" i="1"/>
  <c r="L232" i="1"/>
  <c r="M232" i="1"/>
  <c r="K233" i="1"/>
  <c r="L233" i="1"/>
  <c r="M233" i="1"/>
  <c r="K234" i="1"/>
  <c r="L234" i="1"/>
  <c r="M234" i="1"/>
  <c r="K235" i="1"/>
  <c r="L235" i="1"/>
  <c r="M235" i="1"/>
  <c r="K236" i="1"/>
  <c r="L236" i="1"/>
  <c r="M236" i="1"/>
  <c r="K237" i="1"/>
  <c r="L237" i="1"/>
  <c r="M237" i="1"/>
  <c r="K238" i="1"/>
  <c r="L238" i="1"/>
  <c r="M238" i="1"/>
  <c r="K239" i="1"/>
  <c r="L239" i="1"/>
  <c r="M239" i="1"/>
  <c r="K240" i="1"/>
  <c r="L240" i="1"/>
  <c r="M240" i="1"/>
  <c r="K241" i="1"/>
  <c r="L241" i="1"/>
  <c r="M241" i="1"/>
  <c r="K242" i="1"/>
  <c r="L242" i="1"/>
  <c r="M242" i="1"/>
  <c r="K243" i="1"/>
  <c r="L243" i="1"/>
  <c r="M243" i="1"/>
  <c r="K244" i="1"/>
  <c r="L244" i="1"/>
  <c r="M244" i="1"/>
  <c r="K245" i="1"/>
  <c r="L245" i="1"/>
  <c r="M245" i="1"/>
  <c r="K246" i="1"/>
  <c r="L246" i="1"/>
  <c r="M246" i="1"/>
  <c r="K247" i="1"/>
  <c r="L247" i="1"/>
  <c r="M247" i="1"/>
  <c r="K248" i="1"/>
  <c r="L248" i="1"/>
  <c r="M248" i="1"/>
  <c r="J248" i="1" s="1"/>
  <c r="K249" i="1"/>
  <c r="L249" i="1"/>
  <c r="M249" i="1"/>
  <c r="K250" i="1"/>
  <c r="L250" i="1"/>
  <c r="M250" i="1"/>
  <c r="K251" i="1"/>
  <c r="L251" i="1"/>
  <c r="M251" i="1"/>
  <c r="K252" i="1"/>
  <c r="L252" i="1"/>
  <c r="M252" i="1"/>
  <c r="K253" i="1"/>
  <c r="L253" i="1"/>
  <c r="M253" i="1"/>
  <c r="K254" i="1"/>
  <c r="L254" i="1"/>
  <c r="M254" i="1"/>
  <c r="K255" i="1"/>
  <c r="L255" i="1"/>
  <c r="M255" i="1"/>
  <c r="K256" i="1"/>
  <c r="L256" i="1"/>
  <c r="M256" i="1"/>
  <c r="K257" i="1"/>
  <c r="L257" i="1"/>
  <c r="M257" i="1"/>
  <c r="K258" i="1"/>
  <c r="L258" i="1"/>
  <c r="M258" i="1"/>
  <c r="K259" i="1"/>
  <c r="L259" i="1"/>
  <c r="M259" i="1"/>
  <c r="K260" i="1"/>
  <c r="L260" i="1"/>
  <c r="M260" i="1"/>
  <c r="K261" i="1"/>
  <c r="L261" i="1"/>
  <c r="M261" i="1"/>
  <c r="K262" i="1"/>
  <c r="L262" i="1"/>
  <c r="M262" i="1"/>
  <c r="K263" i="1"/>
  <c r="L263" i="1"/>
  <c r="M263" i="1"/>
  <c r="K264" i="1"/>
  <c r="L264" i="1"/>
  <c r="M264" i="1"/>
  <c r="K265" i="1"/>
  <c r="L265" i="1"/>
  <c r="M265" i="1"/>
  <c r="K266" i="1"/>
  <c r="L266" i="1"/>
  <c r="M266" i="1"/>
  <c r="K267" i="1"/>
  <c r="L267" i="1"/>
  <c r="M267" i="1"/>
  <c r="K268" i="1"/>
  <c r="L268" i="1"/>
  <c r="M268" i="1"/>
  <c r="K269" i="1"/>
  <c r="L269" i="1"/>
  <c r="M269" i="1"/>
  <c r="K270" i="1"/>
  <c r="L270" i="1"/>
  <c r="M270" i="1"/>
  <c r="K271" i="1"/>
  <c r="L271" i="1"/>
  <c r="M271" i="1"/>
  <c r="K272" i="1"/>
  <c r="L272" i="1"/>
  <c r="M272" i="1"/>
  <c r="K273" i="1"/>
  <c r="L273" i="1"/>
  <c r="M273" i="1"/>
  <c r="K274" i="1"/>
  <c r="L274" i="1"/>
  <c r="M274" i="1"/>
  <c r="K275" i="1"/>
  <c r="L275" i="1"/>
  <c r="M275" i="1"/>
  <c r="K276" i="1"/>
  <c r="L276" i="1"/>
  <c r="M276" i="1"/>
  <c r="K277" i="1"/>
  <c r="L277" i="1"/>
  <c r="M277" i="1"/>
  <c r="K278" i="1"/>
  <c r="L278" i="1"/>
  <c r="M278" i="1"/>
  <c r="K279" i="1"/>
  <c r="L279" i="1"/>
  <c r="M279" i="1"/>
  <c r="K280" i="1"/>
  <c r="L280" i="1"/>
  <c r="M280" i="1"/>
  <c r="K281" i="1"/>
  <c r="L281" i="1"/>
  <c r="M281" i="1"/>
  <c r="K282" i="1"/>
  <c r="L282" i="1"/>
  <c r="M282" i="1"/>
  <c r="K283" i="1"/>
  <c r="L283" i="1"/>
  <c r="M283" i="1"/>
  <c r="K284" i="1"/>
  <c r="L284" i="1"/>
  <c r="M284" i="1"/>
  <c r="K285" i="1"/>
  <c r="L285" i="1"/>
  <c r="M285" i="1"/>
  <c r="K286" i="1"/>
  <c r="L286" i="1"/>
  <c r="M286" i="1"/>
  <c r="K287" i="1"/>
  <c r="L287" i="1"/>
  <c r="M287" i="1"/>
  <c r="K288" i="1"/>
  <c r="L288" i="1"/>
  <c r="M288" i="1"/>
  <c r="K289" i="1"/>
  <c r="L289" i="1"/>
  <c r="M289" i="1"/>
  <c r="K290" i="1"/>
  <c r="L290" i="1"/>
  <c r="M290" i="1"/>
  <c r="K291" i="1"/>
  <c r="L291" i="1"/>
  <c r="M291" i="1"/>
  <c r="J292" i="1"/>
  <c r="K292" i="1"/>
  <c r="L292" i="1"/>
  <c r="M292" i="1"/>
  <c r="K293" i="1"/>
  <c r="L293" i="1"/>
  <c r="M293" i="1"/>
  <c r="K294" i="1"/>
  <c r="L294" i="1"/>
  <c r="M294" i="1"/>
  <c r="K295" i="1"/>
  <c r="L295" i="1"/>
  <c r="M295" i="1"/>
  <c r="K296" i="1"/>
  <c r="L296" i="1"/>
  <c r="M296" i="1"/>
  <c r="K297" i="1"/>
  <c r="L297" i="1"/>
  <c r="M297" i="1"/>
  <c r="K298" i="1"/>
  <c r="L298" i="1"/>
  <c r="M298" i="1"/>
  <c r="K299" i="1"/>
  <c r="L299" i="1"/>
  <c r="M299" i="1"/>
  <c r="K300" i="1"/>
  <c r="L300" i="1"/>
  <c r="M300" i="1"/>
  <c r="J300" i="1" s="1"/>
  <c r="K301" i="1"/>
  <c r="L301" i="1"/>
  <c r="M301" i="1"/>
  <c r="K302" i="1"/>
  <c r="L302" i="1"/>
  <c r="M302" i="1"/>
  <c r="K303" i="1"/>
  <c r="L303" i="1"/>
  <c r="M303" i="1"/>
  <c r="K304" i="1"/>
  <c r="L304" i="1"/>
  <c r="M304" i="1"/>
  <c r="K305" i="1"/>
  <c r="L305" i="1"/>
  <c r="M305" i="1"/>
  <c r="K306" i="1"/>
  <c r="L306" i="1"/>
  <c r="M306" i="1"/>
  <c r="K307" i="1"/>
  <c r="L307" i="1"/>
  <c r="M307" i="1"/>
  <c r="K308" i="1"/>
  <c r="L308" i="1"/>
  <c r="M308" i="1"/>
  <c r="K309" i="1"/>
  <c r="L309" i="1"/>
  <c r="M309" i="1"/>
  <c r="K310" i="1"/>
  <c r="L310" i="1"/>
  <c r="M310" i="1"/>
  <c r="K311" i="1"/>
  <c r="L311" i="1"/>
  <c r="M311" i="1"/>
  <c r="K312" i="1"/>
  <c r="L312" i="1"/>
  <c r="M312" i="1"/>
  <c r="K313" i="1"/>
  <c r="L313" i="1"/>
  <c r="M313" i="1"/>
  <c r="K314" i="1"/>
  <c r="L314" i="1"/>
  <c r="M314" i="1"/>
  <c r="K315" i="1"/>
  <c r="L315" i="1"/>
  <c r="M315" i="1"/>
  <c r="K316" i="1"/>
  <c r="L316" i="1"/>
  <c r="M316" i="1"/>
  <c r="K317" i="1"/>
  <c r="L317" i="1"/>
  <c r="M317" i="1"/>
  <c r="K318" i="1"/>
  <c r="L318" i="1"/>
  <c r="M318" i="1"/>
  <c r="K319" i="1"/>
  <c r="L319" i="1"/>
  <c r="M319" i="1"/>
  <c r="K320" i="1"/>
  <c r="L320" i="1"/>
  <c r="M320" i="1"/>
  <c r="K321" i="1"/>
  <c r="L321" i="1"/>
  <c r="M321" i="1"/>
  <c r="K322" i="1"/>
  <c r="L322" i="1"/>
  <c r="M322" i="1"/>
  <c r="K323" i="1"/>
  <c r="L323" i="1"/>
  <c r="M323" i="1"/>
  <c r="K324" i="1"/>
  <c r="L324" i="1"/>
  <c r="M324" i="1"/>
  <c r="K325" i="1"/>
  <c r="L325" i="1"/>
  <c r="M325" i="1"/>
  <c r="K326" i="1"/>
  <c r="L326" i="1"/>
  <c r="M326" i="1"/>
  <c r="K327" i="1"/>
  <c r="L327" i="1"/>
  <c r="J327" i="1" s="1"/>
  <c r="M327" i="1"/>
  <c r="K328" i="1"/>
  <c r="L328" i="1"/>
  <c r="M328" i="1"/>
  <c r="K329" i="1"/>
  <c r="L329" i="1"/>
  <c r="M329" i="1"/>
  <c r="K330" i="1"/>
  <c r="L330" i="1"/>
  <c r="M330" i="1"/>
  <c r="K331" i="1"/>
  <c r="L331" i="1"/>
  <c r="M331" i="1"/>
  <c r="K332" i="1"/>
  <c r="L332" i="1"/>
  <c r="M332" i="1"/>
  <c r="K333" i="1"/>
  <c r="L333" i="1"/>
  <c r="M333" i="1"/>
  <c r="K334" i="1"/>
  <c r="L334" i="1"/>
  <c r="M334" i="1"/>
  <c r="K335" i="1"/>
  <c r="L335" i="1"/>
  <c r="M335" i="1"/>
  <c r="K336" i="1"/>
  <c r="L336" i="1"/>
  <c r="M336" i="1"/>
  <c r="J336" i="1" s="1"/>
  <c r="K337" i="1"/>
  <c r="L337" i="1"/>
  <c r="M337" i="1"/>
  <c r="K338" i="1"/>
  <c r="L338" i="1"/>
  <c r="M338" i="1"/>
  <c r="K339" i="1"/>
  <c r="L339" i="1"/>
  <c r="M339" i="1"/>
  <c r="K340" i="1"/>
  <c r="L340" i="1"/>
  <c r="M340" i="1"/>
  <c r="K341" i="1"/>
  <c r="L341" i="1"/>
  <c r="M341" i="1"/>
  <c r="K342" i="1"/>
  <c r="L342" i="1"/>
  <c r="M342" i="1"/>
  <c r="K343" i="1"/>
  <c r="L343" i="1"/>
  <c r="M343" i="1"/>
  <c r="K344" i="1"/>
  <c r="L344" i="1"/>
  <c r="M344" i="1"/>
  <c r="K345" i="1"/>
  <c r="L345" i="1"/>
  <c r="M345" i="1"/>
  <c r="K346" i="1"/>
  <c r="L346" i="1"/>
  <c r="M346" i="1"/>
  <c r="K347" i="1"/>
  <c r="L347" i="1"/>
  <c r="M347" i="1"/>
  <c r="K348" i="1"/>
  <c r="L348" i="1"/>
  <c r="M348" i="1"/>
  <c r="K349" i="1"/>
  <c r="L349" i="1"/>
  <c r="M349" i="1"/>
  <c r="K350" i="1"/>
  <c r="L350" i="1"/>
  <c r="M350" i="1"/>
  <c r="K351" i="1"/>
  <c r="L351" i="1"/>
  <c r="M351" i="1"/>
  <c r="K352" i="1"/>
  <c r="L352" i="1"/>
  <c r="M352" i="1"/>
  <c r="K353" i="1"/>
  <c r="L353" i="1"/>
  <c r="M353" i="1"/>
  <c r="K354" i="1"/>
  <c r="L354" i="1"/>
  <c r="M354" i="1"/>
  <c r="K355" i="1"/>
  <c r="L355" i="1"/>
  <c r="M355" i="1"/>
  <c r="K356" i="1"/>
  <c r="L356" i="1"/>
  <c r="M356" i="1"/>
  <c r="K357" i="1"/>
  <c r="L357" i="1"/>
  <c r="M357" i="1"/>
  <c r="K358" i="1"/>
  <c r="L358" i="1"/>
  <c r="M358" i="1"/>
  <c r="K359" i="1"/>
  <c r="L359" i="1"/>
  <c r="M359" i="1"/>
  <c r="K360" i="1"/>
  <c r="L360" i="1"/>
  <c r="M360" i="1"/>
  <c r="K361" i="1"/>
  <c r="L361" i="1"/>
  <c r="M361" i="1"/>
  <c r="K362" i="1"/>
  <c r="L362" i="1"/>
  <c r="M362" i="1"/>
  <c r="K363" i="1"/>
  <c r="L363" i="1"/>
  <c r="M363" i="1"/>
  <c r="K364" i="1"/>
  <c r="L364" i="1"/>
  <c r="M364" i="1"/>
  <c r="J365" i="1"/>
  <c r="K365" i="1"/>
  <c r="L365" i="1"/>
  <c r="M365" i="1"/>
  <c r="K366" i="1"/>
  <c r="L366" i="1"/>
  <c r="M366" i="1"/>
  <c r="K367" i="1"/>
  <c r="L367" i="1"/>
  <c r="M367" i="1"/>
  <c r="K368" i="1"/>
  <c r="L368" i="1"/>
  <c r="M368" i="1"/>
  <c r="K369" i="1"/>
  <c r="L369" i="1"/>
  <c r="M369" i="1"/>
  <c r="K370" i="1"/>
  <c r="L370" i="1"/>
  <c r="M370" i="1"/>
  <c r="K371" i="1"/>
  <c r="L371" i="1"/>
  <c r="M371" i="1"/>
  <c r="K372" i="1"/>
  <c r="L372" i="1"/>
  <c r="M372" i="1"/>
  <c r="K373" i="1"/>
  <c r="L373" i="1"/>
  <c r="M373" i="1"/>
  <c r="K374" i="1"/>
  <c r="L374" i="1"/>
  <c r="M374" i="1"/>
  <c r="K375" i="1"/>
  <c r="L375" i="1"/>
  <c r="M375" i="1"/>
  <c r="K376" i="1"/>
  <c r="L376" i="1"/>
  <c r="M376" i="1"/>
  <c r="K377" i="1"/>
  <c r="L377" i="1"/>
  <c r="M377" i="1"/>
  <c r="K378" i="1"/>
  <c r="L378" i="1"/>
  <c r="M378" i="1"/>
  <c r="K379" i="1"/>
  <c r="L379" i="1"/>
  <c r="M379" i="1"/>
  <c r="K380" i="1"/>
  <c r="L380" i="1"/>
  <c r="M380" i="1"/>
  <c r="K381" i="1"/>
  <c r="L381" i="1"/>
  <c r="M381" i="1"/>
  <c r="K382" i="1"/>
  <c r="L382" i="1"/>
  <c r="M382" i="1"/>
  <c r="K383" i="1"/>
  <c r="L383" i="1"/>
  <c r="M383" i="1"/>
  <c r="K384" i="1"/>
  <c r="L384" i="1"/>
  <c r="M384" i="1"/>
  <c r="K385" i="1"/>
  <c r="L385" i="1"/>
  <c r="M385" i="1"/>
  <c r="K386" i="1"/>
  <c r="L386" i="1"/>
  <c r="M386" i="1"/>
  <c r="K387" i="1"/>
  <c r="L387" i="1"/>
  <c r="M387" i="1"/>
  <c r="K388" i="1"/>
  <c r="L388" i="1"/>
  <c r="M388" i="1"/>
  <c r="K389" i="1"/>
  <c r="L389" i="1"/>
  <c r="M389" i="1"/>
  <c r="K390" i="1"/>
  <c r="L390" i="1"/>
  <c r="M390" i="1"/>
  <c r="K391" i="1"/>
  <c r="L391" i="1"/>
  <c r="M391" i="1"/>
  <c r="K392" i="1"/>
  <c r="L392" i="1"/>
  <c r="M392" i="1"/>
  <c r="K393" i="1"/>
  <c r="L393" i="1"/>
  <c r="M393" i="1"/>
  <c r="K394" i="1"/>
  <c r="L394" i="1"/>
  <c r="M394" i="1"/>
  <c r="K395" i="1"/>
  <c r="L395" i="1"/>
  <c r="M395" i="1"/>
  <c r="K396" i="1"/>
  <c r="L396" i="1"/>
  <c r="M396" i="1"/>
  <c r="K397" i="1"/>
  <c r="L397" i="1"/>
  <c r="M397" i="1"/>
  <c r="K398" i="1"/>
  <c r="L398" i="1"/>
  <c r="M398" i="1"/>
  <c r="K399" i="1"/>
  <c r="L399" i="1"/>
  <c r="M399" i="1"/>
  <c r="K400" i="1"/>
  <c r="L400" i="1"/>
  <c r="M400" i="1"/>
  <c r="K401" i="1"/>
  <c r="L401" i="1"/>
  <c r="M401" i="1"/>
  <c r="K402" i="1"/>
  <c r="L402" i="1"/>
  <c r="M402" i="1"/>
  <c r="K403" i="1"/>
  <c r="L403" i="1"/>
  <c r="M403" i="1"/>
  <c r="K404" i="1"/>
  <c r="L404" i="1"/>
  <c r="M404" i="1"/>
  <c r="K405" i="1"/>
  <c r="L405" i="1"/>
  <c r="M405" i="1"/>
  <c r="K406" i="1"/>
  <c r="L406" i="1"/>
  <c r="M406" i="1"/>
  <c r="K407" i="1"/>
  <c r="L407" i="1"/>
  <c r="M407" i="1"/>
  <c r="K408" i="1"/>
  <c r="L408" i="1"/>
  <c r="M408" i="1"/>
  <c r="K409" i="1"/>
  <c r="L409" i="1"/>
  <c r="M409" i="1"/>
  <c r="K410" i="1"/>
  <c r="L410" i="1"/>
  <c r="M410" i="1"/>
  <c r="K411" i="1"/>
  <c r="L411" i="1"/>
  <c r="M411" i="1"/>
  <c r="K412" i="1"/>
  <c r="L412" i="1"/>
  <c r="M412" i="1"/>
  <c r="K413" i="1"/>
  <c r="L413" i="1"/>
  <c r="M413" i="1"/>
  <c r="K414" i="1"/>
  <c r="L414" i="1"/>
  <c r="M414" i="1"/>
  <c r="K415" i="1"/>
  <c r="L415" i="1"/>
  <c r="M415" i="1"/>
  <c r="K416" i="1"/>
  <c r="L416" i="1"/>
  <c r="M416" i="1"/>
  <c r="K417" i="1"/>
  <c r="L417" i="1"/>
  <c r="M417" i="1"/>
  <c r="K418" i="1"/>
  <c r="L418" i="1"/>
  <c r="M418" i="1"/>
  <c r="K419" i="1"/>
  <c r="L419" i="1"/>
  <c r="M419" i="1"/>
  <c r="K420" i="1"/>
  <c r="J420" i="1" s="1"/>
  <c r="L420" i="1"/>
  <c r="M420" i="1"/>
  <c r="K421" i="1"/>
  <c r="L421" i="1"/>
  <c r="M421" i="1"/>
  <c r="K422" i="1"/>
  <c r="L422" i="1"/>
  <c r="M422" i="1"/>
  <c r="K423" i="1"/>
  <c r="L423" i="1"/>
  <c r="M423" i="1"/>
  <c r="K424" i="1"/>
  <c r="L424" i="1"/>
  <c r="M424" i="1"/>
  <c r="K425" i="1"/>
  <c r="L425" i="1"/>
  <c r="M425" i="1"/>
  <c r="K426" i="1"/>
  <c r="L426" i="1"/>
  <c r="M426" i="1"/>
  <c r="J426" i="1" s="1"/>
  <c r="K427" i="1"/>
  <c r="L427" i="1"/>
  <c r="M427" i="1"/>
  <c r="K428" i="1"/>
  <c r="L428" i="1"/>
  <c r="M428" i="1"/>
  <c r="K429" i="1"/>
  <c r="L429" i="1"/>
  <c r="M429" i="1"/>
  <c r="K430" i="1"/>
  <c r="L430" i="1"/>
  <c r="M430" i="1"/>
  <c r="K431" i="1"/>
  <c r="L431" i="1"/>
  <c r="M431" i="1"/>
  <c r="K432" i="1"/>
  <c r="L432" i="1"/>
  <c r="M432" i="1"/>
  <c r="K433" i="1"/>
  <c r="L433" i="1"/>
  <c r="M433" i="1"/>
  <c r="K434" i="1"/>
  <c r="L434" i="1"/>
  <c r="M434" i="1"/>
  <c r="K435" i="1"/>
  <c r="L435" i="1"/>
  <c r="M435" i="1"/>
  <c r="K436" i="1"/>
  <c r="L436" i="1"/>
  <c r="M436" i="1"/>
  <c r="K437" i="1"/>
  <c r="L437" i="1"/>
  <c r="M437" i="1"/>
  <c r="K438" i="1"/>
  <c r="L438" i="1"/>
  <c r="M438" i="1"/>
  <c r="K439" i="1"/>
  <c r="L439" i="1"/>
  <c r="M439" i="1"/>
  <c r="K440" i="1"/>
  <c r="L440" i="1"/>
  <c r="M440" i="1"/>
  <c r="J440" i="1" s="1"/>
  <c r="K441" i="1"/>
  <c r="L441" i="1"/>
  <c r="M441" i="1"/>
  <c r="K442" i="1"/>
  <c r="L442" i="1"/>
  <c r="M442" i="1"/>
  <c r="K443" i="1"/>
  <c r="L443" i="1"/>
  <c r="M443" i="1"/>
  <c r="K444" i="1"/>
  <c r="L444" i="1"/>
  <c r="M444" i="1"/>
  <c r="K445" i="1"/>
  <c r="L445" i="1"/>
  <c r="M445" i="1"/>
  <c r="K446" i="1"/>
  <c r="L446" i="1"/>
  <c r="M446" i="1"/>
  <c r="K447" i="1"/>
  <c r="L447" i="1"/>
  <c r="M447" i="1"/>
  <c r="K448" i="1"/>
  <c r="L448" i="1"/>
  <c r="M448" i="1"/>
  <c r="K449" i="1"/>
  <c r="L449" i="1"/>
  <c r="M449" i="1"/>
  <c r="K450" i="1"/>
  <c r="L450" i="1"/>
  <c r="M450" i="1"/>
  <c r="K451" i="1"/>
  <c r="L451" i="1"/>
  <c r="M451" i="1"/>
  <c r="K452" i="1"/>
  <c r="L452" i="1"/>
  <c r="M452" i="1"/>
  <c r="K453" i="1"/>
  <c r="L453" i="1"/>
  <c r="M453" i="1"/>
  <c r="K454" i="1"/>
  <c r="L454" i="1"/>
  <c r="M454" i="1"/>
  <c r="K455" i="1"/>
  <c r="L455" i="1"/>
  <c r="M455" i="1"/>
  <c r="K456" i="1"/>
  <c r="L456" i="1"/>
  <c r="M456" i="1"/>
  <c r="K457" i="1"/>
  <c r="L457" i="1"/>
  <c r="M457" i="1"/>
  <c r="K458" i="1"/>
  <c r="L458" i="1"/>
  <c r="M458" i="1"/>
  <c r="K459" i="1"/>
  <c r="L459" i="1"/>
  <c r="M459" i="1"/>
  <c r="J459" i="1" s="1"/>
  <c r="K460" i="1"/>
  <c r="L460" i="1"/>
  <c r="M460" i="1"/>
  <c r="K461" i="1"/>
  <c r="L461" i="1"/>
  <c r="M461" i="1"/>
  <c r="K462" i="1"/>
  <c r="L462" i="1"/>
  <c r="M462" i="1"/>
  <c r="K463" i="1"/>
  <c r="L463" i="1"/>
  <c r="M463" i="1"/>
  <c r="K464" i="1"/>
  <c r="L464" i="1"/>
  <c r="M464" i="1"/>
  <c r="K465" i="1"/>
  <c r="L465" i="1"/>
  <c r="M465" i="1"/>
  <c r="K466" i="1"/>
  <c r="L466" i="1"/>
  <c r="M466" i="1"/>
  <c r="K467" i="1"/>
  <c r="L467" i="1"/>
  <c r="M467" i="1"/>
  <c r="K468" i="1"/>
  <c r="L468" i="1"/>
  <c r="M468" i="1"/>
  <c r="K469" i="1"/>
  <c r="L469" i="1"/>
  <c r="M469" i="1"/>
  <c r="K470" i="1"/>
  <c r="L470" i="1"/>
  <c r="M470" i="1"/>
  <c r="K471" i="1"/>
  <c r="L471" i="1"/>
  <c r="M471" i="1"/>
  <c r="K472" i="1"/>
  <c r="L472" i="1"/>
  <c r="M472" i="1"/>
  <c r="K473" i="1"/>
  <c r="L473" i="1"/>
  <c r="M473" i="1"/>
  <c r="K474" i="1"/>
  <c r="L474" i="1"/>
  <c r="M474" i="1"/>
  <c r="K475" i="1"/>
  <c r="L475" i="1"/>
  <c r="M475" i="1"/>
  <c r="K476" i="1"/>
  <c r="L476" i="1"/>
  <c r="M476" i="1"/>
  <c r="K477" i="1"/>
  <c r="L477" i="1"/>
  <c r="M477" i="1"/>
  <c r="K478" i="1"/>
  <c r="L478" i="1"/>
  <c r="M478" i="1"/>
  <c r="K479" i="1"/>
  <c r="L479" i="1"/>
  <c r="M479" i="1"/>
  <c r="K480" i="1"/>
  <c r="L480" i="1"/>
  <c r="M480" i="1"/>
  <c r="K481" i="1"/>
  <c r="L481" i="1"/>
  <c r="M481" i="1"/>
  <c r="K482" i="1"/>
  <c r="L482" i="1"/>
  <c r="M482" i="1"/>
  <c r="K483" i="1"/>
  <c r="L483" i="1"/>
  <c r="M483" i="1"/>
  <c r="K484" i="1"/>
  <c r="L484" i="1"/>
  <c r="M484" i="1"/>
  <c r="K485" i="1"/>
  <c r="L485" i="1"/>
  <c r="M485" i="1"/>
  <c r="K486" i="1"/>
  <c r="L486" i="1"/>
  <c r="M486" i="1"/>
  <c r="K487" i="1"/>
  <c r="L487" i="1"/>
  <c r="M487" i="1"/>
  <c r="K488" i="1"/>
  <c r="L488" i="1"/>
  <c r="M488" i="1"/>
  <c r="K489" i="1"/>
  <c r="L489" i="1"/>
  <c r="M489" i="1"/>
  <c r="K490" i="1"/>
  <c r="L490" i="1"/>
  <c r="M490" i="1"/>
  <c r="K491" i="1"/>
  <c r="L491" i="1"/>
  <c r="M491" i="1"/>
  <c r="K492" i="1"/>
  <c r="L492" i="1"/>
  <c r="M492" i="1"/>
  <c r="K493" i="1"/>
  <c r="L493" i="1"/>
  <c r="M493" i="1"/>
  <c r="K494" i="1"/>
  <c r="L494" i="1"/>
  <c r="M494" i="1"/>
  <c r="K495" i="1"/>
  <c r="L495" i="1"/>
  <c r="M495" i="1"/>
  <c r="K496" i="1"/>
  <c r="L496" i="1"/>
  <c r="M496" i="1"/>
  <c r="K497" i="1"/>
  <c r="L497" i="1"/>
  <c r="M497" i="1"/>
  <c r="K498" i="1"/>
  <c r="L498" i="1"/>
  <c r="M498" i="1"/>
  <c r="K499" i="1"/>
  <c r="L499" i="1"/>
  <c r="M499" i="1"/>
  <c r="K500" i="1"/>
  <c r="L500" i="1"/>
  <c r="M500" i="1"/>
  <c r="K501" i="1"/>
  <c r="L501" i="1"/>
  <c r="M501" i="1"/>
  <c r="K502" i="1"/>
  <c r="L502" i="1"/>
  <c r="M502" i="1"/>
  <c r="K503" i="1"/>
  <c r="L503" i="1"/>
  <c r="M503" i="1"/>
  <c r="K504" i="1"/>
  <c r="L504" i="1"/>
  <c r="M504" i="1"/>
  <c r="K505" i="1"/>
  <c r="L505" i="1"/>
  <c r="M505" i="1"/>
  <c r="K506" i="1"/>
  <c r="L506" i="1"/>
  <c r="M506" i="1"/>
  <c r="K507" i="1"/>
  <c r="L507" i="1"/>
  <c r="M507" i="1"/>
  <c r="K508" i="1"/>
  <c r="L508" i="1"/>
  <c r="M508" i="1"/>
  <c r="K509" i="1"/>
  <c r="L509" i="1"/>
  <c r="M509" i="1"/>
  <c r="K510" i="1"/>
  <c r="L510" i="1"/>
  <c r="M510" i="1"/>
  <c r="K511" i="1"/>
  <c r="L511" i="1"/>
  <c r="M511" i="1"/>
  <c r="K512" i="1"/>
  <c r="L512" i="1"/>
  <c r="M512" i="1"/>
  <c r="K513" i="1"/>
  <c r="L513" i="1"/>
  <c r="M513" i="1"/>
  <c r="K514" i="1"/>
  <c r="L514" i="1"/>
  <c r="M514" i="1"/>
  <c r="K515" i="1"/>
  <c r="L515" i="1"/>
  <c r="M515" i="1"/>
  <c r="K516" i="1"/>
  <c r="L516" i="1"/>
  <c r="M516" i="1"/>
  <c r="K517" i="1"/>
  <c r="L517" i="1"/>
  <c r="M517" i="1"/>
  <c r="K518" i="1"/>
  <c r="L518" i="1"/>
  <c r="M518" i="1"/>
  <c r="K519" i="1"/>
  <c r="L519" i="1"/>
  <c r="M519" i="1"/>
  <c r="K520" i="1"/>
  <c r="L520" i="1"/>
  <c r="M520" i="1"/>
  <c r="K521" i="1"/>
  <c r="L521" i="1"/>
  <c r="M521" i="1"/>
  <c r="K522" i="1"/>
  <c r="L522" i="1"/>
  <c r="M522" i="1"/>
  <c r="K523" i="1"/>
  <c r="L523" i="1"/>
  <c r="M523" i="1"/>
  <c r="K524" i="1"/>
  <c r="J524" i="1" s="1"/>
  <c r="L524" i="1"/>
  <c r="M524" i="1"/>
  <c r="K525" i="1"/>
  <c r="L525" i="1"/>
  <c r="M525" i="1"/>
  <c r="K526" i="1"/>
  <c r="L526" i="1"/>
  <c r="M526" i="1"/>
  <c r="K527" i="1"/>
  <c r="L527" i="1"/>
  <c r="M527" i="1"/>
  <c r="K528" i="1"/>
  <c r="L528" i="1"/>
  <c r="M528" i="1"/>
  <c r="K529" i="1"/>
  <c r="L529" i="1"/>
  <c r="M529" i="1"/>
  <c r="K530" i="1"/>
  <c r="L530" i="1"/>
  <c r="M530" i="1"/>
  <c r="K531" i="1"/>
  <c r="L531" i="1"/>
  <c r="M531" i="1"/>
  <c r="K532" i="1"/>
  <c r="L532" i="1"/>
  <c r="M532" i="1"/>
  <c r="K533" i="1"/>
  <c r="L533" i="1"/>
  <c r="M533" i="1"/>
  <c r="K534" i="1"/>
  <c r="L534" i="1"/>
  <c r="M534" i="1"/>
  <c r="K535" i="1"/>
  <c r="L535" i="1"/>
  <c r="M535" i="1"/>
  <c r="K536" i="1"/>
  <c r="L536" i="1"/>
  <c r="M536" i="1"/>
  <c r="K537" i="1"/>
  <c r="L537" i="1"/>
  <c r="M537" i="1"/>
  <c r="K538" i="1"/>
  <c r="L538" i="1"/>
  <c r="M538" i="1"/>
  <c r="K539" i="1"/>
  <c r="L539" i="1"/>
  <c r="M539" i="1"/>
  <c r="K540" i="1"/>
  <c r="L540" i="1"/>
  <c r="M540" i="1"/>
  <c r="K541" i="1"/>
  <c r="L541" i="1"/>
  <c r="M541" i="1"/>
  <c r="K542" i="1"/>
  <c r="L542" i="1"/>
  <c r="M542" i="1"/>
  <c r="K543" i="1"/>
  <c r="L543" i="1"/>
  <c r="M543" i="1"/>
  <c r="K544" i="1"/>
  <c r="L544" i="1"/>
  <c r="M544" i="1"/>
  <c r="K545" i="1"/>
  <c r="L545" i="1"/>
  <c r="M545" i="1"/>
  <c r="K546" i="1"/>
  <c r="L546" i="1"/>
  <c r="M546" i="1"/>
  <c r="K547" i="1"/>
  <c r="L547" i="1"/>
  <c r="M547" i="1"/>
  <c r="K548" i="1"/>
  <c r="L548" i="1"/>
  <c r="M548" i="1"/>
  <c r="K549" i="1"/>
  <c r="L549" i="1"/>
  <c r="M549" i="1"/>
  <c r="K550" i="1"/>
  <c r="L550" i="1"/>
  <c r="M550" i="1"/>
  <c r="K551" i="1"/>
  <c r="L551" i="1"/>
  <c r="M551" i="1"/>
  <c r="K552" i="1"/>
  <c r="L552" i="1"/>
  <c r="M552" i="1"/>
  <c r="K553" i="1"/>
  <c r="L553" i="1"/>
  <c r="M553" i="1"/>
  <c r="K554" i="1"/>
  <c r="L554" i="1"/>
  <c r="M554" i="1"/>
  <c r="K555" i="1"/>
  <c r="L555" i="1"/>
  <c r="M555" i="1"/>
  <c r="K556" i="1"/>
  <c r="L556" i="1"/>
  <c r="M556" i="1"/>
  <c r="K557" i="1"/>
  <c r="L557" i="1"/>
  <c r="M557" i="1"/>
  <c r="K558" i="1"/>
  <c r="L558" i="1"/>
  <c r="M558" i="1"/>
  <c r="K559" i="1"/>
  <c r="L559" i="1"/>
  <c r="M559" i="1"/>
  <c r="K560" i="1"/>
  <c r="L560" i="1"/>
  <c r="M560" i="1"/>
  <c r="K561" i="1"/>
  <c r="L561" i="1"/>
  <c r="M561" i="1"/>
  <c r="K562" i="1"/>
  <c r="L562" i="1"/>
  <c r="M562" i="1"/>
  <c r="K563" i="1"/>
  <c r="L563" i="1"/>
  <c r="M563" i="1"/>
  <c r="K564" i="1"/>
  <c r="L564" i="1"/>
  <c r="M564" i="1"/>
  <c r="K565" i="1"/>
  <c r="L565" i="1"/>
  <c r="M565" i="1"/>
  <c r="K566" i="1"/>
  <c r="L566" i="1"/>
  <c r="M566" i="1"/>
  <c r="K567" i="1"/>
  <c r="L567" i="1"/>
  <c r="M567" i="1"/>
  <c r="K568" i="1"/>
  <c r="L568" i="1"/>
  <c r="M568" i="1"/>
  <c r="K569" i="1"/>
  <c r="L569" i="1"/>
  <c r="M569" i="1"/>
  <c r="K570" i="1"/>
  <c r="L570" i="1"/>
  <c r="M570" i="1"/>
  <c r="K571" i="1"/>
  <c r="L571" i="1"/>
  <c r="M571" i="1"/>
  <c r="K572" i="1"/>
  <c r="L572" i="1"/>
  <c r="M572" i="1"/>
  <c r="K573" i="1"/>
  <c r="L573" i="1"/>
  <c r="M573" i="1"/>
  <c r="K574" i="1"/>
  <c r="L574" i="1"/>
  <c r="M574" i="1"/>
  <c r="J575" i="1"/>
  <c r="K575" i="1"/>
  <c r="L575" i="1"/>
  <c r="M575" i="1"/>
  <c r="K576" i="1"/>
  <c r="L576" i="1"/>
  <c r="M576" i="1"/>
  <c r="K577" i="1"/>
  <c r="L577" i="1"/>
  <c r="M577" i="1"/>
  <c r="K578" i="1"/>
  <c r="L578" i="1"/>
  <c r="M578" i="1"/>
  <c r="K579" i="1"/>
  <c r="L579" i="1"/>
  <c r="M579" i="1"/>
  <c r="K580" i="1"/>
  <c r="L580" i="1"/>
  <c r="M580" i="1"/>
  <c r="K581" i="1"/>
  <c r="L581" i="1"/>
  <c r="M581" i="1"/>
  <c r="K582" i="1"/>
  <c r="L582" i="1"/>
  <c r="M582" i="1"/>
  <c r="K583" i="1"/>
  <c r="L583" i="1"/>
  <c r="M583" i="1"/>
  <c r="K584" i="1"/>
  <c r="L584" i="1"/>
  <c r="M584" i="1"/>
  <c r="K585" i="1"/>
  <c r="L585" i="1"/>
  <c r="M585" i="1"/>
  <c r="K586" i="1"/>
  <c r="L586" i="1"/>
  <c r="M586" i="1"/>
  <c r="K587" i="1"/>
  <c r="L587" i="1"/>
  <c r="M587" i="1"/>
  <c r="K588" i="1"/>
  <c r="L588" i="1"/>
  <c r="M588" i="1"/>
  <c r="J588" i="1" s="1"/>
  <c r="K589" i="1"/>
  <c r="L589" i="1"/>
  <c r="M589" i="1"/>
  <c r="K590" i="1"/>
  <c r="L590" i="1"/>
  <c r="M590" i="1"/>
  <c r="K591" i="1"/>
  <c r="L591" i="1"/>
  <c r="M591" i="1"/>
  <c r="K592" i="1"/>
  <c r="L592" i="1"/>
  <c r="M592" i="1"/>
  <c r="K593" i="1"/>
  <c r="L593" i="1"/>
  <c r="M593" i="1"/>
  <c r="K594" i="1"/>
  <c r="L594" i="1"/>
  <c r="M594" i="1"/>
  <c r="K595" i="1"/>
  <c r="L595" i="1"/>
  <c r="M595" i="1"/>
  <c r="K596" i="1"/>
  <c r="L596" i="1"/>
  <c r="M596" i="1"/>
  <c r="K597" i="1"/>
  <c r="L597" i="1"/>
  <c r="M597" i="1"/>
  <c r="K598" i="1"/>
  <c r="L598" i="1"/>
  <c r="M598" i="1"/>
  <c r="K599" i="1"/>
  <c r="L599" i="1"/>
  <c r="M599" i="1"/>
  <c r="K600" i="1"/>
  <c r="L600" i="1"/>
  <c r="M600" i="1"/>
  <c r="K601" i="1"/>
  <c r="L601" i="1"/>
  <c r="M601" i="1"/>
  <c r="K602" i="1"/>
  <c r="L602" i="1"/>
  <c r="M602" i="1"/>
  <c r="J603" i="1"/>
  <c r="K603" i="1"/>
  <c r="L603" i="1"/>
  <c r="M603" i="1"/>
  <c r="K604" i="1"/>
  <c r="L604" i="1"/>
  <c r="M604" i="1"/>
  <c r="K605" i="1"/>
  <c r="L605" i="1"/>
  <c r="M605" i="1"/>
  <c r="K606" i="1"/>
  <c r="L606" i="1"/>
  <c r="M606" i="1"/>
  <c r="K607" i="1"/>
  <c r="L607" i="1"/>
  <c r="M607" i="1"/>
  <c r="K608" i="1"/>
  <c r="L608" i="1"/>
  <c r="M608" i="1"/>
  <c r="K609" i="1"/>
  <c r="L609" i="1"/>
  <c r="M609" i="1"/>
  <c r="J609" i="1" s="1"/>
  <c r="K610" i="1"/>
  <c r="L610" i="1"/>
  <c r="M610" i="1"/>
  <c r="K611" i="1"/>
  <c r="L611" i="1"/>
  <c r="M611" i="1"/>
  <c r="K612" i="1"/>
  <c r="L612" i="1"/>
  <c r="M612" i="1"/>
  <c r="K613" i="1"/>
  <c r="L613" i="1"/>
  <c r="M613" i="1"/>
  <c r="K614" i="1"/>
  <c r="L614" i="1"/>
  <c r="M614" i="1"/>
  <c r="J614" i="1" s="1"/>
  <c r="K615" i="1"/>
  <c r="L615" i="1"/>
  <c r="M615" i="1"/>
  <c r="K616" i="1"/>
  <c r="L616" i="1"/>
  <c r="M616" i="1"/>
  <c r="K617" i="1"/>
  <c r="L617" i="1"/>
  <c r="M617" i="1"/>
  <c r="K618" i="1"/>
  <c r="L618" i="1"/>
  <c r="M618" i="1"/>
  <c r="J618" i="1" s="1"/>
  <c r="K619" i="1"/>
  <c r="L619" i="1"/>
  <c r="M619" i="1"/>
  <c r="K620" i="1"/>
  <c r="L620" i="1"/>
  <c r="M620" i="1"/>
  <c r="K621" i="1"/>
  <c r="L621" i="1"/>
  <c r="M621" i="1"/>
  <c r="K622" i="1"/>
  <c r="L622" i="1"/>
  <c r="M622" i="1"/>
  <c r="K623" i="1"/>
  <c r="L623" i="1"/>
  <c r="M623" i="1"/>
  <c r="K624" i="1"/>
  <c r="L624" i="1"/>
  <c r="M624" i="1"/>
  <c r="K625" i="1"/>
  <c r="L625" i="1"/>
  <c r="M625" i="1"/>
  <c r="K626" i="1"/>
  <c r="L626" i="1"/>
  <c r="M626" i="1"/>
  <c r="K627" i="1"/>
  <c r="L627" i="1"/>
  <c r="M627" i="1"/>
  <c r="K628" i="1"/>
  <c r="L628" i="1"/>
  <c r="M628" i="1"/>
  <c r="K629" i="1"/>
  <c r="L629" i="1"/>
  <c r="M629" i="1"/>
  <c r="K630" i="1"/>
  <c r="L630" i="1"/>
  <c r="M630" i="1"/>
  <c r="K631" i="1"/>
  <c r="L631" i="1"/>
  <c r="M631" i="1"/>
  <c r="K632" i="1"/>
  <c r="L632" i="1"/>
  <c r="M632" i="1"/>
  <c r="K633" i="1"/>
  <c r="L633" i="1"/>
  <c r="M633" i="1"/>
  <c r="K634" i="1"/>
  <c r="L634" i="1"/>
  <c r="M634" i="1"/>
  <c r="K635" i="1"/>
  <c r="L635" i="1"/>
  <c r="M635" i="1"/>
  <c r="K636" i="1"/>
  <c r="L636" i="1"/>
  <c r="M636" i="1"/>
  <c r="K637" i="1"/>
  <c r="L637" i="1"/>
  <c r="M637" i="1"/>
  <c r="K638" i="1"/>
  <c r="L638" i="1"/>
  <c r="M638" i="1"/>
  <c r="K639" i="1"/>
  <c r="L639" i="1"/>
  <c r="M639" i="1"/>
  <c r="K640" i="1"/>
  <c r="L640" i="1"/>
  <c r="M640" i="1"/>
  <c r="K641" i="1"/>
  <c r="L641" i="1"/>
  <c r="M641" i="1"/>
  <c r="K642" i="1"/>
  <c r="L642" i="1"/>
  <c r="M642" i="1"/>
  <c r="K643" i="1"/>
  <c r="L643" i="1"/>
  <c r="M643" i="1"/>
  <c r="K644" i="1"/>
  <c r="L644" i="1"/>
  <c r="M644" i="1"/>
  <c r="K645" i="1"/>
  <c r="L645" i="1"/>
  <c r="M645" i="1"/>
  <c r="K646" i="1"/>
  <c r="L646" i="1"/>
  <c r="M646" i="1"/>
  <c r="K647" i="1"/>
  <c r="L647" i="1"/>
  <c r="M647" i="1"/>
  <c r="K648" i="1"/>
  <c r="L648" i="1"/>
  <c r="M648" i="1"/>
  <c r="K649" i="1"/>
  <c r="L649" i="1"/>
  <c r="M649" i="1"/>
  <c r="K650" i="1"/>
  <c r="L650" i="1"/>
  <c r="M650" i="1"/>
  <c r="K651" i="1"/>
  <c r="L651" i="1"/>
  <c r="M651" i="1"/>
  <c r="K652" i="1"/>
  <c r="L652" i="1"/>
  <c r="M652" i="1"/>
  <c r="K653" i="1"/>
  <c r="L653" i="1"/>
  <c r="M653" i="1"/>
  <c r="K654" i="1"/>
  <c r="L654" i="1"/>
  <c r="M654" i="1"/>
  <c r="K655" i="1"/>
  <c r="L655" i="1"/>
  <c r="M655" i="1"/>
  <c r="K656" i="1"/>
  <c r="L656" i="1"/>
  <c r="M656" i="1"/>
  <c r="K657" i="1"/>
  <c r="L657" i="1"/>
  <c r="M657" i="1"/>
  <c r="K658" i="1"/>
  <c r="L658" i="1"/>
  <c r="M658" i="1"/>
  <c r="K659" i="1"/>
  <c r="L659" i="1"/>
  <c r="M659" i="1"/>
  <c r="K660" i="1"/>
  <c r="L660" i="1"/>
  <c r="M660" i="1"/>
  <c r="K661" i="1"/>
  <c r="L661" i="1"/>
  <c r="M661" i="1"/>
  <c r="K662" i="1"/>
  <c r="L662" i="1"/>
  <c r="M662" i="1"/>
  <c r="K663" i="1"/>
  <c r="L663" i="1"/>
  <c r="M663" i="1"/>
  <c r="K664" i="1"/>
  <c r="L664" i="1"/>
  <c r="M664" i="1"/>
  <c r="K665" i="1"/>
  <c r="L665" i="1"/>
  <c r="M665" i="1"/>
  <c r="K666" i="1"/>
  <c r="L666" i="1"/>
  <c r="M666" i="1"/>
  <c r="K667" i="1"/>
  <c r="L667" i="1"/>
  <c r="M667" i="1"/>
  <c r="K668" i="1"/>
  <c r="L668" i="1"/>
  <c r="M668" i="1"/>
  <c r="K669" i="1"/>
  <c r="L669" i="1"/>
  <c r="M669" i="1"/>
  <c r="K670" i="1"/>
  <c r="L670" i="1"/>
  <c r="M670" i="1"/>
  <c r="K671" i="1"/>
  <c r="L671" i="1"/>
  <c r="M671" i="1"/>
  <c r="K672" i="1"/>
  <c r="L672" i="1"/>
  <c r="M672" i="1"/>
  <c r="K673" i="1"/>
  <c r="L673" i="1"/>
  <c r="M673" i="1"/>
  <c r="K674" i="1"/>
  <c r="L674" i="1"/>
  <c r="M674" i="1"/>
  <c r="K675" i="1"/>
  <c r="L675" i="1"/>
  <c r="M675" i="1"/>
  <c r="K676" i="1"/>
  <c r="L676" i="1"/>
  <c r="M676" i="1"/>
  <c r="K677" i="1"/>
  <c r="L677" i="1"/>
  <c r="M677" i="1"/>
  <c r="K678" i="1"/>
  <c r="L678" i="1"/>
  <c r="M678" i="1"/>
  <c r="K679" i="1"/>
  <c r="L679" i="1"/>
  <c r="M679" i="1"/>
  <c r="K680" i="1"/>
  <c r="L680" i="1"/>
  <c r="M680" i="1"/>
  <c r="K681" i="1"/>
  <c r="L681" i="1"/>
  <c r="M681" i="1"/>
  <c r="K682" i="1"/>
  <c r="L682" i="1"/>
  <c r="M682" i="1"/>
  <c r="K683" i="1"/>
  <c r="L683" i="1"/>
  <c r="M683" i="1"/>
  <c r="K684" i="1"/>
  <c r="L684" i="1"/>
  <c r="M684" i="1"/>
  <c r="K685" i="1"/>
  <c r="L685" i="1"/>
  <c r="M685" i="1"/>
  <c r="K686" i="1"/>
  <c r="L686" i="1"/>
  <c r="M686" i="1"/>
  <c r="K687" i="1"/>
  <c r="L687" i="1"/>
  <c r="M687" i="1"/>
  <c r="K688" i="1"/>
  <c r="L688" i="1"/>
  <c r="M688" i="1"/>
  <c r="K689" i="1"/>
  <c r="L689" i="1"/>
  <c r="M689" i="1"/>
  <c r="K690" i="1"/>
  <c r="L690" i="1"/>
  <c r="M690" i="1"/>
  <c r="K691" i="1"/>
  <c r="L691" i="1"/>
  <c r="M691" i="1"/>
  <c r="K692" i="1"/>
  <c r="L692" i="1"/>
  <c r="M692" i="1"/>
  <c r="K693" i="1"/>
  <c r="L693" i="1"/>
  <c r="M693" i="1"/>
  <c r="K694" i="1"/>
  <c r="L694" i="1"/>
  <c r="M694" i="1"/>
  <c r="K695" i="1"/>
  <c r="L695" i="1"/>
  <c r="M695" i="1"/>
  <c r="K696" i="1"/>
  <c r="L696" i="1"/>
  <c r="M696" i="1"/>
  <c r="K697" i="1"/>
  <c r="L697" i="1"/>
  <c r="M697" i="1"/>
  <c r="K698" i="1"/>
  <c r="L698" i="1"/>
  <c r="M698" i="1"/>
  <c r="K699" i="1"/>
  <c r="L699" i="1"/>
  <c r="M699" i="1"/>
  <c r="K700" i="1"/>
  <c r="L700" i="1"/>
  <c r="M700" i="1"/>
  <c r="K701" i="1"/>
  <c r="L701" i="1"/>
  <c r="M701" i="1"/>
  <c r="J702" i="1"/>
  <c r="K702" i="1"/>
  <c r="L702" i="1"/>
  <c r="M702" i="1"/>
  <c r="K703" i="1"/>
  <c r="L703" i="1"/>
  <c r="M703" i="1"/>
  <c r="K704" i="1"/>
  <c r="L704" i="1"/>
  <c r="M704" i="1"/>
  <c r="K705" i="1"/>
  <c r="L705" i="1"/>
  <c r="M705" i="1"/>
  <c r="K706" i="1"/>
  <c r="L706" i="1"/>
  <c r="M706" i="1"/>
  <c r="K707" i="1"/>
  <c r="L707" i="1"/>
  <c r="M707" i="1"/>
  <c r="K708" i="1"/>
  <c r="L708" i="1"/>
  <c r="M708" i="1"/>
  <c r="K709" i="1"/>
  <c r="L709" i="1"/>
  <c r="M709" i="1"/>
  <c r="K710" i="1"/>
  <c r="L710" i="1"/>
  <c r="M710" i="1"/>
  <c r="K711" i="1"/>
  <c r="L711" i="1"/>
  <c r="M711" i="1"/>
  <c r="K712" i="1"/>
  <c r="L712" i="1"/>
  <c r="M712" i="1"/>
  <c r="K713" i="1"/>
  <c r="L713" i="1"/>
  <c r="M713" i="1"/>
  <c r="K714" i="1"/>
  <c r="L714" i="1"/>
  <c r="M714" i="1"/>
  <c r="K715" i="1"/>
  <c r="L715" i="1"/>
  <c r="M715" i="1"/>
  <c r="K716" i="1"/>
  <c r="L716" i="1"/>
  <c r="M716" i="1"/>
  <c r="K717" i="1"/>
  <c r="L717" i="1"/>
  <c r="M717" i="1"/>
  <c r="K718" i="1"/>
  <c r="L718" i="1"/>
  <c r="M718" i="1"/>
  <c r="K719" i="1"/>
  <c r="L719" i="1"/>
  <c r="M719" i="1"/>
  <c r="K720" i="1"/>
  <c r="L720" i="1"/>
  <c r="M720" i="1"/>
  <c r="K721" i="1"/>
  <c r="L721" i="1"/>
  <c r="M721" i="1"/>
  <c r="K722" i="1"/>
  <c r="L722" i="1"/>
  <c r="M722" i="1"/>
  <c r="K723" i="1"/>
  <c r="L723" i="1"/>
  <c r="M723" i="1"/>
  <c r="K724" i="1"/>
  <c r="L724" i="1"/>
  <c r="M724" i="1"/>
  <c r="K725" i="1"/>
  <c r="L725" i="1"/>
  <c r="M725" i="1"/>
  <c r="K726" i="1"/>
  <c r="L726" i="1"/>
  <c r="M726" i="1"/>
  <c r="K727" i="1"/>
  <c r="L727" i="1"/>
  <c r="M727" i="1"/>
  <c r="K728" i="1"/>
  <c r="L728" i="1"/>
  <c r="M728" i="1"/>
  <c r="K729" i="1"/>
  <c r="L729" i="1"/>
  <c r="M729" i="1"/>
  <c r="K730" i="1"/>
  <c r="L730" i="1"/>
  <c r="M730" i="1"/>
  <c r="K731" i="1"/>
  <c r="L731" i="1"/>
  <c r="M731" i="1"/>
  <c r="K732" i="1"/>
  <c r="L732" i="1"/>
  <c r="M732" i="1"/>
  <c r="K733" i="1"/>
  <c r="L733" i="1"/>
  <c r="M733" i="1"/>
  <c r="K734" i="1"/>
  <c r="L734" i="1"/>
  <c r="M734" i="1"/>
  <c r="K735" i="1"/>
  <c r="L735" i="1"/>
  <c r="M735" i="1"/>
  <c r="K736" i="1"/>
  <c r="L736" i="1"/>
  <c r="M736" i="1"/>
  <c r="K737" i="1"/>
  <c r="L737" i="1"/>
  <c r="M737" i="1"/>
  <c r="K738" i="1"/>
  <c r="L738" i="1"/>
  <c r="M738" i="1"/>
  <c r="K739" i="1"/>
  <c r="L739" i="1"/>
  <c r="M739" i="1"/>
  <c r="K740" i="1"/>
  <c r="L740" i="1"/>
  <c r="M740" i="1"/>
  <c r="K741" i="1"/>
  <c r="L741" i="1"/>
  <c r="M741" i="1"/>
  <c r="K742" i="1"/>
  <c r="L742" i="1"/>
  <c r="M742" i="1"/>
  <c r="K743" i="1"/>
  <c r="L743" i="1"/>
  <c r="M743" i="1"/>
  <c r="K744" i="1"/>
  <c r="L744" i="1"/>
  <c r="M744" i="1"/>
  <c r="K745" i="1"/>
  <c r="L745" i="1"/>
  <c r="M745" i="1"/>
  <c r="K746" i="1"/>
  <c r="L746" i="1"/>
  <c r="M746" i="1"/>
  <c r="K747" i="1"/>
  <c r="L747" i="1"/>
  <c r="M747" i="1"/>
  <c r="K748" i="1"/>
  <c r="L748" i="1"/>
  <c r="M748" i="1"/>
  <c r="K749" i="1"/>
  <c r="L749" i="1"/>
  <c r="M749" i="1"/>
  <c r="K750" i="1"/>
  <c r="L750" i="1"/>
  <c r="M750" i="1"/>
  <c r="K751" i="1"/>
  <c r="L751" i="1"/>
  <c r="M751" i="1"/>
  <c r="K752" i="1"/>
  <c r="L752" i="1"/>
  <c r="M752" i="1"/>
  <c r="K753" i="1"/>
  <c r="L753" i="1"/>
  <c r="M753" i="1"/>
  <c r="K754" i="1"/>
  <c r="L754" i="1"/>
  <c r="M754" i="1"/>
  <c r="K755" i="1"/>
  <c r="L755" i="1"/>
  <c r="M755" i="1"/>
  <c r="K756" i="1"/>
  <c r="L756" i="1"/>
  <c r="M756" i="1"/>
  <c r="J757" i="1"/>
  <c r="K757" i="1"/>
  <c r="L757" i="1"/>
  <c r="M757" i="1"/>
  <c r="K758" i="1"/>
  <c r="L758" i="1"/>
  <c r="M758" i="1"/>
  <c r="K759" i="1"/>
  <c r="L759" i="1"/>
  <c r="M759" i="1"/>
  <c r="K760" i="1"/>
  <c r="L760" i="1"/>
  <c r="M760" i="1"/>
  <c r="K761" i="1"/>
  <c r="L761" i="1"/>
  <c r="M761" i="1"/>
  <c r="K762" i="1"/>
  <c r="L762" i="1"/>
  <c r="M762" i="1"/>
  <c r="K763" i="1"/>
  <c r="L763" i="1"/>
  <c r="M763" i="1"/>
  <c r="K764" i="1"/>
  <c r="L764" i="1"/>
  <c r="M764" i="1"/>
  <c r="K765" i="1"/>
  <c r="L765" i="1"/>
  <c r="M765" i="1"/>
  <c r="K766" i="1"/>
  <c r="L766" i="1"/>
  <c r="M766" i="1"/>
  <c r="K767" i="1"/>
  <c r="L767" i="1"/>
  <c r="M767" i="1"/>
  <c r="K768" i="1"/>
  <c r="L768" i="1"/>
  <c r="M768" i="1"/>
  <c r="K769" i="1"/>
  <c r="L769" i="1"/>
  <c r="M769" i="1"/>
  <c r="K770" i="1"/>
  <c r="L770" i="1"/>
  <c r="M770" i="1"/>
  <c r="K771" i="1"/>
  <c r="L771" i="1"/>
  <c r="M771" i="1"/>
  <c r="K772" i="1"/>
  <c r="L772" i="1"/>
  <c r="M772" i="1"/>
  <c r="K773" i="1"/>
  <c r="L773" i="1"/>
  <c r="M773" i="1"/>
  <c r="K774" i="1"/>
  <c r="L774" i="1"/>
  <c r="M774" i="1"/>
  <c r="K775" i="1"/>
  <c r="L775" i="1"/>
  <c r="M775" i="1"/>
  <c r="K776" i="1"/>
  <c r="L776" i="1"/>
  <c r="M776" i="1"/>
  <c r="K777" i="1"/>
  <c r="L777" i="1"/>
  <c r="M777" i="1"/>
  <c r="K778" i="1"/>
  <c r="L778" i="1"/>
  <c r="M778" i="1"/>
  <c r="K779" i="1"/>
  <c r="L779" i="1"/>
  <c r="M779" i="1"/>
  <c r="K780" i="1"/>
  <c r="L780" i="1"/>
  <c r="M780" i="1"/>
  <c r="K781" i="1"/>
  <c r="L781" i="1"/>
  <c r="M781" i="1"/>
  <c r="K782" i="1"/>
  <c r="L782" i="1"/>
  <c r="M782" i="1"/>
  <c r="K783" i="1"/>
  <c r="L783" i="1"/>
  <c r="M783" i="1"/>
  <c r="K784" i="1"/>
  <c r="L784" i="1"/>
  <c r="M784" i="1"/>
  <c r="K785" i="1"/>
  <c r="L785" i="1"/>
  <c r="M785" i="1"/>
  <c r="K786" i="1"/>
  <c r="L786" i="1"/>
  <c r="M786" i="1"/>
  <c r="K787" i="1"/>
  <c r="L787" i="1"/>
  <c r="M787" i="1"/>
  <c r="K788" i="1"/>
  <c r="L788" i="1"/>
  <c r="M788" i="1"/>
  <c r="K789" i="1"/>
  <c r="L789" i="1"/>
  <c r="M789" i="1"/>
  <c r="K790" i="1"/>
  <c r="L790" i="1"/>
  <c r="M790" i="1"/>
  <c r="K791" i="1"/>
  <c r="L791" i="1"/>
  <c r="M791" i="1"/>
  <c r="K792" i="1"/>
  <c r="L792" i="1"/>
  <c r="M792" i="1"/>
  <c r="K793" i="1"/>
  <c r="L793" i="1"/>
  <c r="M793" i="1"/>
  <c r="K794" i="1"/>
  <c r="L794" i="1"/>
  <c r="M794" i="1"/>
  <c r="K795" i="1"/>
  <c r="L795" i="1"/>
  <c r="M795" i="1"/>
  <c r="K796" i="1"/>
  <c r="L796" i="1"/>
  <c r="M796" i="1"/>
  <c r="K797" i="1"/>
  <c r="L797" i="1"/>
  <c r="M797" i="1"/>
  <c r="K798" i="1"/>
  <c r="L798" i="1"/>
  <c r="M798" i="1"/>
  <c r="J798" i="1" s="1"/>
  <c r="K799" i="1"/>
  <c r="L799" i="1"/>
  <c r="M799" i="1"/>
  <c r="K800" i="1"/>
  <c r="L800" i="1"/>
  <c r="M800" i="1"/>
  <c r="K801" i="1"/>
  <c r="L801" i="1"/>
  <c r="M801" i="1"/>
  <c r="K802" i="1"/>
  <c r="L802" i="1"/>
  <c r="M802" i="1"/>
  <c r="K803" i="1"/>
  <c r="L803" i="1"/>
  <c r="M803" i="1"/>
  <c r="K804" i="1"/>
  <c r="L804" i="1"/>
  <c r="M804" i="1"/>
  <c r="K805" i="1"/>
  <c r="L805" i="1"/>
  <c r="M805" i="1"/>
  <c r="K806" i="1"/>
  <c r="L806" i="1"/>
  <c r="M806" i="1"/>
  <c r="K807" i="1"/>
  <c r="L807" i="1"/>
  <c r="M807" i="1"/>
  <c r="J807" i="1" s="1"/>
  <c r="K808" i="1"/>
  <c r="L808" i="1"/>
  <c r="M808" i="1"/>
  <c r="K809" i="1"/>
  <c r="L809" i="1"/>
  <c r="M809" i="1"/>
  <c r="K810" i="1"/>
  <c r="L810" i="1"/>
  <c r="M810" i="1"/>
  <c r="K811" i="1"/>
  <c r="L811" i="1"/>
  <c r="M811" i="1"/>
  <c r="K812" i="1"/>
  <c r="L812" i="1"/>
  <c r="M812" i="1"/>
  <c r="K813" i="1"/>
  <c r="L813" i="1"/>
  <c r="M813" i="1"/>
  <c r="K814" i="1"/>
  <c r="L814" i="1"/>
  <c r="M814" i="1"/>
  <c r="K815" i="1"/>
  <c r="L815" i="1"/>
  <c r="M815" i="1"/>
  <c r="K816" i="1"/>
  <c r="L816" i="1"/>
  <c r="M816" i="1"/>
  <c r="K817" i="1"/>
  <c r="L817" i="1"/>
  <c r="M817" i="1"/>
  <c r="K818" i="1"/>
  <c r="L818" i="1"/>
  <c r="M818" i="1"/>
  <c r="K819" i="1"/>
  <c r="L819" i="1"/>
  <c r="M819" i="1"/>
  <c r="K820" i="1"/>
  <c r="L820" i="1"/>
  <c r="M820" i="1"/>
  <c r="K821" i="1"/>
  <c r="L821" i="1"/>
  <c r="M821" i="1"/>
  <c r="K822" i="1"/>
  <c r="L822" i="1"/>
  <c r="M822" i="1"/>
  <c r="J822" i="1" s="1"/>
  <c r="K823" i="1"/>
  <c r="L823" i="1"/>
  <c r="M823" i="1"/>
  <c r="K824" i="1"/>
  <c r="L824" i="1"/>
  <c r="M824" i="1"/>
  <c r="K825" i="1"/>
  <c r="L825" i="1"/>
  <c r="M825" i="1"/>
  <c r="K826" i="1"/>
  <c r="L826" i="1"/>
  <c r="M826" i="1"/>
  <c r="K827" i="1"/>
  <c r="L827" i="1"/>
  <c r="M827" i="1"/>
  <c r="K828" i="1"/>
  <c r="L828" i="1"/>
  <c r="M828" i="1"/>
  <c r="K829" i="1"/>
  <c r="L829" i="1"/>
  <c r="M829" i="1"/>
  <c r="K830" i="1"/>
  <c r="L830" i="1"/>
  <c r="M830" i="1"/>
  <c r="K831" i="1"/>
  <c r="L831" i="1"/>
  <c r="M831" i="1"/>
  <c r="K832" i="1"/>
  <c r="L832" i="1"/>
  <c r="M832" i="1"/>
  <c r="K833" i="1"/>
  <c r="L833" i="1"/>
  <c r="M833" i="1"/>
  <c r="K834" i="1"/>
  <c r="L834" i="1"/>
  <c r="M834" i="1"/>
  <c r="K835" i="1"/>
  <c r="L835" i="1"/>
  <c r="M835" i="1"/>
  <c r="K836" i="1"/>
  <c r="L836" i="1"/>
  <c r="M836" i="1"/>
  <c r="K837" i="1"/>
  <c r="L837" i="1"/>
  <c r="M837" i="1"/>
  <c r="K838" i="1"/>
  <c r="L838" i="1"/>
  <c r="M838" i="1"/>
  <c r="K839" i="1"/>
  <c r="L839" i="1"/>
  <c r="M839" i="1"/>
  <c r="K840" i="1"/>
  <c r="L840" i="1"/>
  <c r="M840" i="1"/>
  <c r="K841" i="1"/>
  <c r="L841" i="1"/>
  <c r="M841" i="1"/>
  <c r="K842" i="1"/>
  <c r="L842" i="1"/>
  <c r="M842" i="1"/>
  <c r="K843" i="1"/>
  <c r="L843" i="1"/>
  <c r="M843" i="1"/>
  <c r="K844" i="1"/>
  <c r="L844" i="1"/>
  <c r="M844" i="1"/>
  <c r="K845" i="1"/>
  <c r="L845" i="1"/>
  <c r="M845" i="1"/>
  <c r="K846" i="1"/>
  <c r="L846" i="1"/>
  <c r="M846" i="1"/>
  <c r="K847" i="1"/>
  <c r="L847" i="1"/>
  <c r="M847" i="1"/>
  <c r="K848" i="1"/>
  <c r="L848" i="1"/>
  <c r="M848" i="1"/>
  <c r="K849" i="1"/>
  <c r="L849" i="1"/>
  <c r="M849" i="1"/>
  <c r="K850" i="1"/>
  <c r="L850" i="1"/>
  <c r="M850" i="1"/>
  <c r="K851" i="1"/>
  <c r="L851" i="1"/>
  <c r="M851" i="1"/>
  <c r="K852" i="1"/>
  <c r="L852" i="1"/>
  <c r="M852" i="1"/>
  <c r="K853" i="1"/>
  <c r="L853" i="1"/>
  <c r="M853" i="1"/>
  <c r="K854" i="1"/>
  <c r="L854" i="1"/>
  <c r="M854" i="1"/>
  <c r="K855" i="1"/>
  <c r="L855" i="1"/>
  <c r="M855" i="1"/>
  <c r="K856" i="1"/>
  <c r="L856" i="1"/>
  <c r="M856" i="1"/>
  <c r="K857" i="1"/>
  <c r="L857" i="1"/>
  <c r="M857" i="1"/>
  <c r="K858" i="1"/>
  <c r="L858" i="1"/>
  <c r="M858" i="1"/>
  <c r="K859" i="1"/>
  <c r="L859" i="1"/>
  <c r="M859" i="1"/>
  <c r="K860" i="1"/>
  <c r="L860" i="1"/>
  <c r="M860" i="1"/>
  <c r="K861" i="1"/>
  <c r="L861" i="1"/>
  <c r="M861" i="1"/>
  <c r="K862" i="1"/>
  <c r="L862" i="1"/>
  <c r="M862" i="1"/>
  <c r="K863" i="1"/>
  <c r="L863" i="1"/>
  <c r="M863" i="1"/>
  <c r="K864" i="1"/>
  <c r="L864" i="1"/>
  <c r="M864" i="1"/>
  <c r="K865" i="1"/>
  <c r="L865" i="1"/>
  <c r="M865" i="1"/>
  <c r="K866" i="1"/>
  <c r="L866" i="1"/>
  <c r="M866" i="1"/>
  <c r="K867" i="1"/>
  <c r="J867" i="1" s="1"/>
  <c r="L867" i="1"/>
  <c r="M867" i="1"/>
  <c r="K868" i="1"/>
  <c r="L868" i="1"/>
  <c r="M868" i="1"/>
  <c r="K869" i="1"/>
  <c r="L869" i="1"/>
  <c r="M869" i="1"/>
  <c r="K870" i="1"/>
  <c r="L870" i="1"/>
  <c r="M870" i="1"/>
  <c r="K871" i="1"/>
  <c r="L871" i="1"/>
  <c r="M871" i="1"/>
  <c r="K872" i="1"/>
  <c r="L872" i="1"/>
  <c r="M872" i="1"/>
  <c r="K873" i="1"/>
  <c r="L873" i="1"/>
  <c r="M873" i="1"/>
  <c r="K874" i="1"/>
  <c r="L874" i="1"/>
  <c r="M874" i="1"/>
  <c r="K875" i="1"/>
  <c r="L875" i="1"/>
  <c r="M875" i="1"/>
  <c r="K876" i="1"/>
  <c r="L876" i="1"/>
  <c r="M876" i="1"/>
  <c r="K877" i="1"/>
  <c r="L877" i="1"/>
  <c r="M877" i="1"/>
  <c r="K878" i="1"/>
  <c r="L878" i="1"/>
  <c r="M878" i="1"/>
  <c r="K879" i="1"/>
  <c r="L879" i="1"/>
  <c r="M879" i="1"/>
  <c r="K880" i="1"/>
  <c r="L880" i="1"/>
  <c r="M880" i="1"/>
  <c r="K881" i="1"/>
  <c r="L881" i="1"/>
  <c r="M881" i="1"/>
  <c r="K882" i="1"/>
  <c r="L882" i="1"/>
  <c r="M882" i="1"/>
  <c r="K883" i="1"/>
  <c r="L883" i="1"/>
  <c r="M883" i="1"/>
  <c r="K884" i="1"/>
  <c r="L884" i="1"/>
  <c r="M884" i="1"/>
  <c r="K885" i="1"/>
  <c r="L885" i="1"/>
  <c r="M885" i="1"/>
  <c r="K886" i="1"/>
  <c r="L886" i="1"/>
  <c r="M886" i="1"/>
  <c r="K887" i="1"/>
  <c r="L887" i="1"/>
  <c r="M887" i="1"/>
  <c r="K888" i="1"/>
  <c r="L888" i="1"/>
  <c r="M888" i="1"/>
  <c r="K889" i="1"/>
  <c r="L889" i="1"/>
  <c r="M889" i="1"/>
  <c r="K890" i="1"/>
  <c r="L890" i="1"/>
  <c r="M890" i="1"/>
  <c r="K891" i="1"/>
  <c r="L891" i="1"/>
  <c r="M891" i="1"/>
  <c r="K892" i="1"/>
  <c r="L892" i="1"/>
  <c r="M892" i="1"/>
  <c r="K893" i="1"/>
  <c r="L893" i="1"/>
  <c r="M893" i="1"/>
  <c r="K894" i="1"/>
  <c r="L894" i="1"/>
  <c r="M894" i="1"/>
  <c r="K895" i="1"/>
  <c r="L895" i="1"/>
  <c r="M895" i="1"/>
  <c r="K896" i="1"/>
  <c r="L896" i="1"/>
  <c r="M896" i="1"/>
  <c r="K897" i="1"/>
  <c r="L897" i="1"/>
  <c r="M897" i="1"/>
  <c r="K898" i="1"/>
  <c r="L898" i="1"/>
  <c r="M898" i="1"/>
  <c r="K899" i="1"/>
  <c r="L899" i="1"/>
  <c r="M899" i="1"/>
  <c r="K900" i="1"/>
  <c r="L900" i="1"/>
  <c r="M900" i="1"/>
  <c r="K901" i="1"/>
  <c r="L901" i="1"/>
  <c r="M901" i="1"/>
  <c r="K902" i="1"/>
  <c r="L902" i="1"/>
  <c r="M902" i="1"/>
  <c r="K903" i="1"/>
  <c r="L903" i="1"/>
  <c r="M903" i="1"/>
  <c r="K904" i="1"/>
  <c r="L904" i="1"/>
  <c r="M904" i="1"/>
  <c r="K905" i="1"/>
  <c r="L905" i="1"/>
  <c r="M905" i="1"/>
  <c r="K906" i="1"/>
  <c r="L906" i="1"/>
  <c r="M906" i="1"/>
  <c r="K907" i="1"/>
  <c r="L907" i="1"/>
  <c r="M907" i="1"/>
  <c r="K908" i="1"/>
  <c r="L908" i="1"/>
  <c r="M908" i="1"/>
  <c r="K909" i="1"/>
  <c r="L909" i="1"/>
  <c r="M909" i="1"/>
  <c r="K910" i="1"/>
  <c r="L910" i="1"/>
  <c r="M910" i="1"/>
  <c r="K911" i="1"/>
  <c r="L911" i="1"/>
  <c r="M911" i="1"/>
  <c r="K912" i="1"/>
  <c r="L912" i="1"/>
  <c r="M912" i="1"/>
  <c r="K913" i="1"/>
  <c r="L913" i="1"/>
  <c r="M913" i="1"/>
  <c r="K914" i="1"/>
  <c r="L914" i="1"/>
  <c r="M914" i="1"/>
  <c r="K915" i="1"/>
  <c r="L915" i="1"/>
  <c r="M915" i="1"/>
  <c r="K916" i="1"/>
  <c r="L916" i="1"/>
  <c r="M916" i="1"/>
  <c r="K917" i="1"/>
  <c r="L917" i="1"/>
  <c r="M917" i="1"/>
  <c r="K918" i="1"/>
  <c r="L918" i="1"/>
  <c r="M918" i="1"/>
  <c r="K919" i="1"/>
  <c r="L919" i="1"/>
  <c r="M919" i="1"/>
  <c r="K920" i="1"/>
  <c r="L920" i="1"/>
  <c r="M920" i="1"/>
  <c r="K921" i="1"/>
  <c r="L921" i="1"/>
  <c r="M921" i="1"/>
  <c r="K922" i="1"/>
  <c r="L922" i="1"/>
  <c r="M922" i="1"/>
  <c r="K923" i="1"/>
  <c r="L923" i="1"/>
  <c r="M923" i="1"/>
  <c r="K924" i="1"/>
  <c r="L924" i="1"/>
  <c r="M924" i="1"/>
  <c r="K925" i="1"/>
  <c r="L925" i="1"/>
  <c r="M925" i="1"/>
  <c r="K926" i="1"/>
  <c r="L926" i="1"/>
  <c r="M926" i="1"/>
  <c r="K927" i="1"/>
  <c r="L927" i="1"/>
  <c r="M927" i="1"/>
  <c r="K928" i="1"/>
  <c r="L928" i="1"/>
  <c r="M928" i="1"/>
  <c r="K929" i="1"/>
  <c r="L929" i="1"/>
  <c r="M929" i="1"/>
  <c r="K930" i="1"/>
  <c r="L930" i="1"/>
  <c r="M930" i="1"/>
  <c r="K931" i="1"/>
  <c r="L931" i="1"/>
  <c r="M931" i="1"/>
  <c r="K932" i="1"/>
  <c r="L932" i="1"/>
  <c r="M932" i="1"/>
  <c r="K933" i="1"/>
  <c r="L933" i="1"/>
  <c r="M933" i="1"/>
  <c r="K934" i="1"/>
  <c r="L934" i="1"/>
  <c r="M934" i="1"/>
  <c r="K935" i="1"/>
  <c r="L935" i="1"/>
  <c r="M935" i="1"/>
  <c r="K936" i="1"/>
  <c r="L936" i="1"/>
  <c r="M936" i="1"/>
  <c r="K937" i="1"/>
  <c r="L937" i="1"/>
  <c r="M937" i="1"/>
  <c r="K938" i="1"/>
  <c r="L938" i="1"/>
  <c r="M938" i="1"/>
  <c r="K939" i="1"/>
  <c r="L939" i="1"/>
  <c r="M939" i="1"/>
  <c r="K940" i="1"/>
  <c r="L940" i="1"/>
  <c r="M940" i="1"/>
  <c r="K941" i="1"/>
  <c r="L941" i="1"/>
  <c r="M941" i="1"/>
  <c r="K942" i="1"/>
  <c r="L942" i="1"/>
  <c r="M942" i="1"/>
  <c r="K943" i="1"/>
  <c r="L943" i="1"/>
  <c r="M943" i="1"/>
  <c r="K944" i="1"/>
  <c r="L944" i="1"/>
  <c r="M944" i="1"/>
  <c r="K945" i="1"/>
  <c r="L945" i="1"/>
  <c r="M945" i="1"/>
  <c r="K946" i="1"/>
  <c r="L946" i="1"/>
  <c r="M946" i="1"/>
  <c r="K947" i="1"/>
  <c r="L947" i="1"/>
  <c r="M947" i="1"/>
  <c r="K948" i="1"/>
  <c r="L948" i="1"/>
  <c r="M948" i="1"/>
  <c r="K949" i="1"/>
  <c r="L949" i="1"/>
  <c r="M949" i="1"/>
  <c r="K950" i="1"/>
  <c r="L950" i="1"/>
  <c r="M950" i="1"/>
  <c r="K951" i="1"/>
  <c r="L951" i="1"/>
  <c r="M951" i="1"/>
  <c r="K952" i="1"/>
  <c r="L952" i="1"/>
  <c r="M952" i="1"/>
  <c r="K953" i="1"/>
  <c r="L953" i="1"/>
  <c r="M953" i="1"/>
  <c r="K954" i="1"/>
  <c r="L954" i="1"/>
  <c r="M954" i="1"/>
  <c r="K955" i="1"/>
  <c r="L955" i="1"/>
  <c r="M955" i="1"/>
  <c r="K956" i="1"/>
  <c r="L956" i="1"/>
  <c r="M956" i="1"/>
  <c r="K957" i="1"/>
  <c r="L957" i="1"/>
  <c r="M957" i="1"/>
  <c r="K958" i="1"/>
  <c r="L958" i="1"/>
  <c r="M958" i="1"/>
  <c r="K959" i="1"/>
  <c r="L959" i="1"/>
  <c r="M959" i="1"/>
  <c r="K960" i="1"/>
  <c r="L960" i="1"/>
  <c r="M960" i="1"/>
  <c r="K961" i="1"/>
  <c r="L961" i="1"/>
  <c r="M961" i="1"/>
  <c r="K962" i="1"/>
  <c r="L962" i="1"/>
  <c r="M962" i="1"/>
  <c r="K963" i="1"/>
  <c r="L963" i="1"/>
  <c r="M963" i="1"/>
  <c r="K964" i="1"/>
  <c r="L964" i="1"/>
  <c r="M964" i="1"/>
  <c r="K965" i="1"/>
  <c r="L965" i="1"/>
  <c r="M965" i="1"/>
  <c r="K966" i="1"/>
  <c r="L966" i="1"/>
  <c r="M966" i="1"/>
  <c r="K967" i="1"/>
  <c r="L967" i="1"/>
  <c r="M967" i="1"/>
  <c r="K968" i="1"/>
  <c r="L968" i="1"/>
  <c r="M968" i="1"/>
  <c r="K969" i="1"/>
  <c r="L969" i="1"/>
  <c r="M969" i="1"/>
  <c r="K970" i="1"/>
  <c r="L970" i="1"/>
  <c r="M970" i="1"/>
  <c r="K971" i="1"/>
  <c r="L971" i="1"/>
  <c r="M971" i="1"/>
  <c r="K972" i="1"/>
  <c r="L972" i="1"/>
  <c r="M972" i="1"/>
  <c r="K973" i="1"/>
  <c r="L973" i="1"/>
  <c r="M973" i="1"/>
  <c r="K974" i="1"/>
  <c r="L974" i="1"/>
  <c r="M974" i="1"/>
  <c r="K975" i="1"/>
  <c r="L975" i="1"/>
  <c r="M975" i="1"/>
  <c r="K976" i="1"/>
  <c r="L976" i="1"/>
  <c r="M976" i="1"/>
  <c r="K977" i="1"/>
  <c r="L977" i="1"/>
  <c r="M977" i="1"/>
  <c r="K978" i="1"/>
  <c r="L978" i="1"/>
  <c r="M978" i="1"/>
  <c r="K979" i="1"/>
  <c r="L979" i="1"/>
  <c r="M979" i="1"/>
  <c r="K980" i="1"/>
  <c r="L980" i="1"/>
  <c r="M980" i="1"/>
  <c r="K981" i="1"/>
  <c r="L981" i="1"/>
  <c r="M981" i="1"/>
  <c r="K982" i="1"/>
  <c r="L982" i="1"/>
  <c r="M982" i="1"/>
  <c r="K983" i="1"/>
  <c r="L983" i="1"/>
  <c r="M983" i="1"/>
  <c r="K984" i="1"/>
  <c r="L984" i="1"/>
  <c r="M984" i="1"/>
  <c r="K985" i="1"/>
  <c r="L985" i="1"/>
  <c r="M985" i="1"/>
  <c r="K986" i="1"/>
  <c r="L986" i="1"/>
  <c r="M986" i="1"/>
  <c r="J986" i="1" s="1"/>
  <c r="K987" i="1"/>
  <c r="L987" i="1"/>
  <c r="M987" i="1"/>
  <c r="K988" i="1"/>
  <c r="L988" i="1"/>
  <c r="M988" i="1"/>
  <c r="K989" i="1"/>
  <c r="L989" i="1"/>
  <c r="M989" i="1"/>
  <c r="K990" i="1"/>
  <c r="L990" i="1"/>
  <c r="M990" i="1"/>
  <c r="K991" i="1"/>
  <c r="L991" i="1"/>
  <c r="M991" i="1"/>
  <c r="K992" i="1"/>
  <c r="L992" i="1"/>
  <c r="M992" i="1"/>
  <c r="K993" i="1"/>
  <c r="L993" i="1"/>
  <c r="M993" i="1"/>
  <c r="K994" i="1"/>
  <c r="L994" i="1"/>
  <c r="M994" i="1"/>
  <c r="K995" i="1"/>
  <c r="L995" i="1"/>
  <c r="M995" i="1"/>
  <c r="K996" i="1"/>
  <c r="L996" i="1"/>
  <c r="M996" i="1"/>
  <c r="K997" i="1"/>
  <c r="L997" i="1"/>
  <c r="M997" i="1"/>
  <c r="K998" i="1"/>
  <c r="L998" i="1"/>
  <c r="M998" i="1"/>
  <c r="J998" i="1" s="1"/>
  <c r="K999" i="1"/>
  <c r="L999" i="1"/>
  <c r="M999" i="1"/>
  <c r="K1000" i="1"/>
  <c r="L1000" i="1"/>
  <c r="M1000" i="1"/>
  <c r="K1001" i="1"/>
  <c r="L1001" i="1"/>
  <c r="M1001" i="1"/>
  <c r="K1002" i="1"/>
  <c r="L1002" i="1"/>
  <c r="M1002" i="1"/>
  <c r="K1003" i="1"/>
  <c r="L1003" i="1"/>
  <c r="M1003" i="1"/>
  <c r="K1004" i="1"/>
  <c r="L1004" i="1"/>
  <c r="M1004" i="1"/>
  <c r="K1005" i="1"/>
  <c r="L1005" i="1"/>
  <c r="M1005" i="1"/>
  <c r="K1006" i="1"/>
  <c r="L1006" i="1"/>
  <c r="M1006" i="1"/>
  <c r="K1007" i="1"/>
  <c r="L1007" i="1"/>
  <c r="M1007" i="1"/>
  <c r="K1008" i="1"/>
  <c r="L1008" i="1"/>
  <c r="M1008" i="1"/>
  <c r="K1009" i="1"/>
  <c r="L1009" i="1"/>
  <c r="M1009" i="1"/>
  <c r="K1010" i="1"/>
  <c r="L1010" i="1"/>
  <c r="M1010" i="1"/>
  <c r="K1011" i="1"/>
  <c r="L1011" i="1"/>
  <c r="M1011" i="1"/>
  <c r="K1012" i="1"/>
  <c r="L1012" i="1"/>
  <c r="M1012" i="1"/>
  <c r="K1013" i="1"/>
  <c r="L1013" i="1"/>
  <c r="M1013" i="1"/>
  <c r="K1014" i="1"/>
  <c r="L1014" i="1"/>
  <c r="M1014" i="1"/>
  <c r="K1015" i="1"/>
  <c r="L1015" i="1"/>
  <c r="M1015" i="1"/>
  <c r="K1016" i="1"/>
  <c r="L1016" i="1"/>
  <c r="M1016" i="1"/>
  <c r="K1017" i="1"/>
  <c r="L1017" i="1"/>
  <c r="M1017" i="1"/>
  <c r="K1018" i="1"/>
  <c r="L1018" i="1"/>
  <c r="M1018" i="1"/>
  <c r="K1019" i="1"/>
  <c r="L1019" i="1"/>
  <c r="M1019" i="1"/>
  <c r="K1020" i="1"/>
  <c r="L1020" i="1"/>
  <c r="M1020" i="1"/>
  <c r="K1021" i="1"/>
  <c r="L1021" i="1"/>
  <c r="M1021" i="1"/>
  <c r="K1022" i="1"/>
  <c r="L1022" i="1"/>
  <c r="M1022" i="1"/>
  <c r="K1023" i="1"/>
  <c r="L1023" i="1"/>
  <c r="M1023" i="1"/>
  <c r="K1024" i="1"/>
  <c r="L1024" i="1"/>
  <c r="M1024" i="1"/>
  <c r="K1025" i="1"/>
  <c r="L1025" i="1"/>
  <c r="M1025" i="1"/>
  <c r="K1026" i="1"/>
  <c r="L1026" i="1"/>
  <c r="M1026" i="1"/>
  <c r="K1027" i="1"/>
  <c r="L1027" i="1"/>
  <c r="M1027" i="1"/>
  <c r="K1028" i="1"/>
  <c r="L1028" i="1"/>
  <c r="M1028" i="1"/>
  <c r="K1029" i="1"/>
  <c r="L1029" i="1"/>
  <c r="M1029" i="1"/>
  <c r="J1030" i="1"/>
  <c r="K1030" i="1"/>
  <c r="L1030" i="1"/>
  <c r="M1030" i="1"/>
  <c r="K1031" i="1"/>
  <c r="L1031" i="1"/>
  <c r="M1031" i="1"/>
  <c r="K1032" i="1"/>
  <c r="L1032" i="1"/>
  <c r="M1032" i="1"/>
  <c r="K1033" i="1"/>
  <c r="L1033" i="1"/>
  <c r="M1033" i="1"/>
  <c r="K1034" i="1"/>
  <c r="L1034" i="1"/>
  <c r="M1034" i="1"/>
  <c r="K1035" i="1"/>
  <c r="L1035" i="1"/>
  <c r="M1035" i="1"/>
  <c r="K1036" i="1"/>
  <c r="L1036" i="1"/>
  <c r="M1036" i="1"/>
  <c r="K1037" i="1"/>
  <c r="L1037" i="1"/>
  <c r="M1037" i="1"/>
  <c r="K1038" i="1"/>
  <c r="L1038" i="1"/>
  <c r="M1038" i="1"/>
  <c r="K1039" i="1"/>
  <c r="L1039" i="1"/>
  <c r="M1039" i="1"/>
  <c r="K1040" i="1"/>
  <c r="L1040" i="1"/>
  <c r="M1040" i="1"/>
  <c r="K1041" i="1"/>
  <c r="L1041" i="1"/>
  <c r="M1041" i="1"/>
  <c r="K1042" i="1"/>
  <c r="L1042" i="1"/>
  <c r="M1042" i="1"/>
  <c r="K1043" i="1"/>
  <c r="L1043" i="1"/>
  <c r="M1043" i="1"/>
  <c r="K1044" i="1"/>
  <c r="L1044" i="1"/>
  <c r="M1044" i="1"/>
  <c r="K1045" i="1"/>
  <c r="L1045" i="1"/>
  <c r="M1045" i="1"/>
  <c r="K1046" i="1"/>
  <c r="L1046" i="1"/>
  <c r="M1046" i="1"/>
  <c r="K1047" i="1"/>
  <c r="L1047" i="1"/>
  <c r="M1047" i="1"/>
  <c r="K1048" i="1"/>
  <c r="L1048" i="1"/>
  <c r="M1048" i="1"/>
  <c r="K1049" i="1"/>
  <c r="L1049" i="1"/>
  <c r="M1049" i="1"/>
  <c r="J1049" i="1" s="1"/>
  <c r="J1050" i="1"/>
  <c r="K1050" i="1"/>
  <c r="L1050" i="1"/>
  <c r="M1050" i="1"/>
  <c r="K1051" i="1"/>
  <c r="L1051" i="1"/>
  <c r="M1051" i="1"/>
  <c r="K1052" i="1"/>
  <c r="L1052" i="1"/>
  <c r="M1052" i="1"/>
  <c r="K1053" i="1"/>
  <c r="L1053" i="1"/>
  <c r="M1053" i="1"/>
  <c r="K1054" i="1"/>
  <c r="L1054" i="1"/>
  <c r="M1054" i="1"/>
  <c r="K1055" i="1"/>
  <c r="L1055" i="1"/>
  <c r="M1055" i="1"/>
  <c r="K1056" i="1"/>
  <c r="L1056" i="1"/>
  <c r="M1056" i="1"/>
  <c r="K1057" i="1"/>
  <c r="L1057" i="1"/>
  <c r="M1057" i="1"/>
  <c r="K1058" i="1"/>
  <c r="L1058" i="1"/>
  <c r="M1058" i="1"/>
  <c r="K1059" i="1"/>
  <c r="L1059" i="1"/>
  <c r="M1059" i="1"/>
  <c r="K1060" i="1"/>
  <c r="L1060" i="1"/>
  <c r="M1060" i="1"/>
  <c r="K1061" i="1"/>
  <c r="L1061" i="1"/>
  <c r="M1061" i="1"/>
  <c r="K1062" i="1"/>
  <c r="L1062" i="1"/>
  <c r="M1062" i="1"/>
  <c r="K1063" i="1"/>
  <c r="L1063" i="1"/>
  <c r="M1063" i="1"/>
  <c r="K1064" i="1"/>
  <c r="L1064" i="1"/>
  <c r="M1064" i="1"/>
  <c r="K1065" i="1"/>
  <c r="L1065" i="1"/>
  <c r="M1065" i="1"/>
  <c r="K1066" i="1"/>
  <c r="L1066" i="1"/>
  <c r="M1066" i="1"/>
  <c r="K1067" i="1"/>
  <c r="L1067" i="1"/>
  <c r="M1067" i="1"/>
  <c r="K1068" i="1"/>
  <c r="L1068" i="1"/>
  <c r="M1068" i="1"/>
  <c r="K1069" i="1"/>
  <c r="L1069" i="1"/>
  <c r="M1069" i="1"/>
  <c r="K1070" i="1"/>
  <c r="L1070" i="1"/>
  <c r="M1070" i="1"/>
  <c r="K1071" i="1"/>
  <c r="L1071" i="1"/>
  <c r="M1071" i="1"/>
  <c r="K1072" i="1"/>
  <c r="L1072" i="1"/>
  <c r="M1072" i="1"/>
  <c r="K1073" i="1"/>
  <c r="L1073" i="1"/>
  <c r="M1073" i="1"/>
  <c r="K1074" i="1"/>
  <c r="L1074" i="1"/>
  <c r="M1074" i="1"/>
  <c r="K1075" i="1"/>
  <c r="L1075" i="1"/>
  <c r="M1075" i="1"/>
  <c r="K1076" i="1"/>
  <c r="L1076" i="1"/>
  <c r="M1076" i="1"/>
  <c r="K1077" i="1"/>
  <c r="L1077" i="1"/>
  <c r="M1077" i="1"/>
  <c r="K1078" i="1"/>
  <c r="L1078" i="1"/>
  <c r="M1078" i="1"/>
  <c r="K1079" i="1"/>
  <c r="L1079" i="1"/>
  <c r="M1079" i="1"/>
  <c r="K1080" i="1"/>
  <c r="L1080" i="1"/>
  <c r="M1080" i="1"/>
  <c r="K1081" i="1"/>
  <c r="L1081" i="1"/>
  <c r="M1081" i="1"/>
  <c r="K1082" i="1"/>
  <c r="L1082" i="1"/>
  <c r="M1082" i="1"/>
  <c r="K1083" i="1"/>
  <c r="L1083" i="1"/>
  <c r="M1083" i="1"/>
  <c r="K1084" i="1"/>
  <c r="L1084" i="1"/>
  <c r="M1084" i="1"/>
  <c r="K1085" i="1"/>
  <c r="L1085" i="1"/>
  <c r="M1085" i="1"/>
  <c r="K1086" i="1"/>
  <c r="L1086" i="1"/>
  <c r="M1086" i="1"/>
  <c r="K1087" i="1"/>
  <c r="L1087" i="1"/>
  <c r="M1087" i="1"/>
  <c r="K1088" i="1"/>
  <c r="L1088" i="1"/>
  <c r="M1088" i="1"/>
  <c r="K1089" i="1"/>
  <c r="L1089" i="1"/>
  <c r="M1089" i="1"/>
  <c r="K1090" i="1"/>
  <c r="L1090" i="1"/>
  <c r="M1090" i="1"/>
  <c r="K1091" i="1"/>
  <c r="L1091" i="1"/>
  <c r="M1091" i="1"/>
  <c r="K1092" i="1"/>
  <c r="L1092" i="1"/>
  <c r="M1092" i="1"/>
  <c r="K1093" i="1"/>
  <c r="L1093" i="1"/>
  <c r="M1093" i="1"/>
  <c r="K1094" i="1"/>
  <c r="L1094" i="1"/>
  <c r="M1094" i="1"/>
  <c r="K1095" i="1"/>
  <c r="L1095" i="1"/>
  <c r="M1095" i="1"/>
  <c r="K1096" i="1"/>
  <c r="L1096" i="1"/>
  <c r="M1096" i="1"/>
  <c r="K1097" i="1"/>
  <c r="L1097" i="1"/>
  <c r="M1097" i="1"/>
  <c r="K1098" i="1"/>
  <c r="L1098" i="1"/>
  <c r="M1098" i="1"/>
  <c r="K1099" i="1"/>
  <c r="L1099" i="1"/>
  <c r="M1099" i="1"/>
  <c r="K1100" i="1"/>
  <c r="L1100" i="1"/>
  <c r="M1100" i="1"/>
  <c r="K1101" i="1"/>
  <c r="L1101" i="1"/>
  <c r="M1101" i="1"/>
  <c r="K1102" i="1"/>
  <c r="L1102" i="1"/>
  <c r="M1102" i="1"/>
  <c r="K1103" i="1"/>
  <c r="L1103" i="1"/>
  <c r="M1103" i="1"/>
  <c r="K1104" i="1"/>
  <c r="L1104" i="1"/>
  <c r="M1104" i="1"/>
  <c r="K1105" i="1"/>
  <c r="L1105" i="1"/>
  <c r="M1105" i="1"/>
  <c r="K1106" i="1"/>
  <c r="L1106" i="1"/>
  <c r="M1106" i="1"/>
  <c r="K1107" i="1"/>
  <c r="L1107" i="1"/>
  <c r="M1107" i="1"/>
  <c r="K1108" i="1"/>
  <c r="L1108" i="1"/>
  <c r="M1108" i="1"/>
  <c r="K1109" i="1"/>
  <c r="L1109" i="1"/>
  <c r="M1109" i="1"/>
  <c r="K1110" i="1"/>
  <c r="L1110" i="1"/>
  <c r="M1110" i="1"/>
  <c r="K1111" i="1"/>
  <c r="L1111" i="1"/>
  <c r="M1111" i="1"/>
  <c r="K1112" i="1"/>
  <c r="L1112" i="1"/>
  <c r="M1112" i="1"/>
  <c r="K1113" i="1"/>
  <c r="L1113" i="1"/>
  <c r="M1113" i="1"/>
  <c r="K1114" i="1"/>
  <c r="L1114" i="1"/>
  <c r="M1114" i="1"/>
  <c r="K1115" i="1"/>
  <c r="L1115" i="1"/>
  <c r="M1115" i="1"/>
  <c r="K1116" i="1"/>
  <c r="L1116" i="1"/>
  <c r="M1116" i="1"/>
  <c r="K1117" i="1"/>
  <c r="L1117" i="1"/>
  <c r="M1117" i="1"/>
  <c r="K1118" i="1"/>
  <c r="L1118" i="1"/>
  <c r="M1118" i="1"/>
  <c r="K1119" i="1"/>
  <c r="L1119" i="1"/>
  <c r="M1119" i="1"/>
  <c r="K1120" i="1"/>
  <c r="L1120" i="1"/>
  <c r="M1120" i="1"/>
  <c r="K1121" i="1"/>
  <c r="L1121" i="1"/>
  <c r="M1121" i="1"/>
  <c r="J1121" i="1" s="1"/>
  <c r="K1122" i="1"/>
  <c r="L1122" i="1"/>
  <c r="M1122" i="1"/>
  <c r="J1122" i="1" s="1"/>
  <c r="K1123" i="1"/>
  <c r="L1123" i="1"/>
  <c r="M1123" i="1"/>
  <c r="K1124" i="1"/>
  <c r="L1124" i="1"/>
  <c r="M1124" i="1"/>
  <c r="K1125" i="1"/>
  <c r="L1125" i="1"/>
  <c r="M1125" i="1"/>
  <c r="K1126" i="1"/>
  <c r="L1126" i="1"/>
  <c r="M1126" i="1"/>
  <c r="K1127" i="1"/>
  <c r="L1127" i="1"/>
  <c r="M1127" i="1"/>
  <c r="K1128" i="1"/>
  <c r="L1128" i="1"/>
  <c r="M1128" i="1"/>
  <c r="K1129" i="1"/>
  <c r="L1129" i="1"/>
  <c r="M1129" i="1"/>
  <c r="K1130" i="1"/>
  <c r="L1130" i="1"/>
  <c r="M1130" i="1"/>
  <c r="K1131" i="1"/>
  <c r="L1131" i="1"/>
  <c r="M1131" i="1"/>
  <c r="K1132" i="1"/>
  <c r="L1132" i="1"/>
  <c r="M1132" i="1"/>
  <c r="K1133" i="1"/>
  <c r="L1133" i="1"/>
  <c r="M1133" i="1"/>
  <c r="K1134" i="1"/>
  <c r="L1134" i="1"/>
  <c r="M1134" i="1"/>
  <c r="K1135" i="1"/>
  <c r="J1135" i="1" s="1"/>
  <c r="L1135" i="1"/>
  <c r="M1135" i="1"/>
  <c r="K1136" i="1"/>
  <c r="L1136" i="1"/>
  <c r="M1136" i="1"/>
  <c r="K1137" i="1"/>
  <c r="L1137" i="1"/>
  <c r="M1137" i="1"/>
  <c r="J1137" i="1" s="1"/>
  <c r="K1138" i="1"/>
  <c r="L1138" i="1"/>
  <c r="M1138" i="1"/>
  <c r="K1139" i="1"/>
  <c r="L1139" i="1"/>
  <c r="M1139" i="1"/>
  <c r="K1140" i="1"/>
  <c r="L1140" i="1"/>
  <c r="M1140" i="1"/>
  <c r="J1140" i="1" s="1"/>
  <c r="K1141" i="1"/>
  <c r="L1141" i="1"/>
  <c r="M1141" i="1"/>
  <c r="K1142" i="1"/>
  <c r="L1142" i="1"/>
  <c r="M1142" i="1"/>
  <c r="K1143" i="1"/>
  <c r="L1143" i="1"/>
  <c r="M1143" i="1"/>
  <c r="K1144" i="1"/>
  <c r="L1144" i="1"/>
  <c r="M1144" i="1"/>
  <c r="K1145" i="1"/>
  <c r="L1145" i="1"/>
  <c r="M1145" i="1"/>
  <c r="K1146" i="1"/>
  <c r="L1146" i="1"/>
  <c r="M1146" i="1"/>
  <c r="K1147" i="1"/>
  <c r="L1147" i="1"/>
  <c r="M1147" i="1"/>
  <c r="K1148" i="1"/>
  <c r="L1148" i="1"/>
  <c r="M1148" i="1"/>
  <c r="K1149" i="1"/>
  <c r="L1149" i="1"/>
  <c r="M1149" i="1"/>
  <c r="K1150" i="1"/>
  <c r="L1150" i="1"/>
  <c r="M1150" i="1"/>
  <c r="K1151" i="1"/>
  <c r="L1151" i="1"/>
  <c r="M1151" i="1"/>
  <c r="K1152" i="1"/>
  <c r="L1152" i="1"/>
  <c r="M1152" i="1"/>
  <c r="K1153" i="1"/>
  <c r="L1153" i="1"/>
  <c r="M1153" i="1"/>
  <c r="K1154" i="1"/>
  <c r="L1154" i="1"/>
  <c r="M1154" i="1"/>
  <c r="K1155" i="1"/>
  <c r="L1155" i="1"/>
  <c r="M1155" i="1"/>
  <c r="K1156" i="1"/>
  <c r="L1156" i="1"/>
  <c r="M1156" i="1"/>
  <c r="K1157" i="1"/>
  <c r="L1157" i="1"/>
  <c r="M1157" i="1"/>
  <c r="K1158" i="1"/>
  <c r="L1158" i="1"/>
  <c r="M1158" i="1"/>
  <c r="K1159" i="1"/>
  <c r="L1159" i="1"/>
  <c r="M1159" i="1"/>
  <c r="K1160" i="1"/>
  <c r="L1160" i="1"/>
  <c r="M1160" i="1"/>
  <c r="K1161" i="1"/>
  <c r="L1161" i="1"/>
  <c r="M1161" i="1"/>
  <c r="K1162" i="1"/>
  <c r="L1162" i="1"/>
  <c r="M1162" i="1"/>
  <c r="K1163" i="1"/>
  <c r="L1163" i="1"/>
  <c r="M1163" i="1"/>
  <c r="J1163" i="1" s="1"/>
  <c r="K1164" i="1"/>
  <c r="L1164" i="1"/>
  <c r="M1164" i="1"/>
  <c r="J1164" i="1" s="1"/>
  <c r="K1165" i="1"/>
  <c r="L1165" i="1"/>
  <c r="M1165" i="1"/>
  <c r="K1166" i="1"/>
  <c r="L1166" i="1"/>
  <c r="M1166" i="1"/>
  <c r="K1167" i="1"/>
  <c r="L1167" i="1"/>
  <c r="M1167" i="1"/>
  <c r="K1168" i="1"/>
  <c r="L1168" i="1"/>
  <c r="M1168" i="1"/>
  <c r="K1169" i="1"/>
  <c r="L1169" i="1"/>
  <c r="M1169" i="1"/>
  <c r="K1170" i="1"/>
  <c r="L1170" i="1"/>
  <c r="M1170" i="1"/>
  <c r="K1171" i="1"/>
  <c r="L1171" i="1"/>
  <c r="M1171" i="1"/>
  <c r="K1172" i="1"/>
  <c r="L1172" i="1"/>
  <c r="M1172" i="1"/>
  <c r="K1173" i="1"/>
  <c r="L1173" i="1"/>
  <c r="M1173" i="1"/>
  <c r="K1174" i="1"/>
  <c r="L1174" i="1"/>
  <c r="M1174" i="1"/>
  <c r="K1175" i="1"/>
  <c r="L1175" i="1"/>
  <c r="M1175" i="1"/>
  <c r="K1176" i="1"/>
  <c r="L1176" i="1"/>
  <c r="M1176" i="1"/>
  <c r="K1177" i="1"/>
  <c r="L1177" i="1"/>
  <c r="M1177" i="1"/>
  <c r="K1178" i="1"/>
  <c r="L1178" i="1"/>
  <c r="M1178" i="1"/>
  <c r="K1179" i="1"/>
  <c r="L1179" i="1"/>
  <c r="M1179" i="1"/>
  <c r="K1180" i="1"/>
  <c r="L1180" i="1"/>
  <c r="M1180" i="1"/>
  <c r="K1181" i="1"/>
  <c r="L1181" i="1"/>
  <c r="M1181" i="1"/>
  <c r="K1182" i="1"/>
  <c r="L1182" i="1"/>
  <c r="M1182" i="1"/>
  <c r="K1183" i="1"/>
  <c r="L1183" i="1"/>
  <c r="M1183" i="1"/>
  <c r="K1184" i="1"/>
  <c r="L1184" i="1"/>
  <c r="M1184" i="1"/>
  <c r="K1185" i="1"/>
  <c r="L1185" i="1"/>
  <c r="M1185" i="1"/>
  <c r="K1186" i="1"/>
  <c r="L1186" i="1"/>
  <c r="M1186" i="1"/>
  <c r="K1187" i="1"/>
  <c r="L1187" i="1"/>
  <c r="M1187" i="1"/>
  <c r="K1188" i="1"/>
  <c r="L1188" i="1"/>
  <c r="M1188" i="1"/>
  <c r="K1189" i="1"/>
  <c r="L1189" i="1"/>
  <c r="M1189" i="1"/>
  <c r="K1190" i="1"/>
  <c r="L1190" i="1"/>
  <c r="M1190" i="1"/>
  <c r="J1190" i="1" s="1"/>
  <c r="K1191" i="1"/>
  <c r="L1191" i="1"/>
  <c r="M1191" i="1"/>
  <c r="K1192" i="1"/>
  <c r="L1192" i="1"/>
  <c r="M1192" i="1"/>
  <c r="K1193" i="1"/>
  <c r="L1193" i="1"/>
  <c r="M1193" i="1"/>
  <c r="K1194" i="1"/>
  <c r="L1194" i="1"/>
  <c r="M1194" i="1"/>
  <c r="K1195" i="1"/>
  <c r="L1195" i="1"/>
  <c r="M1195" i="1"/>
  <c r="K1196" i="1"/>
  <c r="L1196" i="1"/>
  <c r="M1196" i="1"/>
  <c r="K1197" i="1"/>
  <c r="L1197" i="1"/>
  <c r="M1197" i="1"/>
  <c r="K1198" i="1"/>
  <c r="L1198" i="1"/>
  <c r="M1198" i="1"/>
  <c r="K1199" i="1"/>
  <c r="L1199" i="1"/>
  <c r="M1199" i="1"/>
  <c r="K1200" i="1"/>
  <c r="L1200" i="1"/>
  <c r="M1200" i="1"/>
  <c r="J1201" i="1"/>
  <c r="K1201" i="1"/>
  <c r="L1201" i="1"/>
  <c r="M1201" i="1"/>
  <c r="K1202" i="1"/>
  <c r="L1202" i="1"/>
  <c r="M1202" i="1"/>
  <c r="K1203" i="1"/>
  <c r="L1203" i="1"/>
  <c r="J1203" i="1" s="1"/>
  <c r="M1203" i="1"/>
  <c r="K1204" i="1"/>
  <c r="L1204" i="1"/>
  <c r="M1204" i="1"/>
  <c r="K1205" i="1"/>
  <c r="L1205" i="1"/>
  <c r="M1205" i="1"/>
  <c r="K1206" i="1"/>
  <c r="L1206" i="1"/>
  <c r="M1206" i="1"/>
  <c r="K1207" i="1"/>
  <c r="L1207" i="1"/>
  <c r="M1207" i="1"/>
  <c r="K1208" i="1"/>
  <c r="L1208" i="1"/>
  <c r="M1208" i="1"/>
  <c r="K1209" i="1"/>
  <c r="L1209" i="1"/>
  <c r="M1209" i="1"/>
  <c r="K1210" i="1"/>
  <c r="L1210" i="1"/>
  <c r="M1210" i="1"/>
  <c r="K1211" i="1"/>
  <c r="L1211" i="1"/>
  <c r="M1211" i="1"/>
  <c r="K1212" i="1"/>
  <c r="L1212" i="1"/>
  <c r="M1212" i="1"/>
  <c r="K1213" i="1"/>
  <c r="L1213" i="1"/>
  <c r="M1213" i="1"/>
  <c r="K1214" i="1"/>
  <c r="L1214" i="1"/>
  <c r="M1214" i="1"/>
  <c r="K1215" i="1"/>
  <c r="L1215" i="1"/>
  <c r="M1215" i="1"/>
  <c r="K1216" i="1"/>
  <c r="L1216" i="1"/>
  <c r="M1216" i="1"/>
  <c r="K1217" i="1"/>
  <c r="L1217" i="1"/>
  <c r="M1217" i="1"/>
  <c r="K1218" i="1"/>
  <c r="L1218" i="1"/>
  <c r="M1218" i="1"/>
  <c r="K1219" i="1"/>
  <c r="L1219" i="1"/>
  <c r="M1219" i="1"/>
  <c r="K1220" i="1"/>
  <c r="L1220" i="1"/>
  <c r="M1220" i="1"/>
  <c r="K1221" i="1"/>
  <c r="L1221" i="1"/>
  <c r="M1221" i="1"/>
  <c r="K1222" i="1"/>
  <c r="L1222" i="1"/>
  <c r="M1222" i="1"/>
  <c r="K1223" i="1"/>
  <c r="L1223" i="1"/>
  <c r="M1223" i="1"/>
  <c r="K1224" i="1"/>
  <c r="L1224" i="1"/>
  <c r="M1224" i="1"/>
  <c r="J1225" i="1"/>
  <c r="K1225" i="1"/>
  <c r="L1225" i="1"/>
  <c r="M1225" i="1"/>
  <c r="K1226" i="1"/>
  <c r="L1226" i="1"/>
  <c r="M1226" i="1"/>
  <c r="K1227" i="1"/>
  <c r="L1227" i="1"/>
  <c r="M1227" i="1"/>
  <c r="K1228" i="1"/>
  <c r="L1228" i="1"/>
  <c r="M1228" i="1"/>
  <c r="K1229" i="1"/>
  <c r="L1229" i="1"/>
  <c r="M1229" i="1"/>
  <c r="J1229" i="1" s="1"/>
  <c r="K1230" i="1"/>
  <c r="J1230" i="1" s="1"/>
  <c r="L1230" i="1"/>
  <c r="M1230" i="1"/>
  <c r="K1231" i="1"/>
  <c r="L1231" i="1"/>
  <c r="M1231" i="1"/>
  <c r="K1232" i="1"/>
  <c r="L1232" i="1"/>
  <c r="M1232" i="1"/>
  <c r="K1233" i="1"/>
  <c r="L1233" i="1"/>
  <c r="M1233" i="1"/>
  <c r="K1234" i="1"/>
  <c r="J1234" i="1" s="1"/>
  <c r="L1234" i="1"/>
  <c r="M1234" i="1"/>
  <c r="K1235" i="1"/>
  <c r="L1235" i="1"/>
  <c r="M1235" i="1"/>
  <c r="K1236" i="1"/>
  <c r="L1236" i="1"/>
  <c r="M1236" i="1"/>
  <c r="K1237" i="1"/>
  <c r="L1237" i="1"/>
  <c r="M1237" i="1"/>
  <c r="K1238" i="1"/>
  <c r="L1238" i="1"/>
  <c r="M1238" i="1"/>
  <c r="K1239" i="1"/>
  <c r="L1239" i="1"/>
  <c r="M1239" i="1"/>
  <c r="K1240" i="1"/>
  <c r="L1240" i="1"/>
  <c r="M1240" i="1"/>
  <c r="K1241" i="1"/>
  <c r="L1241" i="1"/>
  <c r="M1241" i="1"/>
  <c r="J1241" i="1" s="1"/>
  <c r="K1242" i="1"/>
  <c r="L1242" i="1"/>
  <c r="M1242" i="1"/>
  <c r="K1243" i="1"/>
  <c r="L1243" i="1"/>
  <c r="M1243" i="1"/>
  <c r="K1244" i="1"/>
  <c r="L1244" i="1"/>
  <c r="M1244" i="1"/>
  <c r="K1245" i="1"/>
  <c r="L1245" i="1"/>
  <c r="M1245" i="1"/>
  <c r="K1246" i="1"/>
  <c r="L1246" i="1"/>
  <c r="M1246" i="1"/>
  <c r="K1247" i="1"/>
  <c r="L1247" i="1"/>
  <c r="M1247" i="1"/>
  <c r="K1248" i="1"/>
  <c r="L1248" i="1"/>
  <c r="M1248" i="1"/>
  <c r="K1249" i="1"/>
  <c r="L1249" i="1"/>
  <c r="M1249" i="1"/>
  <c r="K1250" i="1"/>
  <c r="L1250" i="1"/>
  <c r="M1250" i="1"/>
  <c r="K1251" i="1"/>
  <c r="L1251" i="1"/>
  <c r="M1251" i="1"/>
  <c r="K1252" i="1"/>
  <c r="L1252" i="1"/>
  <c r="M1252" i="1"/>
  <c r="K1253" i="1"/>
  <c r="L1253" i="1"/>
  <c r="M1253" i="1"/>
  <c r="K1254" i="1"/>
  <c r="L1254" i="1"/>
  <c r="M1254" i="1"/>
  <c r="K1255" i="1"/>
  <c r="L1255" i="1"/>
  <c r="M1255" i="1"/>
  <c r="K1256" i="1"/>
  <c r="L1256" i="1"/>
  <c r="M1256" i="1"/>
  <c r="J1256" i="1" s="1"/>
  <c r="K1257" i="1"/>
  <c r="L1257" i="1"/>
  <c r="M1257" i="1"/>
  <c r="K1258" i="1"/>
  <c r="L1258" i="1"/>
  <c r="M1258" i="1"/>
  <c r="K1259" i="1"/>
  <c r="L1259" i="1"/>
  <c r="M1259" i="1"/>
  <c r="K1260" i="1"/>
  <c r="L1260" i="1"/>
  <c r="M1260" i="1"/>
  <c r="K1261" i="1"/>
  <c r="L1261" i="1"/>
  <c r="M1261" i="1"/>
  <c r="K1262" i="1"/>
  <c r="L1262" i="1"/>
  <c r="M1262" i="1"/>
  <c r="K1263" i="1"/>
  <c r="L1263" i="1"/>
  <c r="M1263" i="1"/>
  <c r="K1264" i="1"/>
  <c r="L1264" i="1"/>
  <c r="M1264" i="1"/>
  <c r="K1265" i="1"/>
  <c r="L1265" i="1"/>
  <c r="M1265" i="1"/>
  <c r="K1266" i="1"/>
  <c r="L1266" i="1"/>
  <c r="M1266" i="1"/>
  <c r="K1267" i="1"/>
  <c r="L1267" i="1"/>
  <c r="M1267" i="1"/>
  <c r="K1268" i="1"/>
  <c r="L1268" i="1"/>
  <c r="M1268" i="1"/>
  <c r="K1269" i="1"/>
  <c r="L1269" i="1"/>
  <c r="M1269" i="1"/>
  <c r="K1270" i="1"/>
  <c r="L1270" i="1"/>
  <c r="M1270" i="1"/>
  <c r="K1271" i="1"/>
  <c r="L1271" i="1"/>
  <c r="M1271" i="1"/>
  <c r="K1272" i="1"/>
  <c r="L1272" i="1"/>
  <c r="M1272" i="1"/>
  <c r="J1273" i="1"/>
  <c r="K1273" i="1"/>
  <c r="L1273" i="1"/>
  <c r="M1273" i="1"/>
  <c r="K1274" i="1"/>
  <c r="L1274" i="1"/>
  <c r="M1274" i="1"/>
  <c r="K1275" i="1"/>
  <c r="L1275" i="1"/>
  <c r="M1275" i="1"/>
  <c r="K1276" i="1"/>
  <c r="L1276" i="1"/>
  <c r="M1276" i="1"/>
  <c r="K1277" i="1"/>
  <c r="L1277" i="1"/>
  <c r="M1277" i="1"/>
  <c r="K1278" i="1"/>
  <c r="L1278" i="1"/>
  <c r="M1278" i="1"/>
  <c r="K1279" i="1"/>
  <c r="L1279" i="1"/>
  <c r="M1279" i="1"/>
  <c r="K1280" i="1"/>
  <c r="L1280" i="1"/>
  <c r="M1280" i="1"/>
  <c r="K1281" i="1"/>
  <c r="L1281" i="1"/>
  <c r="M1281" i="1"/>
  <c r="K1282" i="1"/>
  <c r="L1282" i="1"/>
  <c r="M1282" i="1"/>
  <c r="K1283" i="1"/>
  <c r="L1283" i="1"/>
  <c r="M1283" i="1"/>
  <c r="K1284" i="1"/>
  <c r="L1284" i="1"/>
  <c r="M1284" i="1"/>
  <c r="K1285" i="1"/>
  <c r="L1285" i="1"/>
  <c r="M1285" i="1"/>
  <c r="K1286" i="1"/>
  <c r="L1286" i="1"/>
  <c r="M1286" i="1"/>
  <c r="K1287" i="1"/>
  <c r="L1287" i="1"/>
  <c r="M1287" i="1"/>
  <c r="K1288" i="1"/>
  <c r="L1288" i="1"/>
  <c r="M1288" i="1"/>
  <c r="K1289" i="1"/>
  <c r="L1289" i="1"/>
  <c r="M1289" i="1"/>
  <c r="K1290" i="1"/>
  <c r="L1290" i="1"/>
  <c r="M1290" i="1"/>
  <c r="K1291" i="1"/>
  <c r="L1291" i="1"/>
  <c r="M1291" i="1"/>
  <c r="K1292" i="1"/>
  <c r="L1292" i="1"/>
  <c r="M1292" i="1"/>
  <c r="K1293" i="1"/>
  <c r="L1293" i="1"/>
  <c r="M1293" i="1"/>
  <c r="K1294" i="1"/>
  <c r="L1294" i="1"/>
  <c r="M1294" i="1"/>
  <c r="K1295" i="1"/>
  <c r="L1295" i="1"/>
  <c r="M1295" i="1"/>
  <c r="K1296" i="1"/>
  <c r="L1296" i="1"/>
  <c r="M1296" i="1"/>
  <c r="K1297" i="1"/>
  <c r="L1297" i="1"/>
  <c r="M1297" i="1"/>
  <c r="K1298" i="1"/>
  <c r="L1298" i="1"/>
  <c r="M1298" i="1"/>
  <c r="J1298" i="1" s="1"/>
  <c r="K1299" i="1"/>
  <c r="L1299" i="1"/>
  <c r="M1299" i="1"/>
  <c r="K1300" i="1"/>
  <c r="L1300" i="1"/>
  <c r="M1300" i="1"/>
  <c r="K1301" i="1"/>
  <c r="L1301" i="1"/>
  <c r="M1301" i="1"/>
  <c r="J1301" i="1" s="1"/>
  <c r="K1302" i="1"/>
  <c r="L1302" i="1"/>
  <c r="M1302" i="1"/>
  <c r="K1303" i="1"/>
  <c r="L1303" i="1"/>
  <c r="M1303" i="1"/>
  <c r="K1304" i="1"/>
  <c r="L1304" i="1"/>
  <c r="M1304" i="1"/>
  <c r="K1305" i="1"/>
  <c r="L1305" i="1"/>
  <c r="M1305" i="1"/>
  <c r="K1306" i="1"/>
  <c r="L1306" i="1"/>
  <c r="M1306" i="1"/>
  <c r="K1307" i="1"/>
  <c r="L1307" i="1"/>
  <c r="M1307" i="1"/>
  <c r="K1308" i="1"/>
  <c r="L1308" i="1"/>
  <c r="M1308" i="1"/>
  <c r="K1309" i="1"/>
  <c r="L1309" i="1"/>
  <c r="M1309" i="1"/>
  <c r="K1310" i="1"/>
  <c r="L1310" i="1"/>
  <c r="M1310" i="1"/>
  <c r="K1311" i="1"/>
  <c r="L1311" i="1"/>
  <c r="M1311" i="1"/>
  <c r="K1312" i="1"/>
  <c r="L1312" i="1"/>
  <c r="M1312" i="1"/>
  <c r="K1313" i="1"/>
  <c r="L1313" i="1"/>
  <c r="M1313" i="1"/>
  <c r="K1314" i="1"/>
  <c r="L1314" i="1"/>
  <c r="M1314" i="1"/>
  <c r="K1315" i="1"/>
  <c r="L1315" i="1"/>
  <c r="M1315" i="1"/>
  <c r="K1316" i="1"/>
  <c r="L1316" i="1"/>
  <c r="M1316" i="1"/>
  <c r="J1316" i="1" s="1"/>
  <c r="K1317" i="1"/>
  <c r="L1317" i="1"/>
  <c r="M1317" i="1"/>
  <c r="K1318" i="1"/>
  <c r="L1318" i="1"/>
  <c r="M1318" i="1"/>
  <c r="K1319" i="1"/>
  <c r="L1319" i="1"/>
  <c r="M1319" i="1"/>
  <c r="K1320" i="1"/>
  <c r="L1320" i="1"/>
  <c r="M1320" i="1"/>
  <c r="J1320" i="1" s="1"/>
  <c r="K1321" i="1"/>
  <c r="L1321" i="1"/>
  <c r="M1321" i="1"/>
  <c r="K1322" i="1"/>
  <c r="L1322" i="1"/>
  <c r="M1322" i="1"/>
  <c r="K1323" i="1"/>
  <c r="L1323" i="1"/>
  <c r="M1323" i="1"/>
  <c r="K1324" i="1"/>
  <c r="L1324" i="1"/>
  <c r="M1324" i="1"/>
  <c r="K1325" i="1"/>
  <c r="L1325" i="1"/>
  <c r="M1325" i="1"/>
  <c r="K1326" i="1"/>
  <c r="L1326" i="1"/>
  <c r="M1326" i="1"/>
  <c r="K1327" i="1"/>
  <c r="L1327" i="1"/>
  <c r="M1327" i="1"/>
  <c r="K1328" i="1"/>
  <c r="L1328" i="1"/>
  <c r="M1328" i="1"/>
  <c r="K1329" i="1"/>
  <c r="L1329" i="1"/>
  <c r="M1329" i="1"/>
  <c r="K1330" i="1"/>
  <c r="L1330" i="1"/>
  <c r="M1330" i="1"/>
  <c r="K1331" i="1"/>
  <c r="L1331" i="1"/>
  <c r="M1331" i="1"/>
  <c r="K1332" i="1"/>
  <c r="L1332" i="1"/>
  <c r="M1332" i="1"/>
  <c r="K1333" i="1"/>
  <c r="L1333" i="1"/>
  <c r="M1333" i="1"/>
  <c r="K1334" i="1"/>
  <c r="L1334" i="1"/>
  <c r="M1334" i="1"/>
  <c r="K1335" i="1"/>
  <c r="L1335" i="1"/>
  <c r="M1335" i="1"/>
  <c r="K1336" i="1"/>
  <c r="L1336" i="1"/>
  <c r="M1336" i="1"/>
  <c r="K1337" i="1"/>
  <c r="L1337" i="1"/>
  <c r="M1337" i="1"/>
  <c r="K1338" i="1"/>
  <c r="L1338" i="1"/>
  <c r="M1338" i="1"/>
  <c r="K1339" i="1"/>
  <c r="L1339" i="1"/>
  <c r="M1339" i="1"/>
  <c r="K1340" i="1"/>
  <c r="L1340" i="1"/>
  <c r="M1340" i="1"/>
  <c r="J1340" i="1" s="1"/>
  <c r="K1341" i="1"/>
  <c r="L1341" i="1"/>
  <c r="M1341" i="1"/>
  <c r="K1342" i="1"/>
  <c r="L1342" i="1"/>
  <c r="M1342" i="1"/>
  <c r="K1343" i="1"/>
  <c r="L1343" i="1"/>
  <c r="M1343" i="1"/>
  <c r="K1344" i="1"/>
  <c r="L1344" i="1"/>
  <c r="M1344" i="1"/>
  <c r="K1345" i="1"/>
  <c r="L1345" i="1"/>
  <c r="M1345" i="1"/>
  <c r="K1346" i="1"/>
  <c r="L1346" i="1"/>
  <c r="M1346" i="1"/>
  <c r="K1347" i="1"/>
  <c r="L1347" i="1"/>
  <c r="M1347" i="1"/>
  <c r="K1348" i="1"/>
  <c r="L1348" i="1"/>
  <c r="M1348" i="1"/>
  <c r="K1349" i="1"/>
  <c r="L1349" i="1"/>
  <c r="M1349" i="1"/>
  <c r="K1350" i="1"/>
  <c r="L1350" i="1"/>
  <c r="M1350" i="1"/>
  <c r="K1351" i="1"/>
  <c r="L1351" i="1"/>
  <c r="M1351" i="1"/>
  <c r="K1352" i="1"/>
  <c r="L1352" i="1"/>
  <c r="M1352" i="1"/>
  <c r="K1353" i="1"/>
  <c r="L1353" i="1"/>
  <c r="M1353" i="1"/>
  <c r="K1354" i="1"/>
  <c r="L1354" i="1"/>
  <c r="M1354" i="1"/>
  <c r="K1355" i="1"/>
  <c r="L1355" i="1"/>
  <c r="M1355" i="1"/>
  <c r="K1356" i="1"/>
  <c r="L1356" i="1"/>
  <c r="M1356" i="1"/>
  <c r="K1357" i="1"/>
  <c r="L1357" i="1"/>
  <c r="M1357" i="1"/>
  <c r="K1358" i="1"/>
  <c r="L1358" i="1"/>
  <c r="M1358" i="1"/>
  <c r="K1359" i="1"/>
  <c r="L1359" i="1"/>
  <c r="M1359" i="1"/>
  <c r="J1359" i="1" s="1"/>
  <c r="K1360" i="1"/>
  <c r="L1360" i="1"/>
  <c r="M1360" i="1"/>
  <c r="J1361" i="1"/>
  <c r="K1361" i="1"/>
  <c r="L1361" i="1"/>
  <c r="M1361" i="1"/>
  <c r="K1362" i="1"/>
  <c r="L1362" i="1"/>
  <c r="M1362" i="1"/>
  <c r="K1363" i="1"/>
  <c r="L1363" i="1"/>
  <c r="M1363" i="1"/>
  <c r="K1364" i="1"/>
  <c r="L1364" i="1"/>
  <c r="M1364" i="1"/>
  <c r="K1365" i="1"/>
  <c r="L1365" i="1"/>
  <c r="M1365" i="1"/>
  <c r="K1366" i="1"/>
  <c r="L1366" i="1"/>
  <c r="M1366" i="1"/>
  <c r="K1367" i="1"/>
  <c r="L1367" i="1"/>
  <c r="M1367" i="1"/>
  <c r="K1368" i="1"/>
  <c r="L1368" i="1"/>
  <c r="M1368" i="1"/>
  <c r="K1369" i="1"/>
  <c r="L1369" i="1"/>
  <c r="M1369" i="1"/>
  <c r="K1370" i="1"/>
  <c r="L1370" i="1"/>
  <c r="M1370" i="1"/>
  <c r="K1371" i="1"/>
  <c r="L1371" i="1"/>
  <c r="M1371" i="1"/>
  <c r="K1372" i="1"/>
  <c r="L1372" i="1"/>
  <c r="M1372" i="1"/>
  <c r="K1373" i="1"/>
  <c r="L1373" i="1"/>
  <c r="M1373" i="1"/>
  <c r="K1374" i="1"/>
  <c r="L1374" i="1"/>
  <c r="M1374" i="1"/>
  <c r="K1375" i="1"/>
  <c r="L1375" i="1"/>
  <c r="M1375" i="1"/>
  <c r="K1376" i="1"/>
  <c r="L1376" i="1"/>
  <c r="M1376" i="1"/>
  <c r="K1377" i="1"/>
  <c r="L1377" i="1"/>
  <c r="M1377" i="1"/>
  <c r="K1378" i="1"/>
  <c r="L1378" i="1"/>
  <c r="M1378" i="1"/>
  <c r="K1379" i="1"/>
  <c r="L1379" i="1"/>
  <c r="M1379" i="1"/>
  <c r="K1380" i="1"/>
  <c r="L1380" i="1"/>
  <c r="M1380" i="1"/>
  <c r="K1381" i="1"/>
  <c r="L1381" i="1"/>
  <c r="M1381" i="1"/>
  <c r="K1382" i="1"/>
  <c r="L1382" i="1"/>
  <c r="M1382" i="1"/>
  <c r="K1383" i="1"/>
  <c r="L1383" i="1"/>
  <c r="M1383" i="1"/>
  <c r="K1384" i="1"/>
  <c r="L1384" i="1"/>
  <c r="M1384" i="1"/>
  <c r="K1385" i="1"/>
  <c r="L1385" i="1"/>
  <c r="M1385" i="1"/>
  <c r="K1386" i="1"/>
  <c r="L1386" i="1"/>
  <c r="M1386" i="1"/>
  <c r="K1387" i="1"/>
  <c r="L1387" i="1"/>
  <c r="M1387" i="1"/>
  <c r="K1388" i="1"/>
  <c r="L1388" i="1"/>
  <c r="M1388" i="1"/>
  <c r="K1389" i="1"/>
  <c r="L1389" i="1"/>
  <c r="M1389" i="1"/>
  <c r="K1390" i="1"/>
  <c r="L1390" i="1"/>
  <c r="M1390" i="1"/>
  <c r="K1391" i="1"/>
  <c r="L1391" i="1"/>
  <c r="M1391" i="1"/>
  <c r="K1392" i="1"/>
  <c r="L1392" i="1"/>
  <c r="M1392" i="1"/>
  <c r="K1393" i="1"/>
  <c r="L1393" i="1"/>
  <c r="M1393" i="1"/>
  <c r="K1394" i="1"/>
  <c r="L1394" i="1"/>
  <c r="M1394" i="1"/>
  <c r="K1395" i="1"/>
  <c r="L1395" i="1"/>
  <c r="M1395" i="1"/>
  <c r="K1396" i="1"/>
  <c r="L1396" i="1"/>
  <c r="M1396" i="1"/>
  <c r="K1397" i="1"/>
  <c r="L1397" i="1"/>
  <c r="M1397" i="1"/>
  <c r="K1398" i="1"/>
  <c r="L1398" i="1"/>
  <c r="M1398" i="1"/>
  <c r="K1399" i="1"/>
  <c r="L1399" i="1"/>
  <c r="M1399" i="1"/>
  <c r="K1400" i="1"/>
  <c r="L1400" i="1"/>
  <c r="M1400" i="1"/>
  <c r="K1401" i="1"/>
  <c r="L1401" i="1"/>
  <c r="M1401" i="1"/>
  <c r="K1402" i="1"/>
  <c r="L1402" i="1"/>
  <c r="M1402" i="1"/>
  <c r="K1403" i="1"/>
  <c r="L1403" i="1"/>
  <c r="M1403" i="1"/>
  <c r="K1404" i="1"/>
  <c r="L1404" i="1"/>
  <c r="M1404" i="1"/>
  <c r="K1405" i="1"/>
  <c r="L1405" i="1"/>
  <c r="J1405" i="1" s="1"/>
  <c r="M1405" i="1"/>
  <c r="K1406" i="1"/>
  <c r="L1406" i="1"/>
  <c r="M1406" i="1"/>
  <c r="K1407" i="1"/>
  <c r="L1407" i="1"/>
  <c r="M1407" i="1"/>
  <c r="K1408" i="1"/>
  <c r="L1408" i="1"/>
  <c r="M1408" i="1"/>
  <c r="K1409" i="1"/>
  <c r="L1409" i="1"/>
  <c r="M1409" i="1"/>
  <c r="K1410" i="1"/>
  <c r="L1410" i="1"/>
  <c r="M1410" i="1"/>
  <c r="K1411" i="1"/>
  <c r="L1411" i="1"/>
  <c r="M1411" i="1"/>
  <c r="K1412" i="1"/>
  <c r="L1412" i="1"/>
  <c r="M1412" i="1"/>
  <c r="K1413" i="1"/>
  <c r="L1413" i="1"/>
  <c r="M1413" i="1"/>
  <c r="K1414" i="1"/>
  <c r="L1414" i="1"/>
  <c r="J1414" i="1" s="1"/>
  <c r="M1414" i="1"/>
  <c r="K1415" i="1"/>
  <c r="L1415" i="1"/>
  <c r="M1415" i="1"/>
  <c r="K1416" i="1"/>
  <c r="L1416" i="1"/>
  <c r="M1416" i="1"/>
  <c r="K1417" i="1"/>
  <c r="L1417" i="1"/>
  <c r="M1417" i="1"/>
  <c r="K1418" i="1"/>
  <c r="L1418" i="1"/>
  <c r="M1418" i="1"/>
  <c r="K1419" i="1"/>
  <c r="L1419" i="1"/>
  <c r="M1419" i="1"/>
  <c r="K1420" i="1"/>
  <c r="L1420" i="1"/>
  <c r="M1420" i="1"/>
  <c r="K1421" i="1"/>
  <c r="L1421" i="1"/>
  <c r="M1421" i="1"/>
  <c r="K1422" i="1"/>
  <c r="L1422" i="1"/>
  <c r="M1422" i="1"/>
  <c r="K1423" i="1"/>
  <c r="L1423" i="1"/>
  <c r="M1423" i="1"/>
  <c r="K1424" i="1"/>
  <c r="L1424" i="1"/>
  <c r="M1424" i="1"/>
  <c r="K1425" i="1"/>
  <c r="L1425" i="1"/>
  <c r="M1425" i="1"/>
  <c r="K1426" i="1"/>
  <c r="L1426" i="1"/>
  <c r="M1426" i="1"/>
  <c r="K1427" i="1"/>
  <c r="L1427" i="1"/>
  <c r="M1427" i="1"/>
  <c r="K1428" i="1"/>
  <c r="L1428" i="1"/>
  <c r="M1428" i="1"/>
  <c r="J1428" i="1" s="1"/>
  <c r="K1429" i="1"/>
  <c r="L1429" i="1"/>
  <c r="M1429" i="1"/>
  <c r="K1430" i="1"/>
  <c r="L1430" i="1"/>
  <c r="M1430" i="1"/>
  <c r="K1431" i="1"/>
  <c r="L1431" i="1"/>
  <c r="M1431" i="1"/>
  <c r="K1432" i="1"/>
  <c r="L1432" i="1"/>
  <c r="M1432" i="1"/>
  <c r="K1433" i="1"/>
  <c r="L1433" i="1"/>
  <c r="M1433" i="1"/>
  <c r="K1434" i="1"/>
  <c r="L1434" i="1"/>
  <c r="M1434" i="1"/>
  <c r="K1435" i="1"/>
  <c r="L1435" i="1"/>
  <c r="M1435" i="1"/>
  <c r="K1436" i="1"/>
  <c r="L1436" i="1"/>
  <c r="M1436" i="1"/>
  <c r="K1437" i="1"/>
  <c r="L1437" i="1"/>
  <c r="M1437" i="1"/>
  <c r="K1438" i="1"/>
  <c r="L1438" i="1"/>
  <c r="M1438" i="1"/>
  <c r="K1439" i="1"/>
  <c r="J1439" i="1" s="1"/>
  <c r="L1439" i="1"/>
  <c r="M1439" i="1"/>
  <c r="K1440" i="1"/>
  <c r="L1440" i="1"/>
  <c r="M1440" i="1"/>
  <c r="K1441" i="1"/>
  <c r="L1441" i="1"/>
  <c r="M1441" i="1"/>
  <c r="K1442" i="1"/>
  <c r="L1442" i="1"/>
  <c r="M1442" i="1"/>
  <c r="K1443" i="1"/>
  <c r="L1443" i="1"/>
  <c r="M1443" i="1"/>
  <c r="K1444" i="1"/>
  <c r="L1444" i="1"/>
  <c r="M1444" i="1"/>
  <c r="K1445" i="1"/>
  <c r="L1445" i="1"/>
  <c r="M1445" i="1"/>
  <c r="K1446" i="1"/>
  <c r="L1446" i="1"/>
  <c r="M1446" i="1"/>
  <c r="K1447" i="1"/>
  <c r="L1447" i="1"/>
  <c r="M1447" i="1"/>
  <c r="K1448" i="1"/>
  <c r="L1448" i="1"/>
  <c r="M1448" i="1"/>
  <c r="K1449" i="1"/>
  <c r="L1449" i="1"/>
  <c r="M1449" i="1"/>
  <c r="K1450" i="1"/>
  <c r="L1450" i="1"/>
  <c r="M1450" i="1"/>
  <c r="K1451" i="1"/>
  <c r="L1451" i="1"/>
  <c r="M1451" i="1"/>
  <c r="K1452" i="1"/>
  <c r="L1452" i="1"/>
  <c r="M1452" i="1"/>
  <c r="K1453" i="1"/>
  <c r="L1453" i="1"/>
  <c r="M1453" i="1"/>
  <c r="K1454" i="1"/>
  <c r="L1454" i="1"/>
  <c r="M1454" i="1"/>
  <c r="K1455" i="1"/>
  <c r="L1455" i="1"/>
  <c r="M1455" i="1"/>
  <c r="K1456" i="1"/>
  <c r="L1456" i="1"/>
  <c r="M1456" i="1"/>
  <c r="K1457" i="1"/>
  <c r="L1457" i="1"/>
  <c r="M1457" i="1"/>
  <c r="K1458" i="1"/>
  <c r="L1458" i="1"/>
  <c r="M1458" i="1"/>
  <c r="K1459" i="1"/>
  <c r="L1459" i="1"/>
  <c r="M1459" i="1"/>
  <c r="K1460" i="1"/>
  <c r="L1460" i="1"/>
  <c r="M1460" i="1"/>
  <c r="K1461" i="1"/>
  <c r="L1461" i="1"/>
  <c r="M1461" i="1"/>
  <c r="K1462" i="1"/>
  <c r="L1462" i="1"/>
  <c r="M1462" i="1"/>
  <c r="K1463" i="1"/>
  <c r="L1463" i="1"/>
  <c r="M1463" i="1"/>
  <c r="K1464" i="1"/>
  <c r="L1464" i="1"/>
  <c r="M1464" i="1"/>
  <c r="K1465" i="1"/>
  <c r="L1465" i="1"/>
  <c r="M1465" i="1"/>
  <c r="K1466" i="1"/>
  <c r="L1466" i="1"/>
  <c r="M1466" i="1"/>
  <c r="K1467" i="1"/>
  <c r="L1467" i="1"/>
  <c r="M1467" i="1"/>
  <c r="K1468" i="1"/>
  <c r="L1468" i="1"/>
  <c r="M1468" i="1"/>
  <c r="K1469" i="1"/>
  <c r="L1469" i="1"/>
  <c r="M1469" i="1"/>
  <c r="K1470" i="1"/>
  <c r="L1470" i="1"/>
  <c r="M1470" i="1"/>
  <c r="K1471" i="1"/>
  <c r="L1471" i="1"/>
  <c r="M1471" i="1"/>
  <c r="K1472" i="1"/>
  <c r="L1472" i="1"/>
  <c r="M1472" i="1"/>
  <c r="K1473" i="1"/>
  <c r="L1473" i="1"/>
  <c r="M1473" i="1"/>
  <c r="K1474" i="1"/>
  <c r="L1474" i="1"/>
  <c r="M1474" i="1"/>
  <c r="K1475" i="1"/>
  <c r="L1475" i="1"/>
  <c r="M1475" i="1"/>
  <c r="K1476" i="1"/>
  <c r="L1476" i="1"/>
  <c r="M1476" i="1"/>
  <c r="K1477" i="1"/>
  <c r="L1477" i="1"/>
  <c r="M1477" i="1"/>
  <c r="K1478" i="1"/>
  <c r="L1478" i="1"/>
  <c r="M1478" i="1"/>
  <c r="K1479" i="1"/>
  <c r="L1479" i="1"/>
  <c r="M1479" i="1"/>
  <c r="K1480" i="1"/>
  <c r="L1480" i="1"/>
  <c r="M1480" i="1"/>
  <c r="K1481" i="1"/>
  <c r="L1481" i="1"/>
  <c r="M1481" i="1"/>
  <c r="K1482" i="1"/>
  <c r="L1482" i="1"/>
  <c r="M1482" i="1"/>
  <c r="K1483" i="1"/>
  <c r="L1483" i="1"/>
  <c r="M1483" i="1"/>
  <c r="K1484" i="1"/>
  <c r="L1484" i="1"/>
  <c r="M1484" i="1"/>
  <c r="J1485" i="1"/>
  <c r="K1485" i="1"/>
  <c r="L1485" i="1"/>
  <c r="M1485" i="1"/>
  <c r="K1486" i="1"/>
  <c r="L1486" i="1"/>
  <c r="M1486" i="1"/>
  <c r="K1487" i="1"/>
  <c r="L1487" i="1"/>
  <c r="M1487" i="1"/>
  <c r="K1488" i="1"/>
  <c r="L1488" i="1"/>
  <c r="M1488" i="1"/>
  <c r="K1489" i="1"/>
  <c r="L1489" i="1"/>
  <c r="M1489" i="1"/>
  <c r="K1490" i="1"/>
  <c r="L1490" i="1"/>
  <c r="M1490" i="1"/>
  <c r="K1491" i="1"/>
  <c r="L1491" i="1"/>
  <c r="M1491" i="1"/>
  <c r="K1492" i="1"/>
  <c r="L1492" i="1"/>
  <c r="M1492" i="1"/>
  <c r="K1493" i="1"/>
  <c r="L1493" i="1"/>
  <c r="M1493" i="1"/>
  <c r="K1494" i="1"/>
  <c r="L1494" i="1"/>
  <c r="M1494" i="1"/>
  <c r="K1495" i="1"/>
  <c r="L1495" i="1"/>
  <c r="M1495" i="1"/>
  <c r="K1496" i="1"/>
  <c r="L1496" i="1"/>
  <c r="M1496" i="1"/>
  <c r="K1497" i="1"/>
  <c r="L1497" i="1"/>
  <c r="M1497" i="1"/>
  <c r="K1498" i="1"/>
  <c r="L1498" i="1"/>
  <c r="M1498" i="1"/>
  <c r="K1499" i="1"/>
  <c r="L1499" i="1"/>
  <c r="M1499" i="1"/>
  <c r="K1500" i="1"/>
  <c r="L1500" i="1"/>
  <c r="M1500" i="1"/>
  <c r="K1501" i="1"/>
  <c r="L1501" i="1"/>
  <c r="M1501" i="1"/>
  <c r="K1502" i="1"/>
  <c r="L1502" i="1"/>
  <c r="M1502" i="1"/>
  <c r="K1503" i="1"/>
  <c r="L1503" i="1"/>
  <c r="M1503" i="1"/>
  <c r="K1504" i="1"/>
  <c r="L1504" i="1"/>
  <c r="M1504" i="1"/>
  <c r="K1505" i="1"/>
  <c r="L1505" i="1"/>
  <c r="M1505" i="1"/>
  <c r="K1506" i="1"/>
  <c r="L1506" i="1"/>
  <c r="M1506" i="1"/>
  <c r="K1507" i="1"/>
  <c r="L1507" i="1"/>
  <c r="M1507" i="1"/>
  <c r="K1508" i="1"/>
  <c r="L1508" i="1"/>
  <c r="M1508" i="1"/>
  <c r="K1509" i="1"/>
  <c r="L1509" i="1"/>
  <c r="M1509" i="1"/>
  <c r="K1510" i="1"/>
  <c r="L1510" i="1"/>
  <c r="M1510" i="1"/>
  <c r="K1511" i="1"/>
  <c r="L1511" i="1"/>
  <c r="M1511" i="1"/>
  <c r="K1512" i="1"/>
  <c r="L1512" i="1"/>
  <c r="M1512" i="1"/>
  <c r="K1513" i="1"/>
  <c r="L1513" i="1"/>
  <c r="M1513" i="1"/>
  <c r="K1514" i="1"/>
  <c r="L1514" i="1"/>
  <c r="M1514" i="1"/>
  <c r="K1515" i="1"/>
  <c r="L1515" i="1"/>
  <c r="M1515" i="1"/>
  <c r="K1516" i="1"/>
  <c r="L1516" i="1"/>
  <c r="M1516" i="1"/>
  <c r="K1517" i="1"/>
  <c r="L1517" i="1"/>
  <c r="M1517" i="1"/>
  <c r="K1518" i="1"/>
  <c r="L1518" i="1"/>
  <c r="M1518" i="1"/>
  <c r="K1519" i="1"/>
  <c r="L1519" i="1"/>
  <c r="M1519" i="1"/>
  <c r="K1520" i="1"/>
  <c r="L1520" i="1"/>
  <c r="M1520" i="1"/>
  <c r="K1521" i="1"/>
  <c r="L1521" i="1"/>
  <c r="M1521" i="1"/>
  <c r="K1522" i="1"/>
  <c r="L1522" i="1"/>
  <c r="M1522" i="1"/>
  <c r="K1523" i="1"/>
  <c r="L1523" i="1"/>
  <c r="M1523" i="1"/>
  <c r="K1524" i="1"/>
  <c r="L1524" i="1"/>
  <c r="M1524" i="1"/>
  <c r="J1524" i="1" s="1"/>
  <c r="K1525" i="1"/>
  <c r="L1525" i="1"/>
  <c r="M1525" i="1"/>
  <c r="K1526" i="1"/>
  <c r="L1526" i="1"/>
  <c r="M1526" i="1"/>
  <c r="K1527" i="1"/>
  <c r="L1527" i="1"/>
  <c r="M1527" i="1"/>
  <c r="K1528" i="1"/>
  <c r="L1528" i="1"/>
  <c r="M1528" i="1"/>
  <c r="K1529" i="1"/>
  <c r="L1529" i="1"/>
  <c r="M1529" i="1"/>
  <c r="K1530" i="1"/>
  <c r="L1530" i="1"/>
  <c r="M1530" i="1"/>
  <c r="K1531" i="1"/>
  <c r="L1531" i="1"/>
  <c r="M1531" i="1"/>
  <c r="K1532" i="1"/>
  <c r="L1532" i="1"/>
  <c r="M1532" i="1"/>
  <c r="K1533" i="1"/>
  <c r="L1533" i="1"/>
  <c r="M1533" i="1"/>
  <c r="K1534" i="1"/>
  <c r="L1534" i="1"/>
  <c r="M1534" i="1"/>
  <c r="K1535" i="1"/>
  <c r="L1535" i="1"/>
  <c r="M1535" i="1"/>
  <c r="K1536" i="1"/>
  <c r="L1536" i="1"/>
  <c r="M1536" i="1"/>
  <c r="K1537" i="1"/>
  <c r="L1537" i="1"/>
  <c r="M1537" i="1"/>
  <c r="K1538" i="1"/>
  <c r="L1538" i="1"/>
  <c r="J1538" i="1" s="1"/>
  <c r="M1538" i="1"/>
  <c r="K1539" i="1"/>
  <c r="L1539" i="1"/>
  <c r="M1539" i="1"/>
  <c r="K1540" i="1"/>
  <c r="L1540" i="1"/>
  <c r="M1540" i="1"/>
  <c r="K1541" i="1"/>
  <c r="L1541" i="1"/>
  <c r="M1541" i="1"/>
  <c r="K1542" i="1"/>
  <c r="L1542" i="1"/>
  <c r="M1542" i="1"/>
  <c r="K1543" i="1"/>
  <c r="L1543" i="1"/>
  <c r="M1543" i="1"/>
  <c r="K1544" i="1"/>
  <c r="L1544" i="1"/>
  <c r="M1544" i="1"/>
  <c r="J1545" i="1"/>
  <c r="K1545" i="1"/>
  <c r="L1545" i="1"/>
  <c r="M1545" i="1"/>
  <c r="K1546" i="1"/>
  <c r="L1546" i="1"/>
  <c r="M1546" i="1"/>
  <c r="K1547" i="1"/>
  <c r="L1547" i="1"/>
  <c r="M1547" i="1"/>
  <c r="K1548" i="1"/>
  <c r="L1548" i="1"/>
  <c r="M1548" i="1"/>
  <c r="K1549" i="1"/>
  <c r="L1549" i="1"/>
  <c r="M1549" i="1"/>
  <c r="K1550" i="1"/>
  <c r="L1550" i="1"/>
  <c r="M1550" i="1"/>
  <c r="K1551" i="1"/>
  <c r="L1551" i="1"/>
  <c r="M1551" i="1"/>
  <c r="K1552" i="1"/>
  <c r="L1552" i="1"/>
  <c r="M1552" i="1"/>
  <c r="K1553" i="1"/>
  <c r="L1553" i="1"/>
  <c r="M1553" i="1"/>
  <c r="K1554" i="1"/>
  <c r="L1554" i="1"/>
  <c r="M1554" i="1"/>
  <c r="K1555" i="1"/>
  <c r="L1555" i="1"/>
  <c r="M1555" i="1"/>
  <c r="K1556" i="1"/>
  <c r="L1556" i="1"/>
  <c r="M1556" i="1"/>
  <c r="K1557" i="1"/>
  <c r="L1557" i="1"/>
  <c r="M1557" i="1"/>
  <c r="K1558" i="1"/>
  <c r="L1558" i="1"/>
  <c r="M1558" i="1"/>
  <c r="K1559" i="1"/>
  <c r="L1559" i="1"/>
  <c r="M1559" i="1"/>
  <c r="K1560" i="1"/>
  <c r="L1560" i="1"/>
  <c r="M1560" i="1"/>
  <c r="K1561" i="1"/>
  <c r="L1561" i="1"/>
  <c r="M1561" i="1"/>
  <c r="K1562" i="1"/>
  <c r="L1562" i="1"/>
  <c r="M1562" i="1"/>
  <c r="K1563" i="1"/>
  <c r="L1563" i="1"/>
  <c r="M1563" i="1"/>
  <c r="K1564" i="1"/>
  <c r="L1564" i="1"/>
  <c r="M1564" i="1"/>
  <c r="K1565" i="1"/>
  <c r="L1565" i="1"/>
  <c r="M1565" i="1"/>
  <c r="K1566" i="1"/>
  <c r="L1566" i="1"/>
  <c r="M1566" i="1"/>
  <c r="K1567" i="1"/>
  <c r="L1567" i="1"/>
  <c r="M1567" i="1"/>
  <c r="K1568" i="1"/>
  <c r="L1568" i="1"/>
  <c r="M1568" i="1"/>
  <c r="K1569" i="1"/>
  <c r="L1569" i="1"/>
  <c r="M1569" i="1"/>
  <c r="K1570" i="1"/>
  <c r="L1570" i="1"/>
  <c r="M1570" i="1"/>
  <c r="K1571" i="1"/>
  <c r="L1571" i="1"/>
  <c r="M1571" i="1"/>
  <c r="K1572" i="1"/>
  <c r="L1572" i="1"/>
  <c r="M1572" i="1"/>
  <c r="K1573" i="1"/>
  <c r="L1573" i="1"/>
  <c r="M1573" i="1"/>
  <c r="K1574" i="1"/>
  <c r="L1574" i="1"/>
  <c r="M1574" i="1"/>
  <c r="K1575" i="1"/>
  <c r="L1575" i="1"/>
  <c r="M1575" i="1"/>
  <c r="K1576" i="1"/>
  <c r="L1576" i="1"/>
  <c r="M1576" i="1"/>
  <c r="K1577" i="1"/>
  <c r="L1577" i="1"/>
  <c r="M1577" i="1"/>
  <c r="K1578" i="1"/>
  <c r="L1578" i="1"/>
  <c r="M1578" i="1"/>
  <c r="K1579" i="1"/>
  <c r="L1579" i="1"/>
  <c r="M1579" i="1"/>
  <c r="K1580" i="1"/>
  <c r="L1580" i="1"/>
  <c r="M1580" i="1"/>
  <c r="K1581" i="1"/>
  <c r="L1581" i="1"/>
  <c r="M1581" i="1"/>
  <c r="K1582" i="1"/>
  <c r="L1582" i="1"/>
  <c r="M1582" i="1"/>
  <c r="K1583" i="1"/>
  <c r="L1583" i="1"/>
  <c r="M1583" i="1"/>
  <c r="K1584" i="1"/>
  <c r="L1584" i="1"/>
  <c r="M1584" i="1"/>
  <c r="K1585" i="1"/>
  <c r="L1585" i="1"/>
  <c r="M1585" i="1"/>
  <c r="K1586" i="1"/>
  <c r="L1586" i="1"/>
  <c r="M1586" i="1"/>
  <c r="K1587" i="1"/>
  <c r="L1587" i="1"/>
  <c r="M1587" i="1"/>
  <c r="K1588" i="1"/>
  <c r="L1588" i="1"/>
  <c r="M1588" i="1"/>
  <c r="K1589" i="1"/>
  <c r="L1589" i="1"/>
  <c r="M1589" i="1"/>
  <c r="K1590" i="1"/>
  <c r="L1590" i="1"/>
  <c r="M1590" i="1"/>
  <c r="K1591" i="1"/>
  <c r="L1591" i="1"/>
  <c r="M1591" i="1"/>
  <c r="K1592" i="1"/>
  <c r="L1592" i="1"/>
  <c r="M1592" i="1"/>
  <c r="K1593" i="1"/>
  <c r="L1593" i="1"/>
  <c r="M1593" i="1"/>
  <c r="K1594" i="1"/>
  <c r="L1594" i="1"/>
  <c r="M1594" i="1"/>
  <c r="K1595" i="1"/>
  <c r="L1595" i="1"/>
  <c r="M1595" i="1"/>
  <c r="K1596" i="1"/>
  <c r="L1596" i="1"/>
  <c r="M1596" i="1"/>
  <c r="K1597" i="1"/>
  <c r="L1597" i="1"/>
  <c r="M1597" i="1"/>
  <c r="K1598" i="1"/>
  <c r="L1598" i="1"/>
  <c r="M1598" i="1"/>
  <c r="K1599" i="1"/>
  <c r="L1599" i="1"/>
  <c r="M1599" i="1"/>
  <c r="K1600" i="1"/>
  <c r="L1600" i="1"/>
  <c r="M1600" i="1"/>
  <c r="K1601" i="1"/>
  <c r="L1601" i="1"/>
  <c r="M1601" i="1"/>
  <c r="K1602" i="1"/>
  <c r="L1602" i="1"/>
  <c r="M1602" i="1"/>
  <c r="K1603" i="1"/>
  <c r="L1603" i="1"/>
  <c r="M1603" i="1"/>
  <c r="K1604" i="1"/>
  <c r="L1604" i="1"/>
  <c r="M1604" i="1"/>
  <c r="K1605" i="1"/>
  <c r="L1605" i="1"/>
  <c r="M1605" i="1"/>
  <c r="K1606" i="1"/>
  <c r="L1606" i="1"/>
  <c r="M1606" i="1"/>
  <c r="K1607" i="1"/>
  <c r="L1607" i="1"/>
  <c r="M1607" i="1"/>
  <c r="K1608" i="1"/>
  <c r="L1608" i="1"/>
  <c r="M1608" i="1"/>
  <c r="K1609" i="1"/>
  <c r="L1609" i="1"/>
  <c r="M1609" i="1"/>
  <c r="K1610" i="1"/>
  <c r="L1610" i="1"/>
  <c r="M1610" i="1"/>
  <c r="K1611" i="1"/>
  <c r="L1611" i="1"/>
  <c r="M1611" i="1"/>
  <c r="K1612" i="1"/>
  <c r="L1612" i="1"/>
  <c r="M1612" i="1"/>
  <c r="K1613" i="1"/>
  <c r="L1613" i="1"/>
  <c r="M1613" i="1"/>
  <c r="K1614" i="1"/>
  <c r="L1614" i="1"/>
  <c r="M1614" i="1"/>
  <c r="K1615" i="1"/>
  <c r="L1615" i="1"/>
  <c r="M1615" i="1"/>
  <c r="K1616" i="1"/>
  <c r="L1616" i="1"/>
  <c r="M1616" i="1"/>
  <c r="K1617" i="1"/>
  <c r="L1617" i="1"/>
  <c r="M1617" i="1"/>
  <c r="K1618" i="1"/>
  <c r="L1618" i="1"/>
  <c r="M1618" i="1"/>
  <c r="K1619" i="1"/>
  <c r="L1619" i="1"/>
  <c r="M1619" i="1"/>
  <c r="K1620" i="1"/>
  <c r="L1620" i="1"/>
  <c r="M1620" i="1"/>
  <c r="K1621" i="1"/>
  <c r="L1621" i="1"/>
  <c r="M1621" i="1"/>
  <c r="K1622" i="1"/>
  <c r="L1622" i="1"/>
  <c r="M1622" i="1"/>
  <c r="K1623" i="1"/>
  <c r="L1623" i="1"/>
  <c r="M1623" i="1"/>
  <c r="K1624" i="1"/>
  <c r="L1624" i="1"/>
  <c r="M1624" i="1"/>
  <c r="K1625" i="1"/>
  <c r="L1625" i="1"/>
  <c r="M1625" i="1"/>
  <c r="K1626" i="1"/>
  <c r="L1626" i="1"/>
  <c r="M1626" i="1"/>
  <c r="K1627" i="1"/>
  <c r="L1627" i="1"/>
  <c r="M1627" i="1"/>
  <c r="K1628" i="1"/>
  <c r="L1628" i="1"/>
  <c r="M1628" i="1"/>
  <c r="K1629" i="1"/>
  <c r="L1629" i="1"/>
  <c r="M1629" i="1"/>
  <c r="K1630" i="1"/>
  <c r="L1630" i="1"/>
  <c r="M1630" i="1"/>
  <c r="K1631" i="1"/>
  <c r="L1631" i="1"/>
  <c r="M1631" i="1"/>
  <c r="K1632" i="1"/>
  <c r="L1632" i="1"/>
  <c r="M1632" i="1"/>
  <c r="K1633" i="1"/>
  <c r="L1633" i="1"/>
  <c r="M1633" i="1"/>
  <c r="K1634" i="1"/>
  <c r="L1634" i="1"/>
  <c r="M1634" i="1"/>
  <c r="K1635" i="1"/>
  <c r="L1635" i="1"/>
  <c r="M1635" i="1"/>
  <c r="K1636" i="1"/>
  <c r="L1636" i="1"/>
  <c r="M1636" i="1"/>
  <c r="K1637" i="1"/>
  <c r="L1637" i="1"/>
  <c r="M1637" i="1"/>
  <c r="K1638" i="1"/>
  <c r="L1638" i="1"/>
  <c r="M1638" i="1"/>
  <c r="K1639" i="1"/>
  <c r="L1639" i="1"/>
  <c r="M1639" i="1"/>
  <c r="K1640" i="1"/>
  <c r="J1640" i="1" s="1"/>
  <c r="L1640" i="1"/>
  <c r="M1640" i="1"/>
  <c r="K1641" i="1"/>
  <c r="L1641" i="1"/>
  <c r="M1641" i="1"/>
  <c r="K1642" i="1"/>
  <c r="L1642" i="1"/>
  <c r="M1642" i="1"/>
  <c r="K1643" i="1"/>
  <c r="L1643" i="1"/>
  <c r="M1643" i="1"/>
  <c r="K1644" i="1"/>
  <c r="L1644" i="1"/>
  <c r="M1644" i="1"/>
  <c r="K1645" i="1"/>
  <c r="L1645" i="1"/>
  <c r="M1645" i="1"/>
  <c r="K1646" i="1"/>
  <c r="L1646" i="1"/>
  <c r="M1646" i="1"/>
  <c r="K1647" i="1"/>
  <c r="L1647" i="1"/>
  <c r="M1647" i="1"/>
  <c r="K1648" i="1"/>
  <c r="L1648" i="1"/>
  <c r="M1648" i="1"/>
  <c r="K1649" i="1"/>
  <c r="L1649" i="1"/>
  <c r="M1649" i="1"/>
  <c r="K1650" i="1"/>
  <c r="L1650" i="1"/>
  <c r="M1650" i="1"/>
  <c r="K1651" i="1"/>
  <c r="L1651" i="1"/>
  <c r="M1651" i="1"/>
  <c r="K1652" i="1"/>
  <c r="L1652" i="1"/>
  <c r="M1652" i="1"/>
  <c r="K1653" i="1"/>
  <c r="L1653" i="1"/>
  <c r="M1653" i="1"/>
  <c r="K1654" i="1"/>
  <c r="L1654" i="1"/>
  <c r="M1654" i="1"/>
  <c r="K1655" i="1"/>
  <c r="L1655" i="1"/>
  <c r="M1655" i="1"/>
  <c r="K1656" i="1"/>
  <c r="L1656" i="1"/>
  <c r="M1656" i="1"/>
  <c r="K1657" i="1"/>
  <c r="L1657" i="1"/>
  <c r="M1657" i="1"/>
  <c r="K1658" i="1"/>
  <c r="L1658" i="1"/>
  <c r="M1658" i="1"/>
  <c r="K1659" i="1"/>
  <c r="L1659" i="1"/>
  <c r="M1659" i="1"/>
  <c r="K1660" i="1"/>
  <c r="L1660" i="1"/>
  <c r="M1660" i="1"/>
  <c r="K1661" i="1"/>
  <c r="L1661" i="1"/>
  <c r="M1661" i="1"/>
  <c r="K1662" i="1"/>
  <c r="L1662" i="1"/>
  <c r="M1662" i="1"/>
  <c r="K1663" i="1"/>
  <c r="L1663" i="1"/>
  <c r="M1663" i="1"/>
  <c r="K1664" i="1"/>
  <c r="L1664" i="1"/>
  <c r="M1664" i="1"/>
  <c r="K1665" i="1"/>
  <c r="L1665" i="1"/>
  <c r="M1665" i="1"/>
  <c r="K1666" i="1"/>
  <c r="L1666" i="1"/>
  <c r="M1666" i="1"/>
  <c r="K1667" i="1"/>
  <c r="L1667" i="1"/>
  <c r="M1667" i="1"/>
  <c r="K1668" i="1"/>
  <c r="L1668" i="1"/>
  <c r="M1668" i="1"/>
  <c r="K1669" i="1"/>
  <c r="L1669" i="1"/>
  <c r="M1669" i="1"/>
  <c r="K1670" i="1"/>
  <c r="L1670" i="1"/>
  <c r="M1670" i="1"/>
  <c r="K1671" i="1"/>
  <c r="L1671" i="1"/>
  <c r="M1671" i="1"/>
  <c r="K1672" i="1"/>
  <c r="L1672" i="1"/>
  <c r="M1672" i="1"/>
  <c r="K1673" i="1"/>
  <c r="L1673" i="1"/>
  <c r="M1673" i="1"/>
  <c r="K1674" i="1"/>
  <c r="L1674" i="1"/>
  <c r="M1674" i="1"/>
  <c r="K1675" i="1"/>
  <c r="L1675" i="1"/>
  <c r="M1675" i="1"/>
  <c r="K1676" i="1"/>
  <c r="L1676" i="1"/>
  <c r="M1676" i="1"/>
  <c r="K1677" i="1"/>
  <c r="L1677" i="1"/>
  <c r="M1677" i="1"/>
  <c r="K1678" i="1"/>
  <c r="L1678" i="1"/>
  <c r="M1678" i="1"/>
  <c r="K1679" i="1"/>
  <c r="L1679" i="1"/>
  <c r="M1679" i="1"/>
  <c r="K1680" i="1"/>
  <c r="L1680" i="1"/>
  <c r="M1680" i="1"/>
  <c r="K1681" i="1"/>
  <c r="L1681" i="1"/>
  <c r="M1681" i="1"/>
  <c r="K1682" i="1"/>
  <c r="L1682" i="1"/>
  <c r="M1682" i="1"/>
  <c r="K1683" i="1"/>
  <c r="L1683" i="1"/>
  <c r="M1683" i="1"/>
  <c r="K1684" i="1"/>
  <c r="L1684" i="1"/>
  <c r="M1684" i="1"/>
  <c r="K1685" i="1"/>
  <c r="L1685" i="1"/>
  <c r="M1685" i="1"/>
  <c r="K1686" i="1"/>
  <c r="L1686" i="1"/>
  <c r="M1686" i="1"/>
  <c r="K1687" i="1"/>
  <c r="L1687" i="1"/>
  <c r="M1687" i="1"/>
  <c r="J1688" i="1"/>
  <c r="K1688" i="1"/>
  <c r="L1688" i="1"/>
  <c r="M1688" i="1"/>
  <c r="K1689" i="1"/>
  <c r="L1689" i="1"/>
  <c r="M1689" i="1"/>
  <c r="K1690" i="1"/>
  <c r="L1690" i="1"/>
  <c r="M1690" i="1"/>
  <c r="K1691" i="1"/>
  <c r="L1691" i="1"/>
  <c r="M1691" i="1"/>
  <c r="J1692" i="1"/>
  <c r="K1692" i="1"/>
  <c r="L1692" i="1"/>
  <c r="M1692" i="1"/>
  <c r="K1693" i="1"/>
  <c r="L1693" i="1"/>
  <c r="M1693" i="1"/>
  <c r="K1694" i="1"/>
  <c r="L1694" i="1"/>
  <c r="M1694" i="1"/>
  <c r="K1695" i="1"/>
  <c r="L1695" i="1"/>
  <c r="M1695" i="1"/>
  <c r="K1696" i="1"/>
  <c r="L1696" i="1"/>
  <c r="M1696" i="1"/>
  <c r="K1697" i="1"/>
  <c r="L1697" i="1"/>
  <c r="M1697" i="1"/>
  <c r="K1698" i="1"/>
  <c r="L1698" i="1"/>
  <c r="M1698" i="1"/>
  <c r="K1699" i="1"/>
  <c r="L1699" i="1"/>
  <c r="M1699" i="1"/>
  <c r="K1700" i="1"/>
  <c r="L1700" i="1"/>
  <c r="M1700" i="1"/>
  <c r="K1701" i="1"/>
  <c r="L1701" i="1"/>
  <c r="M1701" i="1"/>
  <c r="K1702" i="1"/>
  <c r="L1702" i="1"/>
  <c r="M1702" i="1"/>
  <c r="K1703" i="1"/>
  <c r="L1703" i="1"/>
  <c r="M1703" i="1"/>
  <c r="K1704" i="1"/>
  <c r="L1704" i="1"/>
  <c r="M1704" i="1"/>
  <c r="K1705" i="1"/>
  <c r="L1705" i="1"/>
  <c r="M1705" i="1"/>
  <c r="K1706" i="1"/>
  <c r="L1706" i="1"/>
  <c r="M1706" i="1"/>
  <c r="K1707" i="1"/>
  <c r="L1707" i="1"/>
  <c r="M1707" i="1"/>
  <c r="K1708" i="1"/>
  <c r="L1708" i="1"/>
  <c r="M1708" i="1"/>
  <c r="K1709" i="1"/>
  <c r="L1709" i="1"/>
  <c r="M1709" i="1"/>
  <c r="K1710" i="1"/>
  <c r="L1710" i="1"/>
  <c r="M1710" i="1"/>
  <c r="K1711" i="1"/>
  <c r="L1711" i="1"/>
  <c r="M1711" i="1"/>
  <c r="K1712" i="1"/>
  <c r="L1712" i="1"/>
  <c r="M1712" i="1"/>
  <c r="K1713" i="1"/>
  <c r="L1713" i="1"/>
  <c r="M1713" i="1"/>
  <c r="K1714" i="1"/>
  <c r="L1714" i="1"/>
  <c r="M1714" i="1"/>
  <c r="K1715" i="1"/>
  <c r="L1715" i="1"/>
  <c r="M1715" i="1"/>
  <c r="K1716" i="1"/>
  <c r="L1716" i="1"/>
  <c r="M1716" i="1"/>
  <c r="K1717" i="1"/>
  <c r="L1717" i="1"/>
  <c r="M1717" i="1"/>
  <c r="K1718" i="1"/>
  <c r="L1718" i="1"/>
  <c r="M1718" i="1"/>
  <c r="J1718" i="1" s="1"/>
  <c r="K1719" i="1"/>
  <c r="L1719" i="1"/>
  <c r="M1719" i="1"/>
  <c r="K1720" i="1"/>
  <c r="L1720" i="1"/>
  <c r="M1720" i="1"/>
  <c r="K1721" i="1"/>
  <c r="L1721" i="1"/>
  <c r="M1721" i="1"/>
  <c r="K1722" i="1"/>
  <c r="L1722" i="1"/>
  <c r="M1722" i="1"/>
  <c r="K1723" i="1"/>
  <c r="L1723" i="1"/>
  <c r="M1723" i="1"/>
  <c r="K1724" i="1"/>
  <c r="L1724" i="1"/>
  <c r="M1724" i="1"/>
  <c r="K1725" i="1"/>
  <c r="L1725" i="1"/>
  <c r="M1725" i="1"/>
  <c r="K1726" i="1"/>
  <c r="L1726" i="1"/>
  <c r="M1726" i="1"/>
  <c r="K1727" i="1"/>
  <c r="L1727" i="1"/>
  <c r="M1727" i="1"/>
  <c r="K1728" i="1"/>
  <c r="L1728" i="1"/>
  <c r="M1728" i="1"/>
  <c r="K1729" i="1"/>
  <c r="L1729" i="1"/>
  <c r="M1729" i="1"/>
  <c r="K1730" i="1"/>
  <c r="L1730" i="1"/>
  <c r="M1730" i="1"/>
  <c r="J1731" i="1"/>
  <c r="K1731" i="1"/>
  <c r="L1731" i="1"/>
  <c r="M1731" i="1"/>
  <c r="K1732" i="1"/>
  <c r="L1732" i="1"/>
  <c r="M1732" i="1"/>
  <c r="K1733" i="1"/>
  <c r="L1733" i="1"/>
  <c r="M1733" i="1"/>
  <c r="K1734" i="1"/>
  <c r="L1734" i="1"/>
  <c r="M1734" i="1"/>
  <c r="J1735" i="1"/>
  <c r="K1735" i="1"/>
  <c r="L1735" i="1"/>
  <c r="M1735" i="1"/>
  <c r="K1736" i="1"/>
  <c r="L1736" i="1"/>
  <c r="M1736" i="1"/>
  <c r="K1737" i="1"/>
  <c r="L1737" i="1"/>
  <c r="M1737" i="1"/>
  <c r="K1738" i="1"/>
  <c r="L1738" i="1"/>
  <c r="M1738" i="1"/>
  <c r="K1739" i="1"/>
  <c r="L1739" i="1"/>
  <c r="M1739" i="1"/>
  <c r="K1740" i="1"/>
  <c r="L1740" i="1"/>
  <c r="M1740" i="1"/>
  <c r="K1741" i="1"/>
  <c r="L1741" i="1"/>
  <c r="M1741" i="1"/>
  <c r="K1742" i="1"/>
  <c r="L1742" i="1"/>
  <c r="M1742" i="1"/>
  <c r="K1743" i="1"/>
  <c r="L1743" i="1"/>
  <c r="M1743" i="1"/>
  <c r="K1744" i="1"/>
  <c r="L1744" i="1"/>
  <c r="M1744" i="1"/>
  <c r="K1745" i="1"/>
  <c r="L1745" i="1"/>
  <c r="M1745" i="1"/>
  <c r="K1746" i="1"/>
  <c r="L1746" i="1"/>
  <c r="M1746" i="1"/>
  <c r="K1747" i="1"/>
  <c r="L1747" i="1"/>
  <c r="M1747" i="1"/>
  <c r="K1748" i="1"/>
  <c r="L1748" i="1"/>
  <c r="M1748" i="1"/>
  <c r="K1749" i="1"/>
  <c r="L1749" i="1"/>
  <c r="M1749" i="1"/>
  <c r="K1750" i="1"/>
  <c r="L1750" i="1"/>
  <c r="M1750" i="1"/>
  <c r="K1751" i="1"/>
  <c r="L1751" i="1"/>
  <c r="M1751" i="1"/>
  <c r="K1752" i="1"/>
  <c r="L1752" i="1"/>
  <c r="M1752" i="1"/>
  <c r="K1753" i="1"/>
  <c r="L1753" i="1"/>
  <c r="M1753" i="1"/>
  <c r="K1754" i="1"/>
  <c r="L1754" i="1"/>
  <c r="M1754" i="1"/>
  <c r="K1755" i="1"/>
  <c r="L1755" i="1"/>
  <c r="M1755" i="1"/>
  <c r="K1756" i="1"/>
  <c r="L1756" i="1"/>
  <c r="M1756" i="1"/>
  <c r="J1757" i="1"/>
  <c r="K1757" i="1"/>
  <c r="L1757" i="1"/>
  <c r="M1757" i="1"/>
  <c r="K1758" i="1"/>
  <c r="L1758" i="1"/>
  <c r="M1758" i="1"/>
  <c r="K1759" i="1"/>
  <c r="L1759" i="1"/>
  <c r="M1759" i="1"/>
  <c r="K1760" i="1"/>
  <c r="L1760" i="1"/>
  <c r="M1760" i="1"/>
  <c r="J1761" i="1"/>
  <c r="K1761" i="1"/>
  <c r="L1761" i="1"/>
  <c r="M1761" i="1"/>
  <c r="K1762" i="1"/>
  <c r="J1762" i="1" s="1"/>
  <c r="L1762" i="1"/>
  <c r="M1762" i="1"/>
  <c r="K1763" i="1"/>
  <c r="L1763" i="1"/>
  <c r="M1763" i="1"/>
  <c r="K1764" i="1"/>
  <c r="L1764" i="1"/>
  <c r="M1764" i="1"/>
  <c r="K1765" i="1"/>
  <c r="L1765" i="1"/>
  <c r="M1765" i="1"/>
  <c r="J1766" i="1"/>
  <c r="K1766" i="1"/>
  <c r="L1766" i="1"/>
  <c r="M1766" i="1"/>
  <c r="K1767" i="1"/>
  <c r="L1767" i="1"/>
  <c r="M1767" i="1"/>
  <c r="K1768" i="1"/>
  <c r="L1768" i="1"/>
  <c r="M1768" i="1"/>
  <c r="K1769" i="1"/>
  <c r="L1769" i="1"/>
  <c r="M1769" i="1"/>
  <c r="K1770" i="1"/>
  <c r="L1770" i="1"/>
  <c r="M1770" i="1"/>
  <c r="K1771" i="1"/>
  <c r="L1771" i="1"/>
  <c r="M1771" i="1"/>
  <c r="K1772" i="1"/>
  <c r="L1772" i="1"/>
  <c r="M1772" i="1"/>
  <c r="K1773" i="1"/>
  <c r="L1773" i="1"/>
  <c r="M1773" i="1"/>
  <c r="K1774" i="1"/>
  <c r="L1774" i="1"/>
  <c r="M1774" i="1"/>
  <c r="K1775" i="1"/>
  <c r="L1775" i="1"/>
  <c r="M1775" i="1"/>
  <c r="K1776" i="1"/>
  <c r="L1776" i="1"/>
  <c r="M1776" i="1"/>
  <c r="K1777" i="1"/>
  <c r="L1777" i="1"/>
  <c r="M1777" i="1"/>
  <c r="K1778" i="1"/>
  <c r="L1778" i="1"/>
  <c r="M1778" i="1"/>
  <c r="K1779" i="1"/>
  <c r="L1779" i="1"/>
  <c r="M1779" i="1"/>
  <c r="K1780" i="1"/>
  <c r="L1780" i="1"/>
  <c r="M1780" i="1"/>
  <c r="K1781" i="1"/>
  <c r="L1781" i="1"/>
  <c r="M1781" i="1"/>
  <c r="K1782" i="1"/>
  <c r="L1782" i="1"/>
  <c r="M1782" i="1"/>
  <c r="K1783" i="1"/>
  <c r="L1783" i="1"/>
  <c r="M1783" i="1"/>
  <c r="K1784" i="1"/>
  <c r="L1784" i="1"/>
  <c r="M1784" i="1"/>
  <c r="K1785" i="1"/>
  <c r="L1785" i="1"/>
  <c r="M1785" i="1"/>
  <c r="K1786" i="1"/>
  <c r="L1786" i="1"/>
  <c r="M1786" i="1"/>
  <c r="K1787" i="1"/>
  <c r="L1787" i="1"/>
  <c r="M1787" i="1"/>
  <c r="K1788" i="1"/>
  <c r="L1788" i="1"/>
  <c r="M1788" i="1"/>
  <c r="K1789" i="1"/>
  <c r="L1789" i="1"/>
  <c r="M1789" i="1"/>
  <c r="K1790" i="1"/>
  <c r="L1790" i="1"/>
  <c r="M1790" i="1"/>
  <c r="K1791" i="1"/>
  <c r="L1791" i="1"/>
  <c r="M1791" i="1"/>
  <c r="K1792" i="1"/>
  <c r="L1792" i="1"/>
  <c r="M1792" i="1"/>
  <c r="K1793" i="1"/>
  <c r="L1793" i="1"/>
  <c r="M1793" i="1"/>
  <c r="K1794" i="1"/>
  <c r="L1794" i="1"/>
  <c r="M1794" i="1"/>
  <c r="K1795" i="1"/>
  <c r="L1795" i="1"/>
  <c r="M1795" i="1"/>
  <c r="K1796" i="1"/>
  <c r="L1796" i="1"/>
  <c r="M1796" i="1"/>
  <c r="K1797" i="1"/>
  <c r="L1797" i="1"/>
  <c r="M1797" i="1"/>
  <c r="K1798" i="1"/>
  <c r="L1798" i="1"/>
  <c r="M1798" i="1"/>
  <c r="K1799" i="1"/>
  <c r="L1799" i="1"/>
  <c r="M1799" i="1"/>
  <c r="K1800" i="1"/>
  <c r="L1800" i="1"/>
  <c r="M1800" i="1"/>
  <c r="K1801" i="1"/>
  <c r="L1801" i="1"/>
  <c r="M1801" i="1"/>
  <c r="K1802" i="1"/>
  <c r="L1802" i="1"/>
  <c r="M1802" i="1"/>
  <c r="K1803" i="1"/>
  <c r="L1803" i="1"/>
  <c r="M1803" i="1"/>
  <c r="K1804" i="1"/>
  <c r="L1804" i="1"/>
  <c r="M1804" i="1"/>
  <c r="K1805" i="1"/>
  <c r="L1805" i="1"/>
  <c r="M1805" i="1"/>
  <c r="K1806" i="1"/>
  <c r="L1806" i="1"/>
  <c r="M1806" i="1"/>
  <c r="K1807" i="1"/>
  <c r="L1807" i="1"/>
  <c r="M1807" i="1"/>
  <c r="K1808" i="1"/>
  <c r="L1808" i="1"/>
  <c r="M1808" i="1"/>
  <c r="K1809" i="1"/>
  <c r="L1809" i="1"/>
  <c r="M1809" i="1"/>
  <c r="K1810" i="1"/>
  <c r="L1810" i="1"/>
  <c r="M1810" i="1"/>
  <c r="K1811" i="1"/>
  <c r="L1811" i="1"/>
  <c r="M1811" i="1"/>
  <c r="K1812" i="1"/>
  <c r="L1812" i="1"/>
  <c r="M1812" i="1"/>
  <c r="K1813" i="1"/>
  <c r="L1813" i="1"/>
  <c r="M1813" i="1"/>
  <c r="K1814" i="1"/>
  <c r="L1814" i="1"/>
  <c r="M1814" i="1"/>
  <c r="K1815" i="1"/>
  <c r="L1815" i="1"/>
  <c r="M1815" i="1"/>
  <c r="K1816" i="1"/>
  <c r="L1816" i="1"/>
  <c r="M1816" i="1"/>
  <c r="K1817" i="1"/>
  <c r="L1817" i="1"/>
  <c r="M1817" i="1"/>
  <c r="K1818" i="1"/>
  <c r="L1818" i="1"/>
  <c r="M1818" i="1"/>
  <c r="K1819" i="1"/>
  <c r="L1819" i="1"/>
  <c r="M1819" i="1"/>
  <c r="K1820" i="1"/>
  <c r="L1820" i="1"/>
  <c r="M1820" i="1"/>
  <c r="K1821" i="1"/>
  <c r="L1821" i="1"/>
  <c r="M1821" i="1"/>
  <c r="K1822" i="1"/>
  <c r="L1822" i="1"/>
  <c r="M1822" i="1"/>
  <c r="K1823" i="1"/>
  <c r="L1823" i="1"/>
  <c r="M1823" i="1"/>
  <c r="K1824" i="1"/>
  <c r="L1824" i="1"/>
  <c r="M1824" i="1"/>
  <c r="K1825" i="1"/>
  <c r="L1825" i="1"/>
  <c r="M1825" i="1"/>
  <c r="K1826" i="1"/>
  <c r="L1826" i="1"/>
  <c r="M1826" i="1"/>
  <c r="K1827" i="1"/>
  <c r="L1827" i="1"/>
  <c r="M1827" i="1"/>
  <c r="K1828" i="1"/>
  <c r="L1828" i="1"/>
  <c r="M1828" i="1"/>
  <c r="K1829" i="1"/>
  <c r="L1829" i="1"/>
  <c r="M1829" i="1"/>
  <c r="K1830" i="1"/>
  <c r="L1830" i="1"/>
  <c r="M1830" i="1"/>
  <c r="K1831" i="1"/>
  <c r="L1831" i="1"/>
  <c r="M1831" i="1"/>
  <c r="K1832" i="1"/>
  <c r="L1832" i="1"/>
  <c r="M1832" i="1"/>
  <c r="K1833" i="1"/>
  <c r="L1833" i="1"/>
  <c r="M1833" i="1"/>
  <c r="K1834" i="1"/>
  <c r="L1834" i="1"/>
  <c r="M1834" i="1"/>
  <c r="K1835" i="1"/>
  <c r="L1835" i="1"/>
  <c r="M1835" i="1"/>
  <c r="K1836" i="1"/>
  <c r="L1836" i="1"/>
  <c r="M1836" i="1"/>
  <c r="K1837" i="1"/>
  <c r="L1837" i="1"/>
  <c r="M1837" i="1"/>
  <c r="K1838" i="1"/>
  <c r="L1838" i="1"/>
  <c r="M1838" i="1"/>
  <c r="K1839" i="1"/>
  <c r="L1839" i="1"/>
  <c r="M1839" i="1"/>
  <c r="K1840" i="1"/>
  <c r="L1840" i="1"/>
  <c r="M1840" i="1"/>
  <c r="K1841" i="1"/>
  <c r="L1841" i="1"/>
  <c r="M1841" i="1"/>
  <c r="K1842" i="1"/>
  <c r="L1842" i="1"/>
  <c r="M1842" i="1"/>
  <c r="K1843" i="1"/>
  <c r="L1843" i="1"/>
  <c r="M1843" i="1"/>
  <c r="K1844" i="1"/>
  <c r="L1844" i="1"/>
  <c r="M1844" i="1"/>
  <c r="K1845" i="1"/>
  <c r="L1845" i="1"/>
  <c r="M1845" i="1"/>
  <c r="K1846" i="1"/>
  <c r="L1846" i="1"/>
  <c r="M1846" i="1"/>
  <c r="K1847" i="1"/>
  <c r="L1847" i="1"/>
  <c r="M1847" i="1"/>
  <c r="K1848" i="1"/>
  <c r="L1848" i="1"/>
  <c r="M1848" i="1"/>
  <c r="K1849" i="1"/>
  <c r="L1849" i="1"/>
  <c r="M1849" i="1"/>
  <c r="K1850" i="1"/>
  <c r="L1850" i="1"/>
  <c r="M1850" i="1"/>
  <c r="K1851" i="1"/>
  <c r="L1851" i="1"/>
  <c r="M1851" i="1"/>
  <c r="K1852" i="1"/>
  <c r="L1852" i="1"/>
  <c r="M1852" i="1"/>
  <c r="K1853" i="1"/>
  <c r="L1853" i="1"/>
  <c r="M1853" i="1"/>
  <c r="K1854" i="1"/>
  <c r="L1854" i="1"/>
  <c r="M1854" i="1"/>
  <c r="K1855" i="1"/>
  <c r="L1855" i="1"/>
  <c r="M1855" i="1"/>
  <c r="K1856" i="1"/>
  <c r="L1856" i="1"/>
  <c r="M1856" i="1"/>
  <c r="K1857" i="1"/>
  <c r="L1857" i="1"/>
  <c r="M1857" i="1"/>
  <c r="K1858" i="1"/>
  <c r="L1858" i="1"/>
  <c r="M1858" i="1"/>
  <c r="K1859" i="1"/>
  <c r="L1859" i="1"/>
  <c r="M1859" i="1"/>
  <c r="K1860" i="1"/>
  <c r="L1860" i="1"/>
  <c r="M1860" i="1"/>
  <c r="K1861" i="1"/>
  <c r="L1861" i="1"/>
  <c r="M1861" i="1"/>
  <c r="K1862" i="1"/>
  <c r="L1862" i="1"/>
  <c r="M1862" i="1"/>
  <c r="K1863" i="1"/>
  <c r="L1863" i="1"/>
  <c r="M1863" i="1"/>
  <c r="K1864" i="1"/>
  <c r="L1864" i="1"/>
  <c r="M1864" i="1"/>
  <c r="K1865" i="1"/>
  <c r="L1865" i="1"/>
  <c r="M1865" i="1"/>
  <c r="K1866" i="1"/>
  <c r="L1866" i="1"/>
  <c r="M1866" i="1"/>
  <c r="K1867" i="1"/>
  <c r="L1867" i="1"/>
  <c r="M1867" i="1"/>
  <c r="K1868" i="1"/>
  <c r="L1868" i="1"/>
  <c r="M1868" i="1"/>
  <c r="K1869" i="1"/>
  <c r="L1869" i="1"/>
  <c r="M1869" i="1"/>
  <c r="K1870" i="1"/>
  <c r="L1870" i="1"/>
  <c r="M1870" i="1"/>
  <c r="K1871" i="1"/>
  <c r="L1871" i="1"/>
  <c r="M1871" i="1"/>
  <c r="K1872" i="1"/>
  <c r="L1872" i="1"/>
  <c r="M1872" i="1"/>
  <c r="K1873" i="1"/>
  <c r="L1873" i="1"/>
  <c r="M1873" i="1"/>
  <c r="K1874" i="1"/>
  <c r="L1874" i="1"/>
  <c r="M1874" i="1"/>
  <c r="K1875" i="1"/>
  <c r="L1875" i="1"/>
  <c r="M1875" i="1"/>
  <c r="K1876" i="1"/>
  <c r="L1876" i="1"/>
  <c r="M1876" i="1"/>
  <c r="K1877" i="1"/>
  <c r="L1877" i="1"/>
  <c r="M1877" i="1"/>
  <c r="K1878" i="1"/>
  <c r="L1878" i="1"/>
  <c r="M1878" i="1"/>
  <c r="K1879" i="1"/>
  <c r="L1879" i="1"/>
  <c r="M1879" i="1"/>
  <c r="K1880" i="1"/>
  <c r="L1880" i="1"/>
  <c r="M1880" i="1"/>
  <c r="K1881" i="1"/>
  <c r="L1881" i="1"/>
  <c r="M1881" i="1"/>
  <c r="K1882" i="1"/>
  <c r="L1882" i="1"/>
  <c r="M1882" i="1"/>
  <c r="K1883" i="1"/>
  <c r="L1883" i="1"/>
  <c r="M1883" i="1"/>
  <c r="K1884" i="1"/>
  <c r="L1884" i="1"/>
  <c r="M1884" i="1"/>
  <c r="K1885" i="1"/>
  <c r="L1885" i="1"/>
  <c r="M1885" i="1"/>
  <c r="K1886" i="1"/>
  <c r="L1886" i="1"/>
  <c r="M1886" i="1"/>
  <c r="K1887" i="1"/>
  <c r="L1887" i="1"/>
  <c r="M1887" i="1"/>
  <c r="K1888" i="1"/>
  <c r="L1888" i="1"/>
  <c r="M1888" i="1"/>
  <c r="K1889" i="1"/>
  <c r="L1889" i="1"/>
  <c r="M1889" i="1"/>
  <c r="K1890" i="1"/>
  <c r="L1890" i="1"/>
  <c r="M1890" i="1"/>
  <c r="K1891" i="1"/>
  <c r="L1891" i="1"/>
  <c r="M1891" i="1"/>
  <c r="K1892" i="1"/>
  <c r="L1892" i="1"/>
  <c r="M1892" i="1"/>
  <c r="K1893" i="1"/>
  <c r="L1893" i="1"/>
  <c r="M1893" i="1"/>
  <c r="K1894" i="1"/>
  <c r="L1894" i="1"/>
  <c r="M1894" i="1"/>
  <c r="K1895" i="1"/>
  <c r="L1895" i="1"/>
  <c r="M1895" i="1"/>
  <c r="K1896" i="1"/>
  <c r="L1896" i="1"/>
  <c r="M1896" i="1"/>
  <c r="K1897" i="1"/>
  <c r="L1897" i="1"/>
  <c r="M1897" i="1"/>
  <c r="K1898" i="1"/>
  <c r="L1898" i="1"/>
  <c r="M1898" i="1"/>
  <c r="K1899" i="1"/>
  <c r="L1899" i="1"/>
  <c r="M1899" i="1"/>
  <c r="K1900" i="1"/>
  <c r="L1900" i="1"/>
  <c r="M1900" i="1"/>
  <c r="K1901" i="1"/>
  <c r="L1901" i="1"/>
  <c r="M1901" i="1"/>
  <c r="K1902" i="1"/>
  <c r="L1902" i="1"/>
  <c r="M1902" i="1"/>
  <c r="K1903" i="1"/>
  <c r="L1903" i="1"/>
  <c r="M1903" i="1"/>
  <c r="K1904" i="1"/>
  <c r="L1904" i="1"/>
  <c r="M1904" i="1"/>
  <c r="K1905" i="1"/>
  <c r="L1905" i="1"/>
  <c r="M1905" i="1"/>
  <c r="K1906" i="1"/>
  <c r="L1906" i="1"/>
  <c r="M1906" i="1"/>
  <c r="K1907" i="1"/>
  <c r="L1907" i="1"/>
  <c r="M1907" i="1"/>
  <c r="K1908" i="1"/>
  <c r="L1908" i="1"/>
  <c r="M1908" i="1"/>
  <c r="K1909" i="1"/>
  <c r="L1909" i="1"/>
  <c r="M1909" i="1"/>
  <c r="J1910" i="1"/>
  <c r="K1910" i="1"/>
  <c r="L1910" i="1"/>
  <c r="M1910" i="1"/>
  <c r="K1911" i="1"/>
  <c r="L1911" i="1"/>
  <c r="M1911" i="1"/>
  <c r="K1912" i="1"/>
  <c r="L1912" i="1"/>
  <c r="M1912" i="1"/>
  <c r="K1913" i="1"/>
  <c r="L1913" i="1"/>
  <c r="M1913" i="1"/>
  <c r="K1914" i="1"/>
  <c r="L1914" i="1"/>
  <c r="M1914" i="1"/>
  <c r="K1915" i="1"/>
  <c r="L1915" i="1"/>
  <c r="M1915" i="1"/>
  <c r="K1916" i="1"/>
  <c r="L1916" i="1"/>
  <c r="M1916" i="1"/>
  <c r="K1917" i="1"/>
  <c r="L1917" i="1"/>
  <c r="M1917" i="1"/>
  <c r="K1918" i="1"/>
  <c r="L1918" i="1"/>
  <c r="M1918" i="1"/>
  <c r="K1919" i="1"/>
  <c r="L1919" i="1"/>
  <c r="M1919" i="1"/>
  <c r="K1920" i="1"/>
  <c r="L1920" i="1"/>
  <c r="M1920" i="1"/>
  <c r="K1921" i="1"/>
  <c r="L1921" i="1"/>
  <c r="M1921" i="1"/>
  <c r="K1922" i="1"/>
  <c r="L1922" i="1"/>
  <c r="M1922" i="1"/>
  <c r="K1923" i="1"/>
  <c r="L1923" i="1"/>
  <c r="M1923" i="1"/>
  <c r="K1924" i="1"/>
  <c r="L1924" i="1"/>
  <c r="M1924" i="1"/>
  <c r="K1925" i="1"/>
  <c r="L1925" i="1"/>
  <c r="M1925" i="1"/>
  <c r="K1926" i="1"/>
  <c r="L1926" i="1"/>
  <c r="M1926" i="1"/>
  <c r="K1927" i="1"/>
  <c r="L1927" i="1"/>
  <c r="M1927" i="1"/>
  <c r="K1928" i="1"/>
  <c r="L1928" i="1"/>
  <c r="M1928" i="1"/>
  <c r="K1929" i="1"/>
  <c r="L1929" i="1"/>
  <c r="M1929" i="1"/>
  <c r="K1930" i="1"/>
  <c r="L1930" i="1"/>
  <c r="M1930" i="1"/>
  <c r="K1931" i="1"/>
  <c r="L1931" i="1"/>
  <c r="M1931" i="1"/>
  <c r="K1932" i="1"/>
  <c r="L1932" i="1"/>
  <c r="M1932" i="1"/>
  <c r="K1933" i="1"/>
  <c r="L1933" i="1"/>
  <c r="M1933" i="1"/>
  <c r="K1934" i="1"/>
  <c r="L1934" i="1"/>
  <c r="M1934" i="1"/>
  <c r="K1935" i="1"/>
  <c r="L1935" i="1"/>
  <c r="M1935" i="1"/>
  <c r="K1936" i="1"/>
  <c r="L1936" i="1"/>
  <c r="M1936" i="1"/>
  <c r="K1937" i="1"/>
  <c r="L1937" i="1"/>
  <c r="M1937" i="1"/>
  <c r="K1938" i="1"/>
  <c r="L1938" i="1"/>
  <c r="M1938" i="1"/>
  <c r="K1939" i="1"/>
  <c r="L1939" i="1"/>
  <c r="M1939" i="1"/>
  <c r="K1940" i="1"/>
  <c r="L1940" i="1"/>
  <c r="M1940" i="1"/>
  <c r="K1941" i="1"/>
  <c r="J1941" i="1" s="1"/>
  <c r="L1941" i="1"/>
  <c r="M1941" i="1"/>
  <c r="K1942" i="1"/>
  <c r="L1942" i="1"/>
  <c r="M1942" i="1"/>
  <c r="K1943" i="1"/>
  <c r="L1943" i="1"/>
  <c r="M1943" i="1"/>
  <c r="K1944" i="1"/>
  <c r="L1944" i="1"/>
  <c r="M1944" i="1"/>
  <c r="K1945" i="1"/>
  <c r="L1945" i="1"/>
  <c r="M1945" i="1"/>
  <c r="K1946" i="1"/>
  <c r="L1946" i="1"/>
  <c r="M1946" i="1"/>
  <c r="K1947" i="1"/>
  <c r="L1947" i="1"/>
  <c r="M1947" i="1"/>
  <c r="K1948" i="1"/>
  <c r="L1948" i="1"/>
  <c r="M1948" i="1"/>
  <c r="K1949" i="1"/>
  <c r="L1949" i="1"/>
  <c r="M1949" i="1"/>
  <c r="K1950" i="1"/>
  <c r="L1950" i="1"/>
  <c r="M1950" i="1"/>
  <c r="K1951" i="1"/>
  <c r="L1951" i="1"/>
  <c r="M1951" i="1"/>
  <c r="K1952" i="1"/>
  <c r="L1952" i="1"/>
  <c r="M1952" i="1"/>
  <c r="K1953" i="1"/>
  <c r="L1953" i="1"/>
  <c r="M1953" i="1"/>
  <c r="K1954" i="1"/>
  <c r="L1954" i="1"/>
  <c r="M1954" i="1"/>
  <c r="K1955" i="1"/>
  <c r="L1955" i="1"/>
  <c r="M1955" i="1"/>
  <c r="K1956" i="1"/>
  <c r="L1956" i="1"/>
  <c r="M1956" i="1"/>
  <c r="K1957" i="1"/>
  <c r="L1957" i="1"/>
  <c r="M1957" i="1"/>
  <c r="K1958" i="1"/>
  <c r="L1958" i="1"/>
  <c r="M1958" i="1"/>
  <c r="K1959" i="1"/>
  <c r="L1959" i="1"/>
  <c r="M1959" i="1"/>
  <c r="K1960" i="1"/>
  <c r="L1960" i="1"/>
  <c r="M1960" i="1"/>
  <c r="K1961" i="1"/>
  <c r="L1961" i="1"/>
  <c r="M1961" i="1"/>
  <c r="K1962" i="1"/>
  <c r="L1962" i="1"/>
  <c r="M1962" i="1"/>
  <c r="K1963" i="1"/>
  <c r="L1963" i="1"/>
  <c r="M1963" i="1"/>
  <c r="K1964" i="1"/>
  <c r="L1964" i="1"/>
  <c r="M1964" i="1"/>
  <c r="K1965" i="1"/>
  <c r="L1965" i="1"/>
  <c r="M1965" i="1"/>
  <c r="K1966" i="1"/>
  <c r="L1966" i="1"/>
  <c r="M1966" i="1"/>
  <c r="K1967" i="1"/>
  <c r="L1967" i="1"/>
  <c r="M1967" i="1"/>
  <c r="K1968" i="1"/>
  <c r="L1968" i="1"/>
  <c r="M1968" i="1"/>
  <c r="K1969" i="1"/>
  <c r="L1969" i="1"/>
  <c r="M1969" i="1"/>
  <c r="K1970" i="1"/>
  <c r="L1970" i="1"/>
  <c r="M1970" i="1"/>
  <c r="K1971" i="1"/>
  <c r="L1971" i="1"/>
  <c r="M1971" i="1"/>
  <c r="K1972" i="1"/>
  <c r="L1972" i="1"/>
  <c r="M1972" i="1"/>
  <c r="K1973" i="1"/>
  <c r="L1973" i="1"/>
  <c r="M1973" i="1"/>
  <c r="K1974" i="1"/>
  <c r="L1974" i="1"/>
  <c r="M1974" i="1"/>
  <c r="K1975" i="1"/>
  <c r="L1975" i="1"/>
  <c r="M1975" i="1"/>
  <c r="K1976" i="1"/>
  <c r="L1976" i="1"/>
  <c r="M1976" i="1"/>
  <c r="K1977" i="1"/>
  <c r="L1977" i="1"/>
  <c r="M1977" i="1"/>
  <c r="K1978" i="1"/>
  <c r="L1978" i="1"/>
  <c r="M1978" i="1"/>
  <c r="K1979" i="1"/>
  <c r="L1979" i="1"/>
  <c r="M1979" i="1"/>
  <c r="K1980" i="1"/>
  <c r="L1980" i="1"/>
  <c r="M1980" i="1"/>
  <c r="K1981" i="1"/>
  <c r="L1981" i="1"/>
  <c r="M1981" i="1"/>
  <c r="K1982" i="1"/>
  <c r="L1982" i="1"/>
  <c r="M1982" i="1"/>
  <c r="K1983" i="1"/>
  <c r="L1983" i="1"/>
  <c r="M1983" i="1"/>
  <c r="K1984" i="1"/>
  <c r="L1984" i="1"/>
  <c r="M1984" i="1"/>
  <c r="K1985" i="1"/>
  <c r="L1985" i="1"/>
  <c r="M1985" i="1"/>
  <c r="K1986" i="1"/>
  <c r="L1986" i="1"/>
  <c r="M1986" i="1"/>
  <c r="K1987" i="1"/>
  <c r="L1987" i="1"/>
  <c r="M1987" i="1"/>
  <c r="K1988" i="1"/>
  <c r="L1988" i="1"/>
  <c r="M1988" i="1"/>
  <c r="K1989" i="1"/>
  <c r="L1989" i="1"/>
  <c r="M1989" i="1"/>
  <c r="K1990" i="1"/>
  <c r="L1990" i="1"/>
  <c r="M1990" i="1"/>
  <c r="K1991" i="1"/>
  <c r="L1991" i="1"/>
  <c r="M1991" i="1"/>
  <c r="K1992" i="1"/>
  <c r="L1992" i="1"/>
  <c r="M1992" i="1"/>
  <c r="K1993" i="1"/>
  <c r="L1993" i="1"/>
  <c r="M1993" i="1"/>
  <c r="K1994" i="1"/>
  <c r="L1994" i="1"/>
  <c r="M1994" i="1"/>
  <c r="K1995" i="1"/>
  <c r="L1995" i="1"/>
  <c r="M1995" i="1"/>
  <c r="K1996" i="1"/>
  <c r="L1996" i="1"/>
  <c r="M1996" i="1"/>
  <c r="K1997" i="1"/>
  <c r="L1997" i="1"/>
  <c r="M1997" i="1"/>
  <c r="K1998" i="1"/>
  <c r="L1998" i="1"/>
  <c r="M1998" i="1"/>
  <c r="K1999" i="1"/>
  <c r="L1999" i="1"/>
  <c r="M1999" i="1"/>
  <c r="K2000" i="1"/>
  <c r="L2000" i="1"/>
  <c r="M2000" i="1"/>
  <c r="K2001" i="1"/>
  <c r="L2001" i="1"/>
  <c r="M2001" i="1"/>
  <c r="K2002" i="1"/>
  <c r="L2002" i="1"/>
  <c r="M2002" i="1"/>
  <c r="K2003" i="1"/>
  <c r="L2003" i="1"/>
  <c r="M2003" i="1"/>
  <c r="K2004" i="1"/>
  <c r="L2004" i="1"/>
  <c r="M2004" i="1"/>
  <c r="K2005" i="1"/>
  <c r="L2005" i="1"/>
  <c r="M2005" i="1"/>
  <c r="K2006" i="1"/>
  <c r="L2006" i="1"/>
  <c r="M2006" i="1"/>
  <c r="K2007" i="1"/>
  <c r="L2007" i="1"/>
  <c r="M2007" i="1"/>
  <c r="K2008" i="1"/>
  <c r="L2008" i="1"/>
  <c r="M2008" i="1"/>
  <c r="K2009" i="1"/>
  <c r="L2009" i="1"/>
  <c r="M2009" i="1"/>
  <c r="J2010" i="1"/>
  <c r="K2010" i="1"/>
  <c r="L2010" i="1"/>
  <c r="M2010" i="1"/>
  <c r="K2011" i="1"/>
  <c r="L2011" i="1"/>
  <c r="M2011" i="1"/>
  <c r="K2012" i="1"/>
  <c r="L2012" i="1"/>
  <c r="M2012" i="1"/>
  <c r="K2013" i="1"/>
  <c r="L2013" i="1"/>
  <c r="M2013" i="1"/>
  <c r="J2013" i="1" s="1"/>
  <c r="K2014" i="1"/>
  <c r="L2014" i="1"/>
  <c r="M2014" i="1"/>
  <c r="K2015" i="1"/>
  <c r="L2015" i="1"/>
  <c r="M2015" i="1"/>
  <c r="K2016" i="1"/>
  <c r="L2016" i="1"/>
  <c r="M2016" i="1"/>
  <c r="K2017" i="1"/>
  <c r="L2017" i="1"/>
  <c r="M2017" i="1"/>
  <c r="K2018" i="1"/>
  <c r="L2018" i="1"/>
  <c r="M2018" i="1"/>
  <c r="K2019" i="1"/>
  <c r="L2019" i="1"/>
  <c r="M2019" i="1"/>
  <c r="K2020" i="1"/>
  <c r="L2020" i="1"/>
  <c r="M2020" i="1"/>
  <c r="K2021" i="1"/>
  <c r="L2021" i="1"/>
  <c r="M2021" i="1"/>
  <c r="K2022" i="1"/>
  <c r="L2022" i="1"/>
  <c r="M2022" i="1"/>
  <c r="K2023" i="1"/>
  <c r="L2023" i="1"/>
  <c r="M2023" i="1"/>
  <c r="K2024" i="1"/>
  <c r="L2024" i="1"/>
  <c r="M2024" i="1"/>
  <c r="K2025" i="1"/>
  <c r="L2025" i="1"/>
  <c r="M2025" i="1"/>
  <c r="K2026" i="1"/>
  <c r="L2026" i="1"/>
  <c r="M2026" i="1"/>
  <c r="K2027" i="1"/>
  <c r="L2027" i="1"/>
  <c r="M2027" i="1"/>
  <c r="K2028" i="1"/>
  <c r="L2028" i="1"/>
  <c r="M2028" i="1"/>
  <c r="K2029" i="1"/>
  <c r="L2029" i="1"/>
  <c r="M2029" i="1"/>
  <c r="K2030" i="1"/>
  <c r="L2030" i="1"/>
  <c r="M2030" i="1"/>
  <c r="K2031" i="1"/>
  <c r="L2031" i="1"/>
  <c r="M2031" i="1"/>
  <c r="K2032" i="1"/>
  <c r="L2032" i="1"/>
  <c r="M2032" i="1"/>
  <c r="K2033" i="1"/>
  <c r="L2033" i="1"/>
  <c r="M2033" i="1"/>
  <c r="K2034" i="1"/>
  <c r="L2034" i="1"/>
  <c r="M2034" i="1"/>
  <c r="K2035" i="1"/>
  <c r="L2035" i="1"/>
  <c r="M2035" i="1"/>
  <c r="K2036" i="1"/>
  <c r="L2036" i="1"/>
  <c r="M2036" i="1"/>
  <c r="K2037" i="1"/>
  <c r="L2037" i="1"/>
  <c r="M2037" i="1"/>
  <c r="K2038" i="1"/>
  <c r="L2038" i="1"/>
  <c r="M2038" i="1"/>
  <c r="K2039" i="1"/>
  <c r="L2039" i="1"/>
  <c r="M2039" i="1"/>
  <c r="K2040" i="1"/>
  <c r="L2040" i="1"/>
  <c r="M2040" i="1"/>
  <c r="K2041" i="1"/>
  <c r="L2041" i="1"/>
  <c r="M2041" i="1"/>
  <c r="K2042" i="1"/>
  <c r="L2042" i="1"/>
  <c r="M2042" i="1"/>
  <c r="K2043" i="1"/>
  <c r="L2043" i="1"/>
  <c r="M2043" i="1"/>
  <c r="K2044" i="1"/>
  <c r="L2044" i="1"/>
  <c r="M2044" i="1"/>
  <c r="K2045" i="1"/>
  <c r="L2045" i="1"/>
  <c r="M2045" i="1"/>
  <c r="K2046" i="1"/>
  <c r="L2046" i="1"/>
  <c r="M2046" i="1"/>
  <c r="K2047" i="1"/>
  <c r="L2047" i="1"/>
  <c r="M2047" i="1"/>
  <c r="K2048" i="1"/>
  <c r="L2048" i="1"/>
  <c r="M2048" i="1"/>
  <c r="K2049" i="1"/>
  <c r="L2049" i="1"/>
  <c r="M2049" i="1"/>
  <c r="J2049" i="1" s="1"/>
  <c r="K2050" i="1"/>
  <c r="L2050" i="1"/>
  <c r="M2050" i="1"/>
  <c r="K2051" i="1"/>
  <c r="L2051" i="1"/>
  <c r="M2051" i="1"/>
  <c r="K2052" i="1"/>
  <c r="L2052" i="1"/>
  <c r="M2052" i="1"/>
  <c r="K2053" i="1"/>
  <c r="L2053" i="1"/>
  <c r="M2053" i="1"/>
  <c r="K2054" i="1"/>
  <c r="L2054" i="1"/>
  <c r="M2054" i="1"/>
  <c r="K2055" i="1"/>
  <c r="L2055" i="1"/>
  <c r="M2055" i="1"/>
  <c r="K2056" i="1"/>
  <c r="L2056" i="1"/>
  <c r="M2056" i="1"/>
  <c r="K2057" i="1"/>
  <c r="L2057" i="1"/>
  <c r="M2057" i="1"/>
  <c r="K2058" i="1"/>
  <c r="L2058" i="1"/>
  <c r="M2058" i="1"/>
  <c r="K2059" i="1"/>
  <c r="L2059" i="1"/>
  <c r="M2059" i="1"/>
  <c r="K2060" i="1"/>
  <c r="L2060" i="1"/>
  <c r="M2060" i="1"/>
  <c r="K2061" i="1"/>
  <c r="L2061" i="1"/>
  <c r="M2061" i="1"/>
  <c r="K2062" i="1"/>
  <c r="L2062" i="1"/>
  <c r="M2062" i="1"/>
  <c r="K2063" i="1"/>
  <c r="L2063" i="1"/>
  <c r="M2063" i="1"/>
  <c r="K2064" i="1"/>
  <c r="L2064" i="1"/>
  <c r="M2064" i="1"/>
  <c r="K2065" i="1"/>
  <c r="L2065" i="1"/>
  <c r="M2065" i="1"/>
  <c r="K2066" i="1"/>
  <c r="L2066" i="1"/>
  <c r="M2066" i="1"/>
  <c r="K2067" i="1"/>
  <c r="L2067" i="1"/>
  <c r="M2067" i="1"/>
  <c r="K2068" i="1"/>
  <c r="L2068" i="1"/>
  <c r="M2068" i="1"/>
  <c r="K2069" i="1"/>
  <c r="L2069" i="1"/>
  <c r="M2069" i="1"/>
  <c r="K2070" i="1"/>
  <c r="L2070" i="1"/>
  <c r="M2070" i="1"/>
  <c r="K2071" i="1"/>
  <c r="L2071" i="1"/>
  <c r="M2071" i="1"/>
  <c r="K2072" i="1"/>
  <c r="L2072" i="1"/>
  <c r="M2072" i="1"/>
  <c r="K2073" i="1"/>
  <c r="L2073" i="1"/>
  <c r="M2073" i="1"/>
  <c r="K2074" i="1"/>
  <c r="L2074" i="1"/>
  <c r="M2074" i="1"/>
  <c r="K2075" i="1"/>
  <c r="L2075" i="1"/>
  <c r="M2075" i="1"/>
  <c r="K2076" i="1"/>
  <c r="L2076" i="1"/>
  <c r="M2076" i="1"/>
  <c r="K2077" i="1"/>
  <c r="L2077" i="1"/>
  <c r="M2077" i="1"/>
  <c r="K2078" i="1"/>
  <c r="L2078" i="1"/>
  <c r="M2078" i="1"/>
  <c r="K2079" i="1"/>
  <c r="L2079" i="1"/>
  <c r="M2079" i="1"/>
  <c r="K2080" i="1"/>
  <c r="L2080" i="1"/>
  <c r="M2080" i="1"/>
  <c r="K2081" i="1"/>
  <c r="L2081" i="1"/>
  <c r="M2081" i="1"/>
  <c r="K2082" i="1"/>
  <c r="L2082" i="1"/>
  <c r="M2082" i="1"/>
  <c r="K2083" i="1"/>
  <c r="L2083" i="1"/>
  <c r="M2083" i="1"/>
  <c r="K2084" i="1"/>
  <c r="L2084" i="1"/>
  <c r="M2084" i="1"/>
  <c r="K2085" i="1"/>
  <c r="L2085" i="1"/>
  <c r="M2085" i="1"/>
  <c r="J2085" i="1" s="1"/>
  <c r="K2086" i="1"/>
  <c r="L2086" i="1"/>
  <c r="M2086" i="1"/>
  <c r="K2087" i="1"/>
  <c r="L2087" i="1"/>
  <c r="M2087" i="1"/>
  <c r="K2088" i="1"/>
  <c r="L2088" i="1"/>
  <c r="M2088" i="1"/>
  <c r="K2089" i="1"/>
  <c r="L2089" i="1"/>
  <c r="M2089" i="1"/>
  <c r="K2090" i="1"/>
  <c r="L2090" i="1"/>
  <c r="M2090" i="1"/>
  <c r="K2091" i="1"/>
  <c r="L2091" i="1"/>
  <c r="M2091" i="1"/>
  <c r="K2092" i="1"/>
  <c r="L2092" i="1"/>
  <c r="M2092" i="1"/>
  <c r="K2093" i="1"/>
  <c r="L2093" i="1"/>
  <c r="M2093" i="1"/>
  <c r="K2094" i="1"/>
  <c r="L2094" i="1"/>
  <c r="M2094" i="1"/>
  <c r="K2095" i="1"/>
  <c r="L2095" i="1"/>
  <c r="M2095" i="1"/>
  <c r="K2096" i="1"/>
  <c r="L2096" i="1"/>
  <c r="M2096" i="1"/>
  <c r="K2097" i="1"/>
  <c r="L2097" i="1"/>
  <c r="M2097" i="1"/>
  <c r="K2098" i="1"/>
  <c r="L2098" i="1"/>
  <c r="M2098" i="1"/>
  <c r="K2099" i="1"/>
  <c r="L2099" i="1"/>
  <c r="M2099" i="1"/>
  <c r="K2100" i="1"/>
  <c r="L2100" i="1"/>
  <c r="M2100" i="1"/>
  <c r="K2101" i="1"/>
  <c r="L2101" i="1"/>
  <c r="M2101" i="1"/>
  <c r="K2102" i="1"/>
  <c r="L2102" i="1"/>
  <c r="M2102" i="1"/>
  <c r="K2103" i="1"/>
  <c r="L2103" i="1"/>
  <c r="M2103" i="1"/>
  <c r="K2104" i="1"/>
  <c r="L2104" i="1"/>
  <c r="M2104" i="1"/>
  <c r="K2105" i="1"/>
  <c r="L2105" i="1"/>
  <c r="M2105" i="1"/>
  <c r="K2106" i="1"/>
  <c r="L2106" i="1"/>
  <c r="M2106" i="1"/>
  <c r="K2107" i="1"/>
  <c r="L2107" i="1"/>
  <c r="M2107" i="1"/>
  <c r="K2108" i="1"/>
  <c r="L2108" i="1"/>
  <c r="M2108" i="1"/>
  <c r="K2109" i="1"/>
  <c r="L2109" i="1"/>
  <c r="M2109" i="1"/>
  <c r="K2110" i="1"/>
  <c r="L2110" i="1"/>
  <c r="M2110" i="1"/>
  <c r="K2111" i="1"/>
  <c r="L2111" i="1"/>
  <c r="M2111" i="1"/>
  <c r="K2112" i="1"/>
  <c r="L2112" i="1"/>
  <c r="M2112" i="1"/>
  <c r="K2113" i="1"/>
  <c r="L2113" i="1"/>
  <c r="M2113" i="1"/>
  <c r="K2114" i="1"/>
  <c r="L2114" i="1"/>
  <c r="M2114" i="1"/>
  <c r="K2115" i="1"/>
  <c r="L2115" i="1"/>
  <c r="M2115" i="1"/>
  <c r="K2116" i="1"/>
  <c r="L2116" i="1"/>
  <c r="M2116" i="1"/>
  <c r="K2117" i="1"/>
  <c r="L2117" i="1"/>
  <c r="M2117" i="1"/>
  <c r="K2118" i="1"/>
  <c r="L2118" i="1"/>
  <c r="M2118" i="1"/>
  <c r="K2119" i="1"/>
  <c r="L2119" i="1"/>
  <c r="M2119" i="1"/>
  <c r="K2120" i="1"/>
  <c r="L2120" i="1"/>
  <c r="M2120" i="1"/>
  <c r="K2121" i="1"/>
  <c r="L2121" i="1"/>
  <c r="M2121" i="1"/>
  <c r="K2122" i="1"/>
  <c r="L2122" i="1"/>
  <c r="M2122" i="1"/>
  <c r="K2123" i="1"/>
  <c r="L2123" i="1"/>
  <c r="M2123" i="1"/>
  <c r="J2124" i="1"/>
  <c r="K2124" i="1"/>
  <c r="L2124" i="1"/>
  <c r="M2124" i="1"/>
  <c r="K2125" i="1"/>
  <c r="L2125" i="1"/>
  <c r="M2125" i="1"/>
  <c r="K2126" i="1"/>
  <c r="L2126" i="1"/>
  <c r="M2126" i="1"/>
  <c r="K2127" i="1"/>
  <c r="L2127" i="1"/>
  <c r="M2127" i="1"/>
  <c r="K2128" i="1"/>
  <c r="L2128" i="1"/>
  <c r="M2128" i="1"/>
  <c r="K2129" i="1"/>
  <c r="L2129" i="1"/>
  <c r="M2129" i="1"/>
  <c r="K2130" i="1"/>
  <c r="L2130" i="1"/>
  <c r="M2130" i="1"/>
  <c r="K2131" i="1"/>
  <c r="L2131" i="1"/>
  <c r="M2131" i="1"/>
  <c r="K2132" i="1"/>
  <c r="L2132" i="1"/>
  <c r="M2132" i="1"/>
  <c r="K2133" i="1"/>
  <c r="L2133" i="1"/>
  <c r="M2133" i="1"/>
  <c r="K2134" i="1"/>
  <c r="L2134" i="1"/>
  <c r="M2134" i="1"/>
  <c r="J2135" i="1"/>
  <c r="K2135" i="1"/>
  <c r="L2135" i="1"/>
  <c r="M2135" i="1"/>
  <c r="K2136" i="1"/>
  <c r="L2136" i="1"/>
  <c r="M2136" i="1"/>
  <c r="K2137" i="1"/>
  <c r="L2137" i="1"/>
  <c r="M2137" i="1"/>
  <c r="K2138" i="1"/>
  <c r="L2138" i="1"/>
  <c r="M2138" i="1"/>
  <c r="K2139" i="1"/>
  <c r="L2139" i="1"/>
  <c r="M2139" i="1"/>
  <c r="K2140" i="1"/>
  <c r="L2140" i="1"/>
  <c r="M2140" i="1"/>
  <c r="K2141" i="1"/>
  <c r="L2141" i="1"/>
  <c r="M2141" i="1"/>
  <c r="K2142" i="1"/>
  <c r="L2142" i="1"/>
  <c r="M2142" i="1"/>
  <c r="K2143" i="1"/>
  <c r="L2143" i="1"/>
  <c r="M2143" i="1"/>
  <c r="K2144" i="1"/>
  <c r="L2144" i="1"/>
  <c r="M2144" i="1"/>
  <c r="K2145" i="1"/>
  <c r="L2145" i="1"/>
  <c r="M2145" i="1"/>
  <c r="K2146" i="1"/>
  <c r="L2146" i="1"/>
  <c r="M2146" i="1"/>
  <c r="K2147" i="1"/>
  <c r="L2147" i="1"/>
  <c r="M2147" i="1"/>
  <c r="K2148" i="1"/>
  <c r="L2148" i="1"/>
  <c r="M2148" i="1"/>
  <c r="K2149" i="1"/>
  <c r="L2149" i="1"/>
  <c r="M2149" i="1"/>
  <c r="K2150" i="1"/>
  <c r="L2150" i="1"/>
  <c r="M2150" i="1"/>
  <c r="K2151" i="1"/>
  <c r="L2151" i="1"/>
  <c r="M2151" i="1"/>
  <c r="K2152" i="1"/>
  <c r="L2152" i="1"/>
  <c r="M2152" i="1"/>
  <c r="K2153" i="1"/>
  <c r="L2153" i="1"/>
  <c r="M2153" i="1"/>
  <c r="K2154" i="1"/>
  <c r="L2154" i="1"/>
  <c r="M2154" i="1"/>
  <c r="K2155" i="1"/>
  <c r="L2155" i="1"/>
  <c r="M2155" i="1"/>
  <c r="K2156" i="1"/>
  <c r="L2156" i="1"/>
  <c r="M2156" i="1"/>
  <c r="K2157" i="1"/>
  <c r="L2157" i="1"/>
  <c r="M2157" i="1"/>
  <c r="K2158" i="1"/>
  <c r="L2158" i="1"/>
  <c r="M2158" i="1"/>
  <c r="K2159" i="1"/>
  <c r="L2159" i="1"/>
  <c r="M2159" i="1"/>
  <c r="K2160" i="1"/>
  <c r="L2160" i="1"/>
  <c r="M2160" i="1"/>
  <c r="K2161" i="1"/>
  <c r="L2161" i="1"/>
  <c r="M2161" i="1"/>
  <c r="K2162" i="1"/>
  <c r="L2162" i="1"/>
  <c r="M2162" i="1"/>
  <c r="K2163" i="1"/>
  <c r="L2163" i="1"/>
  <c r="M2163" i="1"/>
  <c r="K2164" i="1"/>
  <c r="L2164" i="1"/>
  <c r="M2164" i="1"/>
  <c r="K2165" i="1"/>
  <c r="L2165" i="1"/>
  <c r="M2165" i="1"/>
  <c r="K2166" i="1"/>
  <c r="L2166" i="1"/>
  <c r="M2166" i="1"/>
  <c r="K2167" i="1"/>
  <c r="L2167" i="1"/>
  <c r="M2167" i="1"/>
  <c r="K2168" i="1"/>
  <c r="L2168" i="1"/>
  <c r="M2168" i="1"/>
  <c r="K2169" i="1"/>
  <c r="L2169" i="1"/>
  <c r="M2169" i="1"/>
  <c r="K2170" i="1"/>
  <c r="L2170" i="1"/>
  <c r="M2170" i="1"/>
  <c r="K2171" i="1"/>
  <c r="L2171" i="1"/>
  <c r="M2171" i="1"/>
  <c r="K2172" i="1"/>
  <c r="L2172" i="1"/>
  <c r="M2172" i="1"/>
  <c r="K2173" i="1"/>
  <c r="L2173" i="1"/>
  <c r="M2173" i="1"/>
  <c r="K2174" i="1"/>
  <c r="L2174" i="1"/>
  <c r="M2174" i="1"/>
  <c r="K2175" i="1"/>
  <c r="L2175" i="1"/>
  <c r="M2175" i="1"/>
  <c r="K2176" i="1"/>
  <c r="L2176" i="1"/>
  <c r="M2176" i="1"/>
  <c r="K2177" i="1"/>
  <c r="L2177" i="1"/>
  <c r="M2177" i="1"/>
  <c r="K2178" i="1"/>
  <c r="L2178" i="1"/>
  <c r="M2178" i="1"/>
  <c r="K2179" i="1"/>
  <c r="L2179" i="1"/>
  <c r="M2179" i="1"/>
  <c r="K2180" i="1"/>
  <c r="L2180" i="1"/>
  <c r="M2180" i="1"/>
  <c r="K2181" i="1"/>
  <c r="L2181" i="1"/>
  <c r="M2181" i="1"/>
  <c r="K2182" i="1"/>
  <c r="L2182" i="1"/>
  <c r="M2182" i="1"/>
  <c r="K2183" i="1"/>
  <c r="L2183" i="1"/>
  <c r="M2183" i="1"/>
  <c r="K2184" i="1"/>
  <c r="L2184" i="1"/>
  <c r="M2184" i="1"/>
  <c r="K2185" i="1"/>
  <c r="L2185" i="1"/>
  <c r="M2185" i="1"/>
  <c r="K2186" i="1"/>
  <c r="L2186" i="1"/>
  <c r="M2186" i="1"/>
  <c r="K2187" i="1"/>
  <c r="L2187" i="1"/>
  <c r="M2187" i="1"/>
  <c r="K2188" i="1"/>
  <c r="L2188" i="1"/>
  <c r="M2188" i="1"/>
  <c r="K2189" i="1"/>
  <c r="L2189" i="1"/>
  <c r="M2189" i="1"/>
  <c r="K2190" i="1"/>
  <c r="L2190" i="1"/>
  <c r="M2190" i="1"/>
  <c r="K2191" i="1"/>
  <c r="L2191" i="1"/>
  <c r="M2191" i="1"/>
  <c r="K2192" i="1"/>
  <c r="L2192" i="1"/>
  <c r="M2192" i="1"/>
  <c r="K2193" i="1"/>
  <c r="L2193" i="1"/>
  <c r="M2193" i="1"/>
  <c r="K2194" i="1"/>
  <c r="L2194" i="1"/>
  <c r="M2194" i="1"/>
  <c r="K2195" i="1"/>
  <c r="L2195" i="1"/>
  <c r="M2195" i="1"/>
  <c r="K2196" i="1"/>
  <c r="L2196" i="1"/>
  <c r="M2196" i="1"/>
  <c r="K2197" i="1"/>
  <c r="L2197" i="1"/>
  <c r="M2197" i="1"/>
  <c r="K2198" i="1"/>
  <c r="L2198" i="1"/>
  <c r="M2198" i="1"/>
  <c r="K2199" i="1"/>
  <c r="L2199" i="1"/>
  <c r="M2199" i="1"/>
  <c r="K2200" i="1"/>
  <c r="L2200" i="1"/>
  <c r="M2200" i="1"/>
  <c r="K2201" i="1"/>
  <c r="L2201" i="1"/>
  <c r="M2201" i="1"/>
  <c r="K2202" i="1"/>
  <c r="L2202" i="1"/>
  <c r="M2202" i="1"/>
  <c r="K2203" i="1"/>
  <c r="L2203" i="1"/>
  <c r="M2203" i="1"/>
  <c r="K2204" i="1"/>
  <c r="L2204" i="1"/>
  <c r="M2204" i="1"/>
  <c r="K2205" i="1"/>
  <c r="L2205" i="1"/>
  <c r="M2205" i="1"/>
  <c r="K2206" i="1"/>
  <c r="L2206" i="1"/>
  <c r="M2206" i="1"/>
  <c r="K2207" i="1"/>
  <c r="L2207" i="1"/>
  <c r="M2207" i="1"/>
  <c r="K2208" i="1"/>
  <c r="L2208" i="1"/>
  <c r="M2208" i="1"/>
  <c r="K2209" i="1"/>
  <c r="L2209" i="1"/>
  <c r="M2209" i="1"/>
  <c r="K2210" i="1"/>
  <c r="L2210" i="1"/>
  <c r="M2210" i="1"/>
  <c r="K2211" i="1"/>
  <c r="L2211" i="1"/>
  <c r="M2211" i="1"/>
  <c r="K2212" i="1"/>
  <c r="L2212" i="1"/>
  <c r="M2212" i="1"/>
  <c r="K2213" i="1"/>
  <c r="L2213" i="1"/>
  <c r="M2213" i="1"/>
  <c r="K2214" i="1"/>
  <c r="L2214" i="1"/>
  <c r="M2214" i="1"/>
  <c r="K2215" i="1"/>
  <c r="L2215" i="1"/>
  <c r="M2215" i="1"/>
  <c r="K2216" i="1"/>
  <c r="L2216" i="1"/>
  <c r="M2216" i="1"/>
  <c r="K2217" i="1"/>
  <c r="L2217" i="1"/>
  <c r="M2217" i="1"/>
  <c r="K2218" i="1"/>
  <c r="L2218" i="1"/>
  <c r="M2218" i="1"/>
  <c r="K2219" i="1"/>
  <c r="L2219" i="1"/>
  <c r="M2219" i="1"/>
  <c r="K2220" i="1"/>
  <c r="L2220" i="1"/>
  <c r="M2220" i="1"/>
  <c r="K2221" i="1"/>
  <c r="L2221" i="1"/>
  <c r="M2221" i="1"/>
  <c r="K2222" i="1"/>
  <c r="L2222" i="1"/>
  <c r="M2222" i="1"/>
  <c r="K2223" i="1"/>
  <c r="L2223" i="1"/>
  <c r="M2223" i="1"/>
  <c r="K2224" i="1"/>
  <c r="L2224" i="1"/>
  <c r="M2224" i="1"/>
  <c r="K2225" i="1"/>
  <c r="L2225" i="1"/>
  <c r="M2225" i="1"/>
  <c r="K2226" i="1"/>
  <c r="L2226" i="1"/>
  <c r="M2226" i="1"/>
  <c r="K2227" i="1"/>
  <c r="L2227" i="1"/>
  <c r="M2227" i="1"/>
  <c r="K2228" i="1"/>
  <c r="L2228" i="1"/>
  <c r="M2228" i="1"/>
  <c r="K2229" i="1"/>
  <c r="L2229" i="1"/>
  <c r="M2229" i="1"/>
  <c r="K2230" i="1"/>
  <c r="L2230" i="1"/>
  <c r="M2230" i="1"/>
  <c r="K2231" i="1"/>
  <c r="L2231" i="1"/>
  <c r="M2231" i="1"/>
  <c r="K2232" i="1"/>
  <c r="L2232" i="1"/>
  <c r="M2232" i="1"/>
  <c r="K2233" i="1"/>
  <c r="L2233" i="1"/>
  <c r="M2233" i="1"/>
  <c r="K2234" i="1"/>
  <c r="L2234" i="1"/>
  <c r="M2234" i="1"/>
  <c r="K2235" i="1"/>
  <c r="L2235" i="1"/>
  <c r="M2235" i="1"/>
  <c r="K2236" i="1"/>
  <c r="L2236" i="1"/>
  <c r="M2236" i="1"/>
  <c r="K2237" i="1"/>
  <c r="L2237" i="1"/>
  <c r="M2237" i="1"/>
  <c r="K2238" i="1"/>
  <c r="L2238" i="1"/>
  <c r="M2238" i="1"/>
  <c r="K2239" i="1"/>
  <c r="L2239" i="1"/>
  <c r="M2239" i="1"/>
  <c r="K2240" i="1"/>
  <c r="L2240" i="1"/>
  <c r="M2240" i="1"/>
  <c r="K2241" i="1"/>
  <c r="L2241" i="1"/>
  <c r="M2241" i="1"/>
  <c r="K2242" i="1"/>
  <c r="L2242" i="1"/>
  <c r="M2242" i="1"/>
  <c r="K2243" i="1"/>
  <c r="L2243" i="1"/>
  <c r="M2243" i="1"/>
  <c r="K2244" i="1"/>
  <c r="L2244" i="1"/>
  <c r="M2244" i="1"/>
  <c r="K2245" i="1"/>
  <c r="L2245" i="1"/>
  <c r="M2245" i="1"/>
  <c r="K2246" i="1"/>
  <c r="L2246" i="1"/>
  <c r="M2246" i="1"/>
  <c r="K2247" i="1"/>
  <c r="L2247" i="1"/>
  <c r="M2247" i="1"/>
  <c r="K2248" i="1"/>
  <c r="L2248" i="1"/>
  <c r="M2248" i="1"/>
  <c r="K2249" i="1"/>
  <c r="L2249" i="1"/>
  <c r="M2249" i="1"/>
  <c r="K2250" i="1"/>
  <c r="L2250" i="1"/>
  <c r="M2250" i="1"/>
  <c r="K2251" i="1"/>
  <c r="L2251" i="1"/>
  <c r="M2251" i="1"/>
  <c r="K2252" i="1"/>
  <c r="L2252" i="1"/>
  <c r="M2252" i="1"/>
  <c r="K2253" i="1"/>
  <c r="L2253" i="1"/>
  <c r="M2253" i="1"/>
  <c r="K2254" i="1"/>
  <c r="L2254" i="1"/>
  <c r="M2254" i="1"/>
  <c r="K2255" i="1"/>
  <c r="L2255" i="1"/>
  <c r="M2255" i="1"/>
  <c r="K2256" i="1"/>
  <c r="L2256" i="1"/>
  <c r="M2256" i="1"/>
  <c r="K2257" i="1"/>
  <c r="L2257" i="1"/>
  <c r="M2257" i="1"/>
  <c r="K2258" i="1"/>
  <c r="L2258" i="1"/>
  <c r="M2258" i="1"/>
  <c r="K2259" i="1"/>
  <c r="L2259" i="1"/>
  <c r="M2259" i="1"/>
  <c r="K2260" i="1"/>
  <c r="L2260" i="1"/>
  <c r="M2260" i="1"/>
  <c r="K2261" i="1"/>
  <c r="L2261" i="1"/>
  <c r="M2261" i="1"/>
  <c r="K2262" i="1"/>
  <c r="L2262" i="1"/>
  <c r="M2262" i="1"/>
  <c r="K2263" i="1"/>
  <c r="L2263" i="1"/>
  <c r="M2263" i="1"/>
  <c r="K2264" i="1"/>
  <c r="L2264" i="1"/>
  <c r="M2264" i="1"/>
  <c r="K2265" i="1"/>
  <c r="L2265" i="1"/>
  <c r="M2265" i="1"/>
  <c r="K2266" i="1"/>
  <c r="L2266" i="1"/>
  <c r="M2266" i="1"/>
  <c r="K2267" i="1"/>
  <c r="L2267" i="1"/>
  <c r="M2267" i="1"/>
  <c r="K2268" i="1"/>
  <c r="L2268" i="1"/>
  <c r="M2268" i="1"/>
  <c r="K2269" i="1"/>
  <c r="L2269" i="1"/>
  <c r="M2269" i="1"/>
  <c r="K2270" i="1"/>
  <c r="L2270" i="1"/>
  <c r="M2270" i="1"/>
  <c r="K2271" i="1"/>
  <c r="L2271" i="1"/>
  <c r="M2271" i="1"/>
  <c r="K2272" i="1"/>
  <c r="L2272" i="1"/>
  <c r="M2272" i="1"/>
  <c r="K2273" i="1"/>
  <c r="L2273" i="1"/>
  <c r="M2273" i="1"/>
  <c r="K2274" i="1"/>
  <c r="L2274" i="1"/>
  <c r="M2274" i="1"/>
  <c r="K2275" i="1"/>
  <c r="L2275" i="1"/>
  <c r="M2275" i="1"/>
  <c r="K2276" i="1"/>
  <c r="L2276" i="1"/>
  <c r="M2276" i="1"/>
  <c r="K2277" i="1"/>
  <c r="L2277" i="1"/>
  <c r="M2277" i="1"/>
  <c r="K2278" i="1"/>
  <c r="L2278" i="1"/>
  <c r="M2278" i="1"/>
  <c r="K2279" i="1"/>
  <c r="L2279" i="1"/>
  <c r="M2279" i="1"/>
  <c r="J2280" i="1"/>
  <c r="K2280" i="1"/>
  <c r="L2280" i="1"/>
  <c r="M2280" i="1"/>
  <c r="K2281" i="1"/>
  <c r="L2281" i="1"/>
  <c r="M2281" i="1"/>
  <c r="K2282" i="1"/>
  <c r="L2282" i="1"/>
  <c r="M2282" i="1"/>
  <c r="K2283" i="1"/>
  <c r="L2283" i="1"/>
  <c r="M2283" i="1"/>
  <c r="K2284" i="1"/>
  <c r="L2284" i="1"/>
  <c r="M2284" i="1"/>
  <c r="K2285" i="1"/>
  <c r="L2285" i="1"/>
  <c r="M2285" i="1"/>
  <c r="K2286" i="1"/>
  <c r="L2286" i="1"/>
  <c r="M2286" i="1"/>
  <c r="K2287" i="1"/>
  <c r="L2287" i="1"/>
  <c r="M2287" i="1"/>
  <c r="K2288" i="1"/>
  <c r="L2288" i="1"/>
  <c r="M2288" i="1"/>
  <c r="K2289" i="1"/>
  <c r="L2289" i="1"/>
  <c r="M2289" i="1"/>
  <c r="K2290" i="1"/>
  <c r="L2290" i="1"/>
  <c r="M2290" i="1"/>
  <c r="K2291" i="1"/>
  <c r="L2291" i="1"/>
  <c r="M2291" i="1"/>
  <c r="K2292" i="1"/>
  <c r="L2292" i="1"/>
  <c r="M2292" i="1"/>
  <c r="K2293" i="1"/>
  <c r="L2293" i="1"/>
  <c r="M2293" i="1"/>
  <c r="K2294" i="1"/>
  <c r="L2294" i="1"/>
  <c r="M2294" i="1"/>
  <c r="K2295" i="1"/>
  <c r="L2295" i="1"/>
  <c r="M2295" i="1"/>
  <c r="K2296" i="1"/>
  <c r="L2296" i="1"/>
  <c r="M2296" i="1"/>
  <c r="K2297" i="1"/>
  <c r="L2297" i="1"/>
  <c r="M2297" i="1"/>
  <c r="K2298" i="1"/>
  <c r="L2298" i="1"/>
  <c r="M2298" i="1"/>
  <c r="K2299" i="1"/>
  <c r="L2299" i="1"/>
  <c r="M2299" i="1"/>
  <c r="K2300" i="1"/>
  <c r="L2300" i="1"/>
  <c r="M2300" i="1"/>
  <c r="K2301" i="1"/>
  <c r="L2301" i="1"/>
  <c r="M2301" i="1"/>
  <c r="K2302" i="1"/>
  <c r="L2302" i="1"/>
  <c r="M2302" i="1"/>
  <c r="K2303" i="1"/>
  <c r="L2303" i="1"/>
  <c r="M2303" i="1"/>
  <c r="K2304" i="1"/>
  <c r="L2304" i="1"/>
  <c r="M2304" i="1"/>
  <c r="K2305" i="1"/>
  <c r="L2305" i="1"/>
  <c r="M2305" i="1"/>
  <c r="K2306" i="1"/>
  <c r="L2306" i="1"/>
  <c r="M2306" i="1"/>
  <c r="K2307" i="1"/>
  <c r="L2307" i="1"/>
  <c r="M2307" i="1"/>
  <c r="K2308" i="1"/>
  <c r="L2308" i="1"/>
  <c r="M2308" i="1"/>
  <c r="K2309" i="1"/>
  <c r="L2309" i="1"/>
  <c r="M2309" i="1"/>
  <c r="K2310" i="1"/>
  <c r="L2310" i="1"/>
  <c r="M2310" i="1"/>
  <c r="K2311" i="1"/>
  <c r="L2311" i="1"/>
  <c r="M2311" i="1"/>
  <c r="K2312" i="1"/>
  <c r="L2312" i="1"/>
  <c r="M2312" i="1"/>
  <c r="K2313" i="1"/>
  <c r="L2313" i="1"/>
  <c r="M2313" i="1"/>
  <c r="K2314" i="1"/>
  <c r="L2314" i="1"/>
  <c r="M2314" i="1"/>
  <c r="K2315" i="1"/>
  <c r="L2315" i="1"/>
  <c r="M2315" i="1"/>
  <c r="K2316" i="1"/>
  <c r="L2316" i="1"/>
  <c r="M2316" i="1"/>
  <c r="K2317" i="1"/>
  <c r="L2317" i="1"/>
  <c r="M2317" i="1"/>
  <c r="K2318" i="1"/>
  <c r="L2318" i="1"/>
  <c r="M2318" i="1"/>
  <c r="K2319" i="1"/>
  <c r="L2319" i="1"/>
  <c r="M2319" i="1"/>
  <c r="K2320" i="1"/>
  <c r="L2320" i="1"/>
  <c r="M2320" i="1"/>
  <c r="K2321" i="1"/>
  <c r="L2321" i="1"/>
  <c r="M2321" i="1"/>
  <c r="K2322" i="1"/>
  <c r="L2322" i="1"/>
  <c r="M2322" i="1"/>
  <c r="K2323" i="1"/>
  <c r="L2323" i="1"/>
  <c r="M2323" i="1"/>
  <c r="K2324" i="1"/>
  <c r="L2324" i="1"/>
  <c r="M2324" i="1"/>
  <c r="K2325" i="1"/>
  <c r="L2325" i="1"/>
  <c r="M2325" i="1"/>
  <c r="K2326" i="1"/>
  <c r="L2326" i="1"/>
  <c r="M2326" i="1"/>
  <c r="K2327" i="1"/>
  <c r="L2327" i="1"/>
  <c r="M2327" i="1"/>
  <c r="K2328" i="1"/>
  <c r="L2328" i="1"/>
  <c r="M2328" i="1"/>
  <c r="K2329" i="1"/>
  <c r="L2329" i="1"/>
  <c r="M2329" i="1"/>
  <c r="K2330" i="1"/>
  <c r="L2330" i="1"/>
  <c r="M2330" i="1"/>
  <c r="K2331" i="1"/>
  <c r="L2331" i="1"/>
  <c r="M2331" i="1"/>
  <c r="J2331" i="1" s="1"/>
  <c r="K2332" i="1"/>
  <c r="L2332" i="1"/>
  <c r="M2332" i="1"/>
  <c r="K2333" i="1"/>
  <c r="L2333" i="1"/>
  <c r="M2333" i="1"/>
  <c r="K2334" i="1"/>
  <c r="L2334" i="1"/>
  <c r="M2334" i="1"/>
  <c r="K2335" i="1"/>
  <c r="L2335" i="1"/>
  <c r="M2335" i="1"/>
  <c r="K2336" i="1"/>
  <c r="L2336" i="1"/>
  <c r="M2336" i="1"/>
  <c r="K2337" i="1"/>
  <c r="L2337" i="1"/>
  <c r="M2337" i="1"/>
  <c r="K2338" i="1"/>
  <c r="L2338" i="1"/>
  <c r="M2338" i="1"/>
  <c r="K2339" i="1"/>
  <c r="L2339" i="1"/>
  <c r="M2339" i="1"/>
  <c r="J2339" i="1" s="1"/>
  <c r="K2340" i="1"/>
  <c r="L2340" i="1"/>
  <c r="M2340" i="1"/>
  <c r="K2341" i="1"/>
  <c r="L2341" i="1"/>
  <c r="M2341" i="1"/>
  <c r="K2342" i="1"/>
  <c r="L2342" i="1"/>
  <c r="M2342" i="1"/>
  <c r="K2343" i="1"/>
  <c r="L2343" i="1"/>
  <c r="M2343" i="1"/>
  <c r="K2344" i="1"/>
  <c r="L2344" i="1"/>
  <c r="M2344" i="1"/>
  <c r="K2345" i="1"/>
  <c r="L2345" i="1"/>
  <c r="M2345" i="1"/>
  <c r="K2346" i="1"/>
  <c r="L2346" i="1"/>
  <c r="M2346" i="1"/>
  <c r="K2347" i="1"/>
  <c r="L2347" i="1"/>
  <c r="M2347" i="1"/>
  <c r="K2348" i="1"/>
  <c r="L2348" i="1"/>
  <c r="M2348" i="1"/>
  <c r="K2349" i="1"/>
  <c r="L2349" i="1"/>
  <c r="M2349" i="1"/>
  <c r="K2350" i="1"/>
  <c r="L2350" i="1"/>
  <c r="M2350" i="1"/>
  <c r="K2351" i="1"/>
  <c r="L2351" i="1"/>
  <c r="M2351" i="1"/>
  <c r="K2352" i="1"/>
  <c r="L2352" i="1"/>
  <c r="M2352" i="1"/>
  <c r="K2353" i="1"/>
  <c r="L2353" i="1"/>
  <c r="M2353" i="1"/>
  <c r="K2354" i="1"/>
  <c r="L2354" i="1"/>
  <c r="M2354" i="1"/>
  <c r="K2355" i="1"/>
  <c r="L2355" i="1"/>
  <c r="M2355" i="1"/>
  <c r="K2356" i="1"/>
  <c r="L2356" i="1"/>
  <c r="M2356" i="1"/>
  <c r="K2357" i="1"/>
  <c r="L2357" i="1"/>
  <c r="M2357" i="1"/>
  <c r="K2358" i="1"/>
  <c r="L2358" i="1"/>
  <c r="M2358" i="1"/>
  <c r="K2359" i="1"/>
  <c r="L2359" i="1"/>
  <c r="M2359" i="1"/>
  <c r="K2360" i="1"/>
  <c r="L2360" i="1"/>
  <c r="M2360" i="1"/>
  <c r="K2361" i="1"/>
  <c r="L2361" i="1"/>
  <c r="M2361" i="1"/>
  <c r="K2362" i="1"/>
  <c r="L2362" i="1"/>
  <c r="M2362" i="1"/>
  <c r="K2363" i="1"/>
  <c r="L2363" i="1"/>
  <c r="M2363" i="1"/>
  <c r="K2364" i="1"/>
  <c r="L2364" i="1"/>
  <c r="M2364" i="1"/>
  <c r="K2365" i="1"/>
  <c r="L2365" i="1"/>
  <c r="M2365" i="1"/>
  <c r="K2366" i="1"/>
  <c r="L2366" i="1"/>
  <c r="M2366" i="1"/>
  <c r="K2367" i="1"/>
  <c r="L2367" i="1"/>
  <c r="M2367" i="1"/>
  <c r="K2368" i="1"/>
  <c r="L2368" i="1"/>
  <c r="M2368" i="1"/>
  <c r="K2369" i="1"/>
  <c r="L2369" i="1"/>
  <c r="M2369" i="1"/>
  <c r="K2370" i="1"/>
  <c r="L2370" i="1"/>
  <c r="M2370" i="1"/>
  <c r="K2371" i="1"/>
  <c r="L2371" i="1"/>
  <c r="M2371" i="1"/>
  <c r="K2372" i="1"/>
  <c r="L2372" i="1"/>
  <c r="M2372" i="1"/>
  <c r="K2373" i="1"/>
  <c r="L2373" i="1"/>
  <c r="M2373" i="1"/>
  <c r="K2374" i="1"/>
  <c r="L2374" i="1"/>
  <c r="M2374" i="1"/>
  <c r="K2375" i="1"/>
  <c r="L2375" i="1"/>
  <c r="M2375" i="1"/>
  <c r="K2376" i="1"/>
  <c r="L2376" i="1"/>
  <c r="M2376" i="1"/>
  <c r="K2377" i="1"/>
  <c r="L2377" i="1"/>
  <c r="M2377" i="1"/>
  <c r="K2378" i="1"/>
  <c r="L2378" i="1"/>
  <c r="M2378" i="1"/>
  <c r="K2379" i="1"/>
  <c r="L2379" i="1"/>
  <c r="M2379" i="1"/>
  <c r="K2380" i="1"/>
  <c r="L2380" i="1"/>
  <c r="M2380" i="1"/>
  <c r="K2381" i="1"/>
  <c r="L2381" i="1"/>
  <c r="M2381" i="1"/>
  <c r="K2382" i="1"/>
  <c r="L2382" i="1"/>
  <c r="M2382" i="1"/>
  <c r="K2383" i="1"/>
  <c r="L2383" i="1"/>
  <c r="M2383" i="1"/>
  <c r="K2384" i="1"/>
  <c r="L2384" i="1"/>
  <c r="M2384" i="1"/>
  <c r="K2385" i="1"/>
  <c r="L2385" i="1"/>
  <c r="M2385" i="1"/>
  <c r="K2386" i="1"/>
  <c r="L2386" i="1"/>
  <c r="M2386" i="1"/>
  <c r="K2387" i="1"/>
  <c r="L2387" i="1"/>
  <c r="M2387" i="1"/>
  <c r="K2388" i="1"/>
  <c r="L2388" i="1"/>
  <c r="M2388" i="1"/>
  <c r="K2389" i="1"/>
  <c r="L2389" i="1"/>
  <c r="M2389" i="1"/>
  <c r="K2390" i="1"/>
  <c r="L2390" i="1"/>
  <c r="M2390" i="1"/>
  <c r="K2391" i="1"/>
  <c r="L2391" i="1"/>
  <c r="M2391" i="1"/>
  <c r="K2392" i="1"/>
  <c r="L2392" i="1"/>
  <c r="M2392" i="1"/>
  <c r="K2393" i="1"/>
  <c r="L2393" i="1"/>
  <c r="M2393" i="1"/>
  <c r="K2394" i="1"/>
  <c r="L2394" i="1"/>
  <c r="M2394" i="1"/>
  <c r="K2395" i="1"/>
  <c r="L2395" i="1"/>
  <c r="M2395" i="1"/>
  <c r="K2396" i="1"/>
  <c r="L2396" i="1"/>
  <c r="M2396" i="1"/>
  <c r="K2397" i="1"/>
  <c r="L2397" i="1"/>
  <c r="M2397" i="1"/>
  <c r="K2398" i="1"/>
  <c r="L2398" i="1"/>
  <c r="M2398" i="1"/>
  <c r="K2399" i="1"/>
  <c r="L2399" i="1"/>
  <c r="M2399" i="1"/>
  <c r="K2400" i="1"/>
  <c r="L2400" i="1"/>
  <c r="M2400" i="1"/>
  <c r="K2401" i="1"/>
  <c r="L2401" i="1"/>
  <c r="M2401" i="1"/>
  <c r="K2402" i="1"/>
  <c r="L2402" i="1"/>
  <c r="M2402" i="1"/>
  <c r="K2403" i="1"/>
  <c r="L2403" i="1"/>
  <c r="M2403" i="1"/>
  <c r="K2404" i="1"/>
  <c r="L2404" i="1"/>
  <c r="M2404" i="1"/>
  <c r="K2405" i="1"/>
  <c r="L2405" i="1"/>
  <c r="M2405" i="1"/>
  <c r="K2406" i="1"/>
  <c r="L2406" i="1"/>
  <c r="M2406" i="1"/>
  <c r="K2407" i="1"/>
  <c r="L2407" i="1"/>
  <c r="M2407" i="1"/>
  <c r="K2408" i="1"/>
  <c r="L2408" i="1"/>
  <c r="M2408" i="1"/>
  <c r="K2409" i="1"/>
  <c r="L2409" i="1"/>
  <c r="M2409" i="1"/>
  <c r="K2410" i="1"/>
  <c r="L2410" i="1"/>
  <c r="M2410" i="1"/>
  <c r="K2411" i="1"/>
  <c r="L2411" i="1"/>
  <c r="M2411" i="1"/>
  <c r="K2412" i="1"/>
  <c r="L2412" i="1"/>
  <c r="M2412" i="1"/>
  <c r="K2413" i="1"/>
  <c r="L2413" i="1"/>
  <c r="M2413" i="1"/>
  <c r="K2414" i="1"/>
  <c r="L2414" i="1"/>
  <c r="M2414" i="1"/>
  <c r="K2415" i="1"/>
  <c r="L2415" i="1"/>
  <c r="M2415" i="1"/>
  <c r="K2416" i="1"/>
  <c r="L2416" i="1"/>
  <c r="M2416" i="1"/>
  <c r="K2417" i="1"/>
  <c r="L2417" i="1"/>
  <c r="M2417" i="1"/>
  <c r="K2418" i="1"/>
  <c r="L2418" i="1"/>
  <c r="M2418" i="1"/>
  <c r="K2419" i="1"/>
  <c r="L2419" i="1"/>
  <c r="M2419" i="1"/>
  <c r="K2420" i="1"/>
  <c r="L2420" i="1"/>
  <c r="M2420" i="1"/>
  <c r="K2421" i="1"/>
  <c r="L2421" i="1"/>
  <c r="M2421" i="1"/>
  <c r="K2422" i="1"/>
  <c r="L2422" i="1"/>
  <c r="M2422" i="1"/>
  <c r="K2423" i="1"/>
  <c r="L2423" i="1"/>
  <c r="M2423" i="1"/>
  <c r="K2424" i="1"/>
  <c r="L2424" i="1"/>
  <c r="M2424" i="1"/>
  <c r="K2425" i="1"/>
  <c r="L2425" i="1"/>
  <c r="M2425" i="1"/>
  <c r="K2426" i="1"/>
  <c r="L2426" i="1"/>
  <c r="M2426" i="1"/>
  <c r="K2427" i="1"/>
  <c r="L2427" i="1"/>
  <c r="M2427" i="1"/>
  <c r="K2428" i="1"/>
  <c r="L2428" i="1"/>
  <c r="M2428" i="1"/>
  <c r="K2429" i="1"/>
  <c r="L2429" i="1"/>
  <c r="M2429" i="1"/>
  <c r="K2430" i="1"/>
  <c r="L2430" i="1"/>
  <c r="M2430" i="1"/>
  <c r="K2431" i="1"/>
  <c r="L2431" i="1"/>
  <c r="M2431" i="1"/>
  <c r="K2432" i="1"/>
  <c r="L2432" i="1"/>
  <c r="M2432" i="1"/>
  <c r="K2433" i="1"/>
  <c r="L2433" i="1"/>
  <c r="M2433" i="1"/>
  <c r="K2434" i="1"/>
  <c r="L2434" i="1"/>
  <c r="M2434" i="1"/>
  <c r="K2435" i="1"/>
  <c r="L2435" i="1"/>
  <c r="M2435" i="1"/>
  <c r="K2436" i="1"/>
  <c r="L2436" i="1"/>
  <c r="M2436" i="1"/>
  <c r="K2437" i="1"/>
  <c r="L2437" i="1"/>
  <c r="M2437" i="1"/>
  <c r="K2438" i="1"/>
  <c r="L2438" i="1"/>
  <c r="M2438" i="1"/>
  <c r="K2439" i="1"/>
  <c r="L2439" i="1"/>
  <c r="M2439" i="1"/>
  <c r="K2440" i="1"/>
  <c r="L2440" i="1"/>
  <c r="M2440" i="1"/>
  <c r="K2441" i="1"/>
  <c r="L2441" i="1"/>
  <c r="M2441" i="1"/>
  <c r="K2442" i="1"/>
  <c r="L2442" i="1"/>
  <c r="M2442" i="1"/>
  <c r="K2443" i="1"/>
  <c r="L2443" i="1"/>
  <c r="M2443" i="1"/>
  <c r="K2444" i="1"/>
  <c r="L2444" i="1"/>
  <c r="M2444" i="1"/>
  <c r="K2445" i="1"/>
  <c r="L2445" i="1"/>
  <c r="M2445" i="1"/>
  <c r="K2446" i="1"/>
  <c r="L2446" i="1"/>
  <c r="M2446" i="1"/>
  <c r="K2447" i="1"/>
  <c r="L2447" i="1"/>
  <c r="M2447" i="1"/>
  <c r="K2448" i="1"/>
  <c r="L2448" i="1"/>
  <c r="M2448" i="1"/>
  <c r="K2449" i="1"/>
  <c r="L2449" i="1"/>
  <c r="M2449" i="1"/>
  <c r="K2450" i="1"/>
  <c r="L2450" i="1"/>
  <c r="M2450" i="1"/>
  <c r="K2451" i="1"/>
  <c r="L2451" i="1"/>
  <c r="M2451" i="1"/>
  <c r="K2452" i="1"/>
  <c r="L2452" i="1"/>
  <c r="M2452" i="1"/>
  <c r="K2453" i="1"/>
  <c r="L2453" i="1"/>
  <c r="M2453" i="1"/>
  <c r="K2454" i="1"/>
  <c r="L2454" i="1"/>
  <c r="M2454" i="1"/>
  <c r="K2455" i="1"/>
  <c r="L2455" i="1"/>
  <c r="M2455" i="1"/>
  <c r="K2456" i="1"/>
  <c r="L2456" i="1"/>
  <c r="M2456" i="1"/>
  <c r="K2457" i="1"/>
  <c r="L2457" i="1"/>
  <c r="M2457" i="1"/>
  <c r="K2458" i="1"/>
  <c r="L2458" i="1"/>
  <c r="M2458" i="1"/>
  <c r="K2459" i="1"/>
  <c r="L2459" i="1"/>
  <c r="M2459" i="1"/>
  <c r="K2460" i="1"/>
  <c r="L2460" i="1"/>
  <c r="M2460" i="1"/>
  <c r="K2461" i="1"/>
  <c r="L2461" i="1"/>
  <c r="M2461" i="1"/>
  <c r="K2462" i="1"/>
  <c r="L2462" i="1"/>
  <c r="M2462" i="1"/>
  <c r="K2463" i="1"/>
  <c r="L2463" i="1"/>
  <c r="M2463" i="1"/>
  <c r="K2464" i="1"/>
  <c r="L2464" i="1"/>
  <c r="M2464" i="1"/>
  <c r="K2465" i="1"/>
  <c r="L2465" i="1"/>
  <c r="M2465" i="1"/>
  <c r="K2466" i="1"/>
  <c r="L2466" i="1"/>
  <c r="M2466" i="1"/>
  <c r="K2467" i="1"/>
  <c r="L2467" i="1"/>
  <c r="M2467" i="1"/>
  <c r="K2468" i="1"/>
  <c r="L2468" i="1"/>
  <c r="M2468" i="1"/>
  <c r="K2469" i="1"/>
  <c r="L2469" i="1"/>
  <c r="M2469" i="1"/>
  <c r="K2470" i="1"/>
  <c r="L2470" i="1"/>
  <c r="M2470" i="1"/>
  <c r="K2471" i="1"/>
  <c r="L2471" i="1"/>
  <c r="M2471" i="1"/>
  <c r="K2472" i="1"/>
  <c r="L2472" i="1"/>
  <c r="M2472" i="1"/>
  <c r="K2473" i="1"/>
  <c r="L2473" i="1"/>
  <c r="M2473" i="1"/>
  <c r="K2474" i="1"/>
  <c r="L2474" i="1"/>
  <c r="M2474" i="1"/>
  <c r="K2475" i="1"/>
  <c r="L2475" i="1"/>
  <c r="M2475" i="1"/>
  <c r="K2476" i="1"/>
  <c r="L2476" i="1"/>
  <c r="M2476" i="1"/>
  <c r="K2477" i="1"/>
  <c r="L2477" i="1"/>
  <c r="M2477" i="1"/>
  <c r="K2478" i="1"/>
  <c r="L2478" i="1"/>
  <c r="M2478" i="1"/>
  <c r="K2479" i="1"/>
  <c r="L2479" i="1"/>
  <c r="M2479" i="1"/>
  <c r="K2480" i="1"/>
  <c r="L2480" i="1"/>
  <c r="M2480" i="1"/>
  <c r="K2481" i="1"/>
  <c r="L2481" i="1"/>
  <c r="M2481" i="1"/>
  <c r="K2482" i="1"/>
  <c r="L2482" i="1"/>
  <c r="M2482" i="1"/>
  <c r="K2483" i="1"/>
  <c r="L2483" i="1"/>
  <c r="M2483" i="1"/>
  <c r="K2484" i="1"/>
  <c r="L2484" i="1"/>
  <c r="M2484" i="1"/>
  <c r="K2485" i="1"/>
  <c r="L2485" i="1"/>
  <c r="M2485" i="1"/>
  <c r="K2486" i="1"/>
  <c r="L2486" i="1"/>
  <c r="M2486" i="1"/>
  <c r="K2487" i="1"/>
  <c r="L2487" i="1"/>
  <c r="M2487" i="1"/>
  <c r="K2488" i="1"/>
  <c r="L2488" i="1"/>
  <c r="M2488" i="1"/>
  <c r="K2489" i="1"/>
  <c r="L2489" i="1"/>
  <c r="M2489" i="1"/>
  <c r="K2490" i="1"/>
  <c r="L2490" i="1"/>
  <c r="M2490" i="1"/>
  <c r="K2491" i="1"/>
  <c r="L2491" i="1"/>
  <c r="M2491" i="1"/>
  <c r="K2492" i="1"/>
  <c r="L2492" i="1"/>
  <c r="M2492" i="1"/>
  <c r="K2493" i="1"/>
  <c r="L2493" i="1"/>
  <c r="M2493" i="1"/>
  <c r="J2493" i="1" s="1"/>
  <c r="K2494" i="1"/>
  <c r="L2494" i="1"/>
  <c r="M2494" i="1"/>
  <c r="K2495" i="1"/>
  <c r="L2495" i="1"/>
  <c r="M2495" i="1"/>
  <c r="K2496" i="1"/>
  <c r="L2496" i="1"/>
  <c r="M2496" i="1"/>
  <c r="K2497" i="1"/>
  <c r="L2497" i="1"/>
  <c r="M2497" i="1"/>
  <c r="K2498" i="1"/>
  <c r="L2498" i="1"/>
  <c r="M2498" i="1"/>
  <c r="K2499" i="1"/>
  <c r="L2499" i="1"/>
  <c r="M2499" i="1"/>
  <c r="K2500" i="1"/>
  <c r="L2500" i="1"/>
  <c r="M2500" i="1"/>
  <c r="K2501" i="1"/>
  <c r="L2501" i="1"/>
  <c r="M2501" i="1"/>
  <c r="K2502" i="1"/>
  <c r="L2502" i="1"/>
  <c r="M2502" i="1"/>
  <c r="K2503" i="1"/>
  <c r="L2503" i="1"/>
  <c r="M2503" i="1"/>
  <c r="K2504" i="1"/>
  <c r="L2504" i="1"/>
  <c r="M2504" i="1"/>
  <c r="K2505" i="1"/>
  <c r="L2505" i="1"/>
  <c r="M2505" i="1"/>
  <c r="K2506" i="1"/>
  <c r="L2506" i="1"/>
  <c r="M2506" i="1"/>
  <c r="K2507" i="1"/>
  <c r="L2507" i="1"/>
  <c r="M2507" i="1"/>
  <c r="K2508" i="1"/>
  <c r="L2508" i="1"/>
  <c r="M2508" i="1"/>
  <c r="K2509" i="1"/>
  <c r="L2509" i="1"/>
  <c r="M2509" i="1"/>
  <c r="K2510" i="1"/>
  <c r="L2510" i="1"/>
  <c r="M2510" i="1"/>
  <c r="K2511" i="1"/>
  <c r="L2511" i="1"/>
  <c r="M2511" i="1"/>
  <c r="K2512" i="1"/>
  <c r="L2512" i="1"/>
  <c r="M2512" i="1"/>
  <c r="K2513" i="1"/>
  <c r="L2513" i="1"/>
  <c r="M2513" i="1"/>
  <c r="K2514" i="1"/>
  <c r="L2514" i="1"/>
  <c r="M2514" i="1"/>
  <c r="K2515" i="1"/>
  <c r="L2515" i="1"/>
  <c r="M2515" i="1"/>
  <c r="K2516" i="1"/>
  <c r="L2516" i="1"/>
  <c r="M2516" i="1"/>
  <c r="K2517" i="1"/>
  <c r="L2517" i="1"/>
  <c r="M2517" i="1"/>
  <c r="K2518" i="1"/>
  <c r="L2518" i="1"/>
  <c r="M2518" i="1"/>
  <c r="K2519" i="1"/>
  <c r="L2519" i="1"/>
  <c r="M2519" i="1"/>
  <c r="K2520" i="1"/>
  <c r="L2520" i="1"/>
  <c r="M2520" i="1"/>
  <c r="K2521" i="1"/>
  <c r="L2521" i="1"/>
  <c r="M2521" i="1"/>
  <c r="K2522" i="1"/>
  <c r="L2522" i="1"/>
  <c r="M2522" i="1"/>
  <c r="J2523" i="1"/>
  <c r="K2523" i="1"/>
  <c r="L2523" i="1"/>
  <c r="M2523" i="1"/>
  <c r="K2524" i="1"/>
  <c r="L2524" i="1"/>
  <c r="M2524" i="1"/>
  <c r="K2525" i="1"/>
  <c r="L2525" i="1"/>
  <c r="M2525" i="1"/>
  <c r="K2526" i="1"/>
  <c r="L2526" i="1"/>
  <c r="M2526" i="1"/>
  <c r="K2527" i="1"/>
  <c r="L2527" i="1"/>
  <c r="M2527" i="1"/>
  <c r="K2528" i="1"/>
  <c r="L2528" i="1"/>
  <c r="M2528" i="1"/>
  <c r="K2529" i="1"/>
  <c r="L2529" i="1"/>
  <c r="M2529" i="1"/>
  <c r="K2530" i="1"/>
  <c r="L2530" i="1"/>
  <c r="M2530" i="1"/>
  <c r="K2531" i="1"/>
  <c r="L2531" i="1"/>
  <c r="M2531" i="1"/>
  <c r="K2532" i="1"/>
  <c r="L2532" i="1"/>
  <c r="M2532" i="1"/>
  <c r="K2533" i="1"/>
  <c r="L2533" i="1"/>
  <c r="M2533" i="1"/>
  <c r="K2534" i="1"/>
  <c r="L2534" i="1"/>
  <c r="M2534" i="1"/>
  <c r="K2535" i="1"/>
  <c r="L2535" i="1"/>
  <c r="M2535" i="1"/>
  <c r="K2536" i="1"/>
  <c r="L2536" i="1"/>
  <c r="M2536" i="1"/>
  <c r="K2537" i="1"/>
  <c r="L2537" i="1"/>
  <c r="M2537" i="1"/>
  <c r="K2538" i="1"/>
  <c r="L2538" i="1"/>
  <c r="M2538" i="1"/>
  <c r="K2539" i="1"/>
  <c r="L2539" i="1"/>
  <c r="M2539" i="1"/>
  <c r="K2540" i="1"/>
  <c r="L2540" i="1"/>
  <c r="M2540" i="1"/>
  <c r="K2541" i="1"/>
  <c r="L2541" i="1"/>
  <c r="M2541" i="1"/>
  <c r="K2542" i="1"/>
  <c r="L2542" i="1"/>
  <c r="M2542" i="1"/>
  <c r="K2543" i="1"/>
  <c r="L2543" i="1"/>
  <c r="M2543" i="1"/>
  <c r="K2544" i="1"/>
  <c r="L2544" i="1"/>
  <c r="M2544" i="1"/>
  <c r="K2545" i="1"/>
  <c r="L2545" i="1"/>
  <c r="M2545" i="1"/>
  <c r="K2546" i="1"/>
  <c r="L2546" i="1"/>
  <c r="M2546" i="1"/>
  <c r="K2547" i="1"/>
  <c r="L2547" i="1"/>
  <c r="M2547" i="1"/>
  <c r="K2548" i="1"/>
  <c r="L2548" i="1"/>
  <c r="M2548" i="1"/>
  <c r="K2549" i="1"/>
  <c r="L2549" i="1"/>
  <c r="M2549" i="1"/>
  <c r="K2550" i="1"/>
  <c r="L2550" i="1"/>
  <c r="M2550" i="1"/>
  <c r="K2551" i="1"/>
  <c r="L2551" i="1"/>
  <c r="M2551" i="1"/>
  <c r="K2552" i="1"/>
  <c r="L2552" i="1"/>
  <c r="M2552" i="1"/>
  <c r="K2553" i="1"/>
  <c r="L2553" i="1"/>
  <c r="M2553" i="1"/>
  <c r="J2553" i="1" s="1"/>
  <c r="K2554" i="1"/>
  <c r="L2554" i="1"/>
  <c r="M2554" i="1"/>
  <c r="K2555" i="1"/>
  <c r="L2555" i="1"/>
  <c r="M2555" i="1"/>
  <c r="K2556" i="1"/>
  <c r="L2556" i="1"/>
  <c r="M2556" i="1"/>
  <c r="K2557" i="1"/>
  <c r="L2557" i="1"/>
  <c r="M2557" i="1"/>
  <c r="K2558" i="1"/>
  <c r="L2558" i="1"/>
  <c r="M2558" i="1"/>
  <c r="K2559" i="1"/>
  <c r="L2559" i="1"/>
  <c r="M2559" i="1"/>
  <c r="K2560" i="1"/>
  <c r="L2560" i="1"/>
  <c r="M2560" i="1"/>
  <c r="K2561" i="1"/>
  <c r="L2561" i="1"/>
  <c r="M2561" i="1"/>
  <c r="K2562" i="1"/>
  <c r="L2562" i="1"/>
  <c r="M2562" i="1"/>
  <c r="K2563" i="1"/>
  <c r="L2563" i="1"/>
  <c r="M2563" i="1"/>
  <c r="K2564" i="1"/>
  <c r="L2564" i="1"/>
  <c r="M2564" i="1"/>
  <c r="K2565" i="1"/>
  <c r="L2565" i="1"/>
  <c r="M2565" i="1"/>
  <c r="K2566" i="1"/>
  <c r="L2566" i="1"/>
  <c r="M2566" i="1"/>
  <c r="K2567" i="1"/>
  <c r="L2567" i="1"/>
  <c r="M2567" i="1"/>
  <c r="K2568" i="1"/>
  <c r="L2568" i="1"/>
  <c r="M2568" i="1"/>
  <c r="K2569" i="1"/>
  <c r="L2569" i="1"/>
  <c r="M2569" i="1"/>
  <c r="K2570" i="1"/>
  <c r="L2570" i="1"/>
  <c r="M2570" i="1"/>
  <c r="K2571" i="1"/>
  <c r="L2571" i="1"/>
  <c r="M2571" i="1"/>
  <c r="J2572" i="1"/>
  <c r="K2572" i="1"/>
  <c r="L2572" i="1"/>
  <c r="M2572" i="1"/>
  <c r="K2573" i="1"/>
  <c r="L2573" i="1"/>
  <c r="M2573" i="1"/>
  <c r="K2574" i="1"/>
  <c r="L2574" i="1"/>
  <c r="M2574" i="1"/>
  <c r="K2575" i="1"/>
  <c r="L2575" i="1"/>
  <c r="M2575" i="1"/>
  <c r="K2576" i="1"/>
  <c r="L2576" i="1"/>
  <c r="M2576" i="1"/>
  <c r="K2577" i="1"/>
  <c r="L2577" i="1"/>
  <c r="M2577" i="1"/>
  <c r="K2578" i="1"/>
  <c r="L2578" i="1"/>
  <c r="M2578" i="1"/>
  <c r="K2579" i="1"/>
  <c r="L2579" i="1"/>
  <c r="M2579" i="1"/>
  <c r="K2580" i="1"/>
  <c r="L2580" i="1"/>
  <c r="M2580" i="1"/>
  <c r="K2581" i="1"/>
  <c r="L2581" i="1"/>
  <c r="M2581" i="1"/>
  <c r="K2582" i="1"/>
  <c r="L2582" i="1"/>
  <c r="M2582" i="1"/>
  <c r="K2583" i="1"/>
  <c r="L2583" i="1"/>
  <c r="M2583" i="1"/>
  <c r="K2584" i="1"/>
  <c r="L2584" i="1"/>
  <c r="M2584" i="1"/>
  <c r="K2585" i="1"/>
  <c r="L2585" i="1"/>
  <c r="M2585" i="1"/>
  <c r="K2586" i="1"/>
  <c r="L2586" i="1"/>
  <c r="M2586" i="1"/>
  <c r="K2587" i="1"/>
  <c r="L2587" i="1"/>
  <c r="M2587" i="1"/>
  <c r="K2588" i="1"/>
  <c r="L2588" i="1"/>
  <c r="M2588" i="1"/>
  <c r="K2589" i="1"/>
  <c r="L2589" i="1"/>
  <c r="M2589" i="1"/>
  <c r="K2590" i="1"/>
  <c r="L2590" i="1"/>
  <c r="M2590" i="1"/>
  <c r="K2591" i="1"/>
  <c r="L2591" i="1"/>
  <c r="M2591" i="1"/>
  <c r="K2592" i="1"/>
  <c r="L2592" i="1"/>
  <c r="M2592" i="1"/>
  <c r="K2593" i="1"/>
  <c r="L2593" i="1"/>
  <c r="M2593" i="1"/>
  <c r="K2594" i="1"/>
  <c r="L2594" i="1"/>
  <c r="M2594" i="1"/>
  <c r="K2595" i="1"/>
  <c r="L2595" i="1"/>
  <c r="M2595" i="1"/>
  <c r="K2596" i="1"/>
  <c r="L2596" i="1"/>
  <c r="M2596" i="1"/>
  <c r="K2597" i="1"/>
  <c r="L2597" i="1"/>
  <c r="M2597" i="1"/>
  <c r="K2598" i="1"/>
  <c r="L2598" i="1"/>
  <c r="M2598" i="1"/>
  <c r="K2599" i="1"/>
  <c r="L2599" i="1"/>
  <c r="M2599" i="1"/>
  <c r="K2600" i="1"/>
  <c r="L2600" i="1"/>
  <c r="M2600" i="1"/>
  <c r="K2601" i="1"/>
  <c r="L2601" i="1"/>
  <c r="M2601" i="1"/>
  <c r="K2602" i="1"/>
  <c r="L2602" i="1"/>
  <c r="M2602" i="1"/>
  <c r="K2603" i="1"/>
  <c r="L2603" i="1"/>
  <c r="M2603" i="1"/>
  <c r="K2604" i="1"/>
  <c r="L2604" i="1"/>
  <c r="M2604" i="1"/>
  <c r="K2605" i="1"/>
  <c r="L2605" i="1"/>
  <c r="M2605" i="1"/>
  <c r="K2606" i="1"/>
  <c r="L2606" i="1"/>
  <c r="M2606" i="1"/>
  <c r="K2607" i="1"/>
  <c r="L2607" i="1"/>
  <c r="M2607" i="1"/>
  <c r="K2608" i="1"/>
  <c r="L2608" i="1"/>
  <c r="M2608" i="1"/>
  <c r="K2609" i="1"/>
  <c r="L2609" i="1"/>
  <c r="M2609" i="1"/>
  <c r="K2610" i="1"/>
  <c r="L2610" i="1"/>
  <c r="M2610" i="1"/>
  <c r="K2611" i="1"/>
  <c r="L2611" i="1"/>
  <c r="M2611" i="1"/>
  <c r="K2612" i="1"/>
  <c r="L2612" i="1"/>
  <c r="M2612" i="1"/>
  <c r="K2613" i="1"/>
  <c r="L2613" i="1"/>
  <c r="M2613" i="1"/>
  <c r="K2614" i="1"/>
  <c r="L2614" i="1"/>
  <c r="M2614" i="1"/>
  <c r="K2615" i="1"/>
  <c r="J2615" i="1" s="1"/>
  <c r="L2615" i="1"/>
  <c r="M2615" i="1"/>
  <c r="K2616" i="1"/>
  <c r="L2616" i="1"/>
  <c r="M2616" i="1"/>
  <c r="J2617" i="1"/>
  <c r="K2617" i="1"/>
  <c r="L2617" i="1"/>
  <c r="M2617" i="1"/>
  <c r="K2618" i="1"/>
  <c r="L2618" i="1"/>
  <c r="M2618" i="1"/>
  <c r="K2619" i="1"/>
  <c r="L2619" i="1"/>
  <c r="M2619" i="1"/>
  <c r="J2619" i="1" s="1"/>
  <c r="K2620" i="1"/>
  <c r="L2620" i="1"/>
  <c r="M2620" i="1"/>
  <c r="K2621" i="1"/>
  <c r="L2621" i="1"/>
  <c r="M2621" i="1"/>
  <c r="K2622" i="1"/>
  <c r="L2622" i="1"/>
  <c r="M2622" i="1"/>
  <c r="K2623" i="1"/>
  <c r="L2623" i="1"/>
  <c r="M2623" i="1"/>
  <c r="K2624" i="1"/>
  <c r="L2624" i="1"/>
  <c r="M2624" i="1"/>
  <c r="K2625" i="1"/>
  <c r="L2625" i="1"/>
  <c r="M2625" i="1"/>
  <c r="K2626" i="1"/>
  <c r="L2626" i="1"/>
  <c r="M2626" i="1"/>
  <c r="K2627" i="1"/>
  <c r="L2627" i="1"/>
  <c r="M2627" i="1"/>
  <c r="K2628" i="1"/>
  <c r="L2628" i="1"/>
  <c r="M2628" i="1"/>
  <c r="K2629" i="1"/>
  <c r="L2629" i="1"/>
  <c r="M2629" i="1"/>
  <c r="K2630" i="1"/>
  <c r="L2630" i="1"/>
  <c r="M2630" i="1"/>
  <c r="K2631" i="1"/>
  <c r="L2631" i="1"/>
  <c r="M2631" i="1"/>
  <c r="K2632" i="1"/>
  <c r="L2632" i="1"/>
  <c r="M2632" i="1"/>
  <c r="K2633" i="1"/>
  <c r="L2633" i="1"/>
  <c r="M2633" i="1"/>
  <c r="J2633" i="1" s="1"/>
  <c r="K2634" i="1"/>
  <c r="L2634" i="1"/>
  <c r="M2634" i="1"/>
  <c r="K2635" i="1"/>
  <c r="L2635" i="1"/>
  <c r="M2635" i="1"/>
  <c r="K2636" i="1"/>
  <c r="L2636" i="1"/>
  <c r="M2636" i="1"/>
  <c r="K2637" i="1"/>
  <c r="L2637" i="1"/>
  <c r="M2637" i="1"/>
  <c r="K2638" i="1"/>
  <c r="L2638" i="1"/>
  <c r="M2638" i="1"/>
  <c r="K2639" i="1"/>
  <c r="L2639" i="1"/>
  <c r="M2639" i="1"/>
  <c r="J2639" i="1" s="1"/>
  <c r="K2640" i="1"/>
  <c r="L2640" i="1"/>
  <c r="M2640" i="1"/>
  <c r="K2641" i="1"/>
  <c r="L2641" i="1"/>
  <c r="M2641" i="1"/>
  <c r="K2642" i="1"/>
  <c r="L2642" i="1"/>
  <c r="M2642" i="1"/>
  <c r="K2643" i="1"/>
  <c r="L2643" i="1"/>
  <c r="M2643" i="1"/>
  <c r="K2644" i="1"/>
  <c r="L2644" i="1"/>
  <c r="M2644" i="1"/>
  <c r="K2645" i="1"/>
  <c r="L2645" i="1"/>
  <c r="M2645" i="1"/>
  <c r="K2646" i="1"/>
  <c r="L2646" i="1"/>
  <c r="M2646" i="1"/>
  <c r="K2647" i="1"/>
  <c r="L2647" i="1"/>
  <c r="M2647" i="1"/>
  <c r="K2648" i="1"/>
  <c r="L2648" i="1"/>
  <c r="M2648" i="1"/>
  <c r="K2649" i="1"/>
  <c r="L2649" i="1"/>
  <c r="M2649" i="1"/>
  <c r="K2650" i="1"/>
  <c r="L2650" i="1"/>
  <c r="M2650" i="1"/>
  <c r="K2651" i="1"/>
  <c r="L2651" i="1"/>
  <c r="M2651" i="1"/>
  <c r="K2652" i="1"/>
  <c r="L2652" i="1"/>
  <c r="M2652" i="1"/>
  <c r="J2652" i="1" s="1"/>
  <c r="K2653" i="1"/>
  <c r="L2653" i="1"/>
  <c r="M2653" i="1"/>
  <c r="K2654" i="1"/>
  <c r="L2654" i="1"/>
  <c r="M2654" i="1"/>
  <c r="K2655" i="1"/>
  <c r="L2655" i="1"/>
  <c r="M2655" i="1"/>
  <c r="K2656" i="1"/>
  <c r="L2656" i="1"/>
  <c r="M2656" i="1"/>
  <c r="K2657" i="1"/>
  <c r="L2657" i="1"/>
  <c r="M2657" i="1"/>
  <c r="K2658" i="1"/>
  <c r="L2658" i="1"/>
  <c r="M2658" i="1"/>
  <c r="K2659" i="1"/>
  <c r="L2659" i="1"/>
  <c r="M2659" i="1"/>
  <c r="K2660" i="1"/>
  <c r="L2660" i="1"/>
  <c r="M2660" i="1"/>
  <c r="K2661" i="1"/>
  <c r="L2661" i="1"/>
  <c r="M2661" i="1"/>
  <c r="K2662" i="1"/>
  <c r="L2662" i="1"/>
  <c r="M2662" i="1"/>
  <c r="K2663" i="1"/>
  <c r="L2663" i="1"/>
  <c r="M2663" i="1"/>
  <c r="K2664" i="1"/>
  <c r="L2664" i="1"/>
  <c r="M2664" i="1"/>
  <c r="K2665" i="1"/>
  <c r="L2665" i="1"/>
  <c r="M2665" i="1"/>
  <c r="K2666" i="1"/>
  <c r="L2666" i="1"/>
  <c r="M2666" i="1"/>
  <c r="K2667" i="1"/>
  <c r="L2667" i="1"/>
  <c r="M2667" i="1"/>
  <c r="J2667" i="1" s="1"/>
  <c r="K2668" i="1"/>
  <c r="L2668" i="1"/>
  <c r="M2668" i="1"/>
  <c r="K2669" i="1"/>
  <c r="L2669" i="1"/>
  <c r="M2669" i="1"/>
  <c r="K2670" i="1"/>
  <c r="L2670" i="1"/>
  <c r="M2670" i="1"/>
  <c r="K2671" i="1"/>
  <c r="L2671" i="1"/>
  <c r="M2671" i="1"/>
  <c r="K2672" i="1"/>
  <c r="L2672" i="1"/>
  <c r="M2672" i="1"/>
  <c r="K2673" i="1"/>
  <c r="L2673" i="1"/>
  <c r="M2673" i="1"/>
  <c r="K2674" i="1"/>
  <c r="L2674" i="1"/>
  <c r="M2674" i="1"/>
  <c r="K2675" i="1"/>
  <c r="L2675" i="1"/>
  <c r="M2675" i="1"/>
  <c r="K2676" i="1"/>
  <c r="L2676" i="1"/>
  <c r="M2676" i="1"/>
  <c r="K2677" i="1"/>
  <c r="L2677" i="1"/>
  <c r="M2677" i="1"/>
  <c r="K2678" i="1"/>
  <c r="L2678" i="1"/>
  <c r="M2678" i="1"/>
  <c r="K2679" i="1"/>
  <c r="L2679" i="1"/>
  <c r="M2679" i="1"/>
  <c r="K2680" i="1"/>
  <c r="L2680" i="1"/>
  <c r="M2680" i="1"/>
  <c r="K2681" i="1"/>
  <c r="L2681" i="1"/>
  <c r="M2681" i="1"/>
  <c r="K2682" i="1"/>
  <c r="L2682" i="1"/>
  <c r="M2682" i="1"/>
  <c r="K2683" i="1"/>
  <c r="L2683" i="1"/>
  <c r="M2683" i="1"/>
  <c r="K2684" i="1"/>
  <c r="L2684" i="1"/>
  <c r="M2684" i="1"/>
  <c r="K2685" i="1"/>
  <c r="L2685" i="1"/>
  <c r="M2685" i="1"/>
  <c r="K2686" i="1"/>
  <c r="L2686" i="1"/>
  <c r="M2686" i="1"/>
  <c r="K2687" i="1"/>
  <c r="L2687" i="1"/>
  <c r="M2687" i="1"/>
  <c r="K2688" i="1"/>
  <c r="L2688" i="1"/>
  <c r="M2688" i="1"/>
  <c r="K2689" i="1"/>
  <c r="L2689" i="1"/>
  <c r="M2689" i="1"/>
  <c r="K2690" i="1"/>
  <c r="L2690" i="1"/>
  <c r="M2690" i="1"/>
  <c r="K2691" i="1"/>
  <c r="L2691" i="1"/>
  <c r="M2691" i="1"/>
  <c r="K2692" i="1"/>
  <c r="L2692" i="1"/>
  <c r="M2692" i="1"/>
  <c r="K2693" i="1"/>
  <c r="L2693" i="1"/>
  <c r="M2693" i="1"/>
  <c r="K2694" i="1"/>
  <c r="L2694" i="1"/>
  <c r="M2694" i="1"/>
  <c r="K2695" i="1"/>
  <c r="L2695" i="1"/>
  <c r="M2695" i="1"/>
  <c r="K2696" i="1"/>
  <c r="L2696" i="1"/>
  <c r="M2696" i="1"/>
  <c r="K2697" i="1"/>
  <c r="L2697" i="1"/>
  <c r="M2697" i="1"/>
  <c r="K2698" i="1"/>
  <c r="L2698" i="1"/>
  <c r="M2698" i="1"/>
  <c r="K2699" i="1"/>
  <c r="L2699" i="1"/>
  <c r="M2699" i="1"/>
  <c r="J2700" i="1"/>
  <c r="K2700" i="1"/>
  <c r="L2700" i="1"/>
  <c r="M2700" i="1"/>
  <c r="K2701" i="1"/>
  <c r="L2701" i="1"/>
  <c r="M2701" i="1"/>
  <c r="K2702" i="1"/>
  <c r="L2702" i="1"/>
  <c r="J2702" i="1" s="1"/>
  <c r="M2702" i="1"/>
  <c r="K2703" i="1"/>
  <c r="L2703" i="1"/>
  <c r="M2703" i="1"/>
  <c r="K2704" i="1"/>
  <c r="L2704" i="1"/>
  <c r="M2704" i="1"/>
  <c r="K2705" i="1"/>
  <c r="L2705" i="1"/>
  <c r="M2705" i="1"/>
  <c r="K2706" i="1"/>
  <c r="L2706" i="1"/>
  <c r="M2706" i="1"/>
  <c r="K2707" i="1"/>
  <c r="L2707" i="1"/>
  <c r="M2707" i="1"/>
  <c r="K2708" i="1"/>
  <c r="L2708" i="1"/>
  <c r="M2708" i="1"/>
  <c r="K2709" i="1"/>
  <c r="L2709" i="1"/>
  <c r="M2709" i="1"/>
  <c r="K2710" i="1"/>
  <c r="L2710" i="1"/>
  <c r="M2710" i="1"/>
  <c r="K2711" i="1"/>
  <c r="L2711" i="1"/>
  <c r="M2711" i="1"/>
  <c r="K2712" i="1"/>
  <c r="L2712" i="1"/>
  <c r="M2712" i="1"/>
  <c r="K2713" i="1"/>
  <c r="L2713" i="1"/>
  <c r="M2713" i="1"/>
  <c r="K2714" i="1"/>
  <c r="L2714" i="1"/>
  <c r="M2714" i="1"/>
  <c r="K2715" i="1"/>
  <c r="L2715" i="1"/>
  <c r="M2715" i="1"/>
  <c r="K2716" i="1"/>
  <c r="L2716" i="1"/>
  <c r="M2716" i="1"/>
  <c r="K2717" i="1"/>
  <c r="L2717" i="1"/>
  <c r="M2717" i="1"/>
  <c r="K2718" i="1"/>
  <c r="L2718" i="1"/>
  <c r="M2718" i="1"/>
  <c r="K2719" i="1"/>
  <c r="L2719" i="1"/>
  <c r="M2719" i="1"/>
  <c r="K2720" i="1"/>
  <c r="L2720" i="1"/>
  <c r="M2720" i="1"/>
  <c r="J2721" i="1"/>
  <c r="K2721" i="1"/>
  <c r="L2721" i="1"/>
  <c r="M2721" i="1"/>
  <c r="K2722" i="1"/>
  <c r="L2722" i="1"/>
  <c r="M2722" i="1"/>
  <c r="K2723" i="1"/>
  <c r="L2723" i="1"/>
  <c r="M2723" i="1"/>
  <c r="K2724" i="1"/>
  <c r="L2724" i="1"/>
  <c r="M2724" i="1"/>
  <c r="K2725" i="1"/>
  <c r="L2725" i="1"/>
  <c r="M2725" i="1"/>
  <c r="K2726" i="1"/>
  <c r="L2726" i="1"/>
  <c r="M2726" i="1"/>
  <c r="K2727" i="1"/>
  <c r="L2727" i="1"/>
  <c r="M2727" i="1"/>
  <c r="K2728" i="1"/>
  <c r="L2728" i="1"/>
  <c r="M2728" i="1"/>
  <c r="K2729" i="1"/>
  <c r="L2729" i="1"/>
  <c r="M2729" i="1"/>
  <c r="K2730" i="1"/>
  <c r="L2730" i="1"/>
  <c r="M2730" i="1"/>
  <c r="K2731" i="1"/>
  <c r="L2731" i="1"/>
  <c r="M2731" i="1"/>
  <c r="K2732" i="1"/>
  <c r="L2732" i="1"/>
  <c r="M2732" i="1"/>
  <c r="K2733" i="1"/>
  <c r="L2733" i="1"/>
  <c r="M2733" i="1"/>
  <c r="K2734" i="1"/>
  <c r="L2734" i="1"/>
  <c r="M2734" i="1"/>
  <c r="K2735" i="1"/>
  <c r="L2735" i="1"/>
  <c r="M2735" i="1"/>
  <c r="K2736" i="1"/>
  <c r="L2736" i="1"/>
  <c r="M2736" i="1"/>
  <c r="K2737" i="1"/>
  <c r="L2737" i="1"/>
  <c r="M2737" i="1"/>
  <c r="K2738" i="1"/>
  <c r="L2738" i="1"/>
  <c r="M2738" i="1"/>
  <c r="K2739" i="1"/>
  <c r="L2739" i="1"/>
  <c r="M2739" i="1"/>
  <c r="K2740" i="1"/>
  <c r="L2740" i="1"/>
  <c r="M2740" i="1"/>
  <c r="K2741" i="1"/>
  <c r="L2741" i="1"/>
  <c r="M2741" i="1"/>
  <c r="K2742" i="1"/>
  <c r="L2742" i="1"/>
  <c r="M2742" i="1"/>
  <c r="K2743" i="1"/>
  <c r="L2743" i="1"/>
  <c r="M2743" i="1"/>
  <c r="K2744" i="1"/>
  <c r="L2744" i="1"/>
  <c r="M2744" i="1"/>
  <c r="K2745" i="1"/>
  <c r="L2745" i="1"/>
  <c r="M2745" i="1"/>
  <c r="K2746" i="1"/>
  <c r="L2746" i="1"/>
  <c r="M2746" i="1"/>
  <c r="K2747" i="1"/>
  <c r="L2747" i="1"/>
  <c r="M2747" i="1"/>
  <c r="K2748" i="1"/>
  <c r="L2748" i="1"/>
  <c r="M2748" i="1"/>
  <c r="K2749" i="1"/>
  <c r="L2749" i="1"/>
  <c r="M2749" i="1"/>
  <c r="K2750" i="1"/>
  <c r="L2750" i="1"/>
  <c r="M2750" i="1"/>
  <c r="K2751" i="1"/>
  <c r="L2751" i="1"/>
  <c r="M2751" i="1"/>
  <c r="K2752" i="1"/>
  <c r="L2752" i="1"/>
  <c r="M2752" i="1"/>
  <c r="K2753" i="1"/>
  <c r="L2753" i="1"/>
  <c r="M2753" i="1"/>
  <c r="J2754" i="1"/>
  <c r="K2754" i="1"/>
  <c r="L2754" i="1"/>
  <c r="M2754" i="1"/>
  <c r="K2755" i="1"/>
  <c r="L2755" i="1"/>
  <c r="M2755" i="1"/>
  <c r="K2756" i="1"/>
  <c r="L2756" i="1"/>
  <c r="M2756" i="1"/>
  <c r="K2757" i="1"/>
  <c r="L2757" i="1"/>
  <c r="M2757" i="1"/>
  <c r="K2758" i="1"/>
  <c r="L2758" i="1"/>
  <c r="M2758" i="1"/>
  <c r="K2759" i="1"/>
  <c r="L2759" i="1"/>
  <c r="M2759" i="1"/>
  <c r="K2760" i="1"/>
  <c r="L2760" i="1"/>
  <c r="M2760" i="1"/>
  <c r="K2761" i="1"/>
  <c r="L2761" i="1"/>
  <c r="M2761" i="1"/>
  <c r="K2762" i="1"/>
  <c r="L2762" i="1"/>
  <c r="M2762" i="1"/>
  <c r="K2763" i="1"/>
  <c r="L2763" i="1"/>
  <c r="M2763" i="1"/>
  <c r="K2764" i="1"/>
  <c r="L2764" i="1"/>
  <c r="M2764" i="1"/>
  <c r="K2765" i="1"/>
  <c r="L2765" i="1"/>
  <c r="M2765" i="1"/>
  <c r="K2766" i="1"/>
  <c r="L2766" i="1"/>
  <c r="M2766" i="1"/>
  <c r="K2767" i="1"/>
  <c r="L2767" i="1"/>
  <c r="M2767" i="1"/>
  <c r="K2768" i="1"/>
  <c r="L2768" i="1"/>
  <c r="M2768" i="1"/>
  <c r="K2769" i="1"/>
  <c r="L2769" i="1"/>
  <c r="M2769" i="1"/>
  <c r="K2770" i="1"/>
  <c r="L2770" i="1"/>
  <c r="M2770" i="1"/>
  <c r="K2771" i="1"/>
  <c r="L2771" i="1"/>
  <c r="M2771" i="1"/>
  <c r="K2772" i="1"/>
  <c r="L2772" i="1"/>
  <c r="M2772" i="1"/>
  <c r="K2773" i="1"/>
  <c r="L2773" i="1"/>
  <c r="M2773" i="1"/>
  <c r="K2774" i="1"/>
  <c r="L2774" i="1"/>
  <c r="M2774" i="1"/>
  <c r="K2775" i="1"/>
  <c r="L2775" i="1"/>
  <c r="M2775" i="1"/>
  <c r="K2776" i="1"/>
  <c r="L2776" i="1"/>
  <c r="M2776" i="1"/>
  <c r="K2777" i="1"/>
  <c r="L2777" i="1"/>
  <c r="M2777" i="1"/>
  <c r="K2778" i="1"/>
  <c r="L2778" i="1"/>
  <c r="M2778" i="1"/>
  <c r="K2779" i="1"/>
  <c r="L2779" i="1"/>
  <c r="M2779" i="1"/>
  <c r="K2780" i="1"/>
  <c r="L2780" i="1"/>
  <c r="M2780" i="1"/>
  <c r="K2781" i="1"/>
  <c r="L2781" i="1"/>
  <c r="M2781" i="1"/>
  <c r="K2782" i="1"/>
  <c r="L2782" i="1"/>
  <c r="M2782" i="1"/>
  <c r="K2783" i="1"/>
  <c r="L2783" i="1"/>
  <c r="M2783" i="1"/>
  <c r="K2784" i="1"/>
  <c r="L2784" i="1"/>
  <c r="M2784" i="1"/>
  <c r="K2785" i="1"/>
  <c r="L2785" i="1"/>
  <c r="M2785" i="1"/>
  <c r="K2786" i="1"/>
  <c r="L2786" i="1"/>
  <c r="M2786" i="1"/>
  <c r="K2787" i="1"/>
  <c r="L2787" i="1"/>
  <c r="J2787" i="1" s="1"/>
  <c r="M2787" i="1"/>
  <c r="K2788" i="1"/>
  <c r="L2788" i="1"/>
  <c r="M2788" i="1"/>
  <c r="K2789" i="1"/>
  <c r="L2789" i="1"/>
  <c r="M2789" i="1"/>
  <c r="K2790" i="1"/>
  <c r="L2790" i="1"/>
  <c r="M2790" i="1"/>
  <c r="K2791" i="1"/>
  <c r="L2791" i="1"/>
  <c r="M2791" i="1"/>
  <c r="K2792" i="1"/>
  <c r="L2792" i="1"/>
  <c r="M2792" i="1"/>
  <c r="K2793" i="1"/>
  <c r="L2793" i="1"/>
  <c r="M2793" i="1"/>
  <c r="K2794" i="1"/>
  <c r="L2794" i="1"/>
  <c r="M2794" i="1"/>
  <c r="K2795" i="1"/>
  <c r="L2795" i="1"/>
  <c r="M2795" i="1"/>
  <c r="K2796" i="1"/>
  <c r="L2796" i="1"/>
  <c r="M2796" i="1"/>
  <c r="K2797" i="1"/>
  <c r="L2797" i="1"/>
  <c r="M2797" i="1"/>
  <c r="K2798" i="1"/>
  <c r="L2798" i="1"/>
  <c r="M2798" i="1"/>
  <c r="K2799" i="1"/>
  <c r="L2799" i="1"/>
  <c r="M2799" i="1"/>
  <c r="K2800" i="1"/>
  <c r="L2800" i="1"/>
  <c r="M2800" i="1"/>
  <c r="K2801" i="1"/>
  <c r="L2801" i="1"/>
  <c r="M2801" i="1"/>
  <c r="K2802" i="1"/>
  <c r="L2802" i="1"/>
  <c r="M2802" i="1"/>
  <c r="K2803" i="1"/>
  <c r="L2803" i="1"/>
  <c r="M2803" i="1"/>
  <c r="K2804" i="1"/>
  <c r="L2804" i="1"/>
  <c r="M2804" i="1"/>
  <c r="K2805" i="1"/>
  <c r="L2805" i="1"/>
  <c r="M2805" i="1"/>
  <c r="K2806" i="1"/>
  <c r="L2806" i="1"/>
  <c r="M2806" i="1"/>
  <c r="K2807" i="1"/>
  <c r="L2807" i="1"/>
  <c r="M2807" i="1"/>
  <c r="K2808" i="1"/>
  <c r="L2808" i="1"/>
  <c r="M2808" i="1"/>
  <c r="K2809" i="1"/>
  <c r="L2809" i="1"/>
  <c r="M2809" i="1"/>
  <c r="K2810" i="1"/>
  <c r="L2810" i="1"/>
  <c r="M2810" i="1"/>
  <c r="K2811" i="1"/>
  <c r="L2811" i="1"/>
  <c r="M2811" i="1"/>
  <c r="K2812" i="1"/>
  <c r="L2812" i="1"/>
  <c r="M2812" i="1"/>
  <c r="K2813" i="1"/>
  <c r="L2813" i="1"/>
  <c r="M2813" i="1"/>
  <c r="K2814" i="1"/>
  <c r="L2814" i="1"/>
  <c r="M2814" i="1"/>
  <c r="K2815" i="1"/>
  <c r="L2815" i="1"/>
  <c r="M2815" i="1"/>
  <c r="K2816" i="1"/>
  <c r="L2816" i="1"/>
  <c r="M2816" i="1"/>
  <c r="K2817" i="1"/>
  <c r="L2817" i="1"/>
  <c r="M2817" i="1"/>
  <c r="K2818" i="1"/>
  <c r="L2818" i="1"/>
  <c r="M2818" i="1"/>
  <c r="K2819" i="1"/>
  <c r="L2819" i="1"/>
  <c r="M2819" i="1"/>
  <c r="K2820" i="1"/>
  <c r="L2820" i="1"/>
  <c r="M2820" i="1"/>
  <c r="K2821" i="1"/>
  <c r="L2821" i="1"/>
  <c r="M2821" i="1"/>
  <c r="K2822" i="1"/>
  <c r="L2822" i="1"/>
  <c r="M2822" i="1"/>
  <c r="K2823" i="1"/>
  <c r="L2823" i="1"/>
  <c r="M2823" i="1"/>
  <c r="K2824" i="1"/>
  <c r="L2824" i="1"/>
  <c r="M2824" i="1"/>
  <c r="K2825" i="1"/>
  <c r="L2825" i="1"/>
  <c r="M2825" i="1"/>
  <c r="K2826" i="1"/>
  <c r="L2826" i="1"/>
  <c r="M2826" i="1"/>
  <c r="K2827" i="1"/>
  <c r="L2827" i="1"/>
  <c r="M2827" i="1"/>
  <c r="K2828" i="1"/>
  <c r="L2828" i="1"/>
  <c r="M2828" i="1"/>
  <c r="K2829" i="1"/>
  <c r="L2829" i="1"/>
  <c r="M2829" i="1"/>
  <c r="K2830" i="1"/>
  <c r="L2830" i="1"/>
  <c r="M2830" i="1"/>
  <c r="K2831" i="1"/>
  <c r="L2831" i="1"/>
  <c r="M2831" i="1"/>
  <c r="K2832" i="1"/>
  <c r="L2832" i="1"/>
  <c r="M2832" i="1"/>
  <c r="K2833" i="1"/>
  <c r="L2833" i="1"/>
  <c r="M2833" i="1"/>
  <c r="K2834" i="1"/>
  <c r="L2834" i="1"/>
  <c r="M2834" i="1"/>
  <c r="K2835" i="1"/>
  <c r="L2835" i="1"/>
  <c r="M2835" i="1"/>
  <c r="K2836" i="1"/>
  <c r="L2836" i="1"/>
  <c r="M2836" i="1"/>
  <c r="K2837" i="1"/>
  <c r="L2837" i="1"/>
  <c r="M2837" i="1"/>
  <c r="K2838" i="1"/>
  <c r="L2838" i="1"/>
  <c r="M2838" i="1"/>
  <c r="K2839" i="1"/>
  <c r="L2839" i="1"/>
  <c r="M2839" i="1"/>
  <c r="K2840" i="1"/>
  <c r="L2840" i="1"/>
  <c r="M2840" i="1"/>
  <c r="K2841" i="1"/>
  <c r="L2841" i="1"/>
  <c r="M2841" i="1"/>
  <c r="K2842" i="1"/>
  <c r="L2842" i="1"/>
  <c r="M2842" i="1"/>
  <c r="K2843" i="1"/>
  <c r="L2843" i="1"/>
  <c r="M2843" i="1"/>
  <c r="K2844" i="1"/>
  <c r="L2844" i="1"/>
  <c r="M2844" i="1"/>
  <c r="K2845" i="1"/>
  <c r="L2845" i="1"/>
  <c r="M2845" i="1"/>
  <c r="K2846" i="1"/>
  <c r="L2846" i="1"/>
  <c r="M2846" i="1"/>
  <c r="K2847" i="1"/>
  <c r="L2847" i="1"/>
  <c r="M2847" i="1"/>
  <c r="K2848" i="1"/>
  <c r="L2848" i="1"/>
  <c r="M2848" i="1"/>
  <c r="K2849" i="1"/>
  <c r="L2849" i="1"/>
  <c r="M2849" i="1"/>
  <c r="K2850" i="1"/>
  <c r="L2850" i="1"/>
  <c r="M2850" i="1"/>
  <c r="K2851" i="1"/>
  <c r="L2851" i="1"/>
  <c r="M2851" i="1"/>
  <c r="K2852" i="1"/>
  <c r="L2852" i="1"/>
  <c r="M2852" i="1"/>
  <c r="K2853" i="1"/>
  <c r="L2853" i="1"/>
  <c r="M2853" i="1"/>
  <c r="J2854" i="1"/>
  <c r="K2854" i="1"/>
  <c r="L2854" i="1"/>
  <c r="M2854" i="1"/>
  <c r="K2855" i="1"/>
  <c r="L2855" i="1"/>
  <c r="M2855" i="1"/>
  <c r="K2856" i="1"/>
  <c r="L2856" i="1"/>
  <c r="M2856" i="1"/>
  <c r="K2857" i="1"/>
  <c r="L2857" i="1"/>
  <c r="M2857" i="1"/>
  <c r="K2858" i="1"/>
  <c r="L2858" i="1"/>
  <c r="M2858" i="1"/>
  <c r="K2859" i="1"/>
  <c r="L2859" i="1"/>
  <c r="M2859" i="1"/>
  <c r="K2860" i="1"/>
  <c r="L2860" i="1"/>
  <c r="M2860" i="1"/>
  <c r="K2861" i="1"/>
  <c r="L2861" i="1"/>
  <c r="M2861" i="1"/>
  <c r="K2862" i="1"/>
  <c r="L2862" i="1"/>
  <c r="M2862" i="1"/>
  <c r="K2863" i="1"/>
  <c r="L2863" i="1"/>
  <c r="M2863" i="1"/>
  <c r="K2864" i="1"/>
  <c r="L2864" i="1"/>
  <c r="M2864" i="1"/>
  <c r="K2865" i="1"/>
  <c r="L2865" i="1"/>
  <c r="M2865" i="1"/>
  <c r="K2866" i="1"/>
  <c r="L2866" i="1"/>
  <c r="M2866" i="1"/>
  <c r="K2867" i="1"/>
  <c r="L2867" i="1"/>
  <c r="M2867" i="1"/>
  <c r="K2868" i="1"/>
  <c r="L2868" i="1"/>
  <c r="M2868" i="1"/>
  <c r="K2869" i="1"/>
  <c r="L2869" i="1"/>
  <c r="M2869" i="1"/>
  <c r="K2870" i="1"/>
  <c r="L2870" i="1"/>
  <c r="M2870" i="1"/>
  <c r="K2871" i="1"/>
  <c r="L2871" i="1"/>
  <c r="M2871" i="1"/>
  <c r="K2872" i="1"/>
  <c r="L2872" i="1"/>
  <c r="M2872" i="1"/>
  <c r="K2873" i="1"/>
  <c r="L2873" i="1"/>
  <c r="M2873" i="1"/>
  <c r="K2874" i="1"/>
  <c r="L2874" i="1"/>
  <c r="M2874" i="1"/>
  <c r="K2875" i="1"/>
  <c r="L2875" i="1"/>
  <c r="M2875" i="1"/>
  <c r="K2876" i="1"/>
  <c r="L2876" i="1"/>
  <c r="M2876" i="1"/>
  <c r="K2877" i="1"/>
  <c r="L2877" i="1"/>
  <c r="M2877" i="1"/>
  <c r="K2878" i="1"/>
  <c r="L2878" i="1"/>
  <c r="M2878" i="1"/>
  <c r="K2879" i="1"/>
  <c r="L2879" i="1"/>
  <c r="M2879" i="1"/>
  <c r="K2880" i="1"/>
  <c r="L2880" i="1"/>
  <c r="M2880" i="1"/>
  <c r="K2881" i="1"/>
  <c r="L2881" i="1"/>
  <c r="M2881" i="1"/>
  <c r="K2882" i="1"/>
  <c r="L2882" i="1"/>
  <c r="M2882" i="1"/>
  <c r="K2883" i="1"/>
  <c r="L2883" i="1"/>
  <c r="M2883" i="1"/>
  <c r="J2884" i="1"/>
  <c r="K2884" i="1"/>
  <c r="L2884" i="1"/>
  <c r="M2884" i="1"/>
  <c r="K2885" i="1"/>
  <c r="L2885" i="1"/>
  <c r="M2885" i="1"/>
  <c r="K2886" i="1"/>
  <c r="L2886" i="1"/>
  <c r="M2886" i="1"/>
  <c r="K2887" i="1"/>
  <c r="L2887" i="1"/>
  <c r="M2887" i="1"/>
  <c r="K2888" i="1"/>
  <c r="L2888" i="1"/>
  <c r="M2888" i="1"/>
  <c r="K2889" i="1"/>
  <c r="L2889" i="1"/>
  <c r="M2889" i="1"/>
  <c r="K2890" i="1"/>
  <c r="L2890" i="1"/>
  <c r="M2890" i="1"/>
  <c r="K2891" i="1"/>
  <c r="L2891" i="1"/>
  <c r="M2891" i="1"/>
  <c r="K2892" i="1"/>
  <c r="L2892" i="1"/>
  <c r="M2892" i="1"/>
  <c r="K2893" i="1"/>
  <c r="L2893" i="1"/>
  <c r="M2893" i="1"/>
  <c r="K2894" i="1"/>
  <c r="L2894" i="1"/>
  <c r="M2894" i="1"/>
  <c r="K2895" i="1"/>
  <c r="L2895" i="1"/>
  <c r="M2895" i="1"/>
  <c r="K2896" i="1"/>
  <c r="L2896" i="1"/>
  <c r="M2896" i="1"/>
  <c r="K2897" i="1"/>
  <c r="J2897" i="1" s="1"/>
  <c r="L2897" i="1"/>
  <c r="M2897" i="1"/>
  <c r="K2898" i="1"/>
  <c r="L2898" i="1"/>
  <c r="M2898" i="1"/>
  <c r="K2899" i="1"/>
  <c r="L2899" i="1"/>
  <c r="M2899" i="1"/>
  <c r="K2900" i="1"/>
  <c r="L2900" i="1"/>
  <c r="M2900" i="1"/>
  <c r="K2901" i="1"/>
  <c r="L2901" i="1"/>
  <c r="M2901" i="1"/>
  <c r="K2902" i="1"/>
  <c r="L2902" i="1"/>
  <c r="M2902" i="1"/>
  <c r="K2903" i="1"/>
  <c r="L2903" i="1"/>
  <c r="M2903" i="1"/>
  <c r="K2904" i="1"/>
  <c r="L2904" i="1"/>
  <c r="M2904" i="1"/>
  <c r="K2905" i="1"/>
  <c r="L2905" i="1"/>
  <c r="M2905" i="1"/>
  <c r="K2906" i="1"/>
  <c r="L2906" i="1"/>
  <c r="M2906" i="1"/>
  <c r="K2907" i="1"/>
  <c r="L2907" i="1"/>
  <c r="M2907" i="1"/>
  <c r="K2908" i="1"/>
  <c r="L2908" i="1"/>
  <c r="M2908" i="1"/>
  <c r="K2909" i="1"/>
  <c r="L2909" i="1"/>
  <c r="M2909" i="1"/>
  <c r="K2910" i="1"/>
  <c r="L2910" i="1"/>
  <c r="M2910" i="1"/>
  <c r="K2911" i="1"/>
  <c r="L2911" i="1"/>
  <c r="M2911" i="1"/>
  <c r="K2912" i="1"/>
  <c r="L2912" i="1"/>
  <c r="M2912" i="1"/>
  <c r="K2913" i="1"/>
  <c r="L2913" i="1"/>
  <c r="M2913" i="1"/>
  <c r="K2914" i="1"/>
  <c r="L2914" i="1"/>
  <c r="M2914" i="1"/>
  <c r="K2915" i="1"/>
  <c r="L2915" i="1"/>
  <c r="M2915" i="1"/>
  <c r="K2916" i="1"/>
  <c r="L2916" i="1"/>
  <c r="M2916" i="1"/>
  <c r="K2917" i="1"/>
  <c r="L2917" i="1"/>
  <c r="M2917" i="1"/>
  <c r="K2918" i="1"/>
  <c r="L2918" i="1"/>
  <c r="M2918" i="1"/>
  <c r="K2919" i="1"/>
  <c r="L2919" i="1"/>
  <c r="M2919" i="1"/>
  <c r="K2920" i="1"/>
  <c r="L2920" i="1"/>
  <c r="M2920" i="1"/>
  <c r="K2921" i="1"/>
  <c r="L2921" i="1"/>
  <c r="M2921" i="1"/>
  <c r="K2922" i="1"/>
  <c r="L2922" i="1"/>
  <c r="M2922" i="1"/>
  <c r="K2923" i="1"/>
  <c r="L2923" i="1"/>
  <c r="M2923" i="1"/>
  <c r="K2924" i="1"/>
  <c r="L2924" i="1"/>
  <c r="M2924" i="1"/>
  <c r="K2925" i="1"/>
  <c r="L2925" i="1"/>
  <c r="M2925" i="1"/>
  <c r="K2926" i="1"/>
  <c r="L2926" i="1"/>
  <c r="M2926" i="1"/>
  <c r="K2927" i="1"/>
  <c r="L2927" i="1"/>
  <c r="M2927" i="1"/>
  <c r="K2928" i="1"/>
  <c r="L2928" i="1"/>
  <c r="M2928" i="1"/>
  <c r="K2929" i="1"/>
  <c r="L2929" i="1"/>
  <c r="M2929" i="1"/>
  <c r="K2930" i="1"/>
  <c r="L2930" i="1"/>
  <c r="M2930" i="1"/>
  <c r="K2931" i="1"/>
  <c r="L2931" i="1"/>
  <c r="M2931" i="1"/>
  <c r="K2932" i="1"/>
  <c r="L2932" i="1"/>
  <c r="M2932" i="1"/>
  <c r="K2933" i="1"/>
  <c r="L2933" i="1"/>
  <c r="M2933" i="1"/>
  <c r="K2934" i="1"/>
  <c r="L2934" i="1"/>
  <c r="M2934" i="1"/>
  <c r="K2935" i="1"/>
  <c r="L2935" i="1"/>
  <c r="M2935" i="1"/>
  <c r="K2936" i="1"/>
  <c r="L2936" i="1"/>
  <c r="M2936" i="1"/>
  <c r="K2937" i="1"/>
  <c r="L2937" i="1"/>
  <c r="M2937" i="1"/>
  <c r="K2938" i="1"/>
  <c r="L2938" i="1"/>
  <c r="M2938" i="1"/>
  <c r="K2939" i="1"/>
  <c r="L2939" i="1"/>
  <c r="M2939" i="1"/>
  <c r="K2940" i="1"/>
  <c r="L2940" i="1"/>
  <c r="M2940" i="1"/>
  <c r="K2941" i="1"/>
  <c r="L2941" i="1"/>
  <c r="M2941" i="1"/>
  <c r="K2942" i="1"/>
  <c r="L2942" i="1"/>
  <c r="M2942" i="1"/>
  <c r="K2943" i="1"/>
  <c r="L2943" i="1"/>
  <c r="M2943" i="1"/>
  <c r="K2944" i="1"/>
  <c r="L2944" i="1"/>
  <c r="M2944" i="1"/>
  <c r="K2945" i="1"/>
  <c r="L2945" i="1"/>
  <c r="M2945" i="1"/>
  <c r="K2946" i="1"/>
  <c r="L2946" i="1"/>
  <c r="M2946" i="1"/>
  <c r="K2947" i="1"/>
  <c r="L2947" i="1"/>
  <c r="M2947" i="1"/>
  <c r="K2948" i="1"/>
  <c r="L2948" i="1"/>
  <c r="M2948" i="1"/>
  <c r="K2949" i="1"/>
  <c r="L2949" i="1"/>
  <c r="M2949" i="1"/>
  <c r="K2950" i="1"/>
  <c r="L2950" i="1"/>
  <c r="M2950" i="1"/>
  <c r="K2951" i="1"/>
  <c r="L2951" i="1"/>
  <c r="M2951" i="1"/>
  <c r="K2952" i="1"/>
  <c r="L2952" i="1"/>
  <c r="M2952" i="1"/>
  <c r="K2953" i="1"/>
  <c r="L2953" i="1"/>
  <c r="M2953" i="1"/>
  <c r="K2954" i="1"/>
  <c r="L2954" i="1"/>
  <c r="M2954" i="1"/>
  <c r="K2955" i="1"/>
  <c r="L2955" i="1"/>
  <c r="M2955" i="1"/>
  <c r="K2956" i="1"/>
  <c r="L2956" i="1"/>
  <c r="M2956" i="1"/>
  <c r="K2957" i="1"/>
  <c r="L2957" i="1"/>
  <c r="M2957" i="1"/>
  <c r="K2958" i="1"/>
  <c r="L2958" i="1"/>
  <c r="M2958" i="1"/>
  <c r="K2959" i="1"/>
  <c r="L2959" i="1"/>
  <c r="M2959" i="1"/>
  <c r="K2960" i="1"/>
  <c r="L2960" i="1"/>
  <c r="M2960" i="1"/>
  <c r="K2961" i="1"/>
  <c r="L2961" i="1"/>
  <c r="M2961" i="1"/>
  <c r="K2962" i="1"/>
  <c r="L2962" i="1"/>
  <c r="M2962" i="1"/>
  <c r="K2963" i="1"/>
  <c r="L2963" i="1"/>
  <c r="M2963" i="1"/>
  <c r="K2964" i="1"/>
  <c r="L2964" i="1"/>
  <c r="M2964" i="1"/>
  <c r="K2965" i="1"/>
  <c r="L2965" i="1"/>
  <c r="M2965" i="1"/>
  <c r="K2966" i="1"/>
  <c r="L2966" i="1"/>
  <c r="M2966" i="1"/>
  <c r="K2967" i="1"/>
  <c r="L2967" i="1"/>
  <c r="M2967" i="1"/>
  <c r="K2968" i="1"/>
  <c r="L2968" i="1"/>
  <c r="M2968" i="1"/>
  <c r="K2969" i="1"/>
  <c r="L2969" i="1"/>
  <c r="M2969" i="1"/>
  <c r="K2970" i="1"/>
  <c r="L2970" i="1"/>
  <c r="M2970" i="1"/>
  <c r="K2971" i="1"/>
  <c r="L2971" i="1"/>
  <c r="M2971" i="1"/>
  <c r="K2972" i="1"/>
  <c r="L2972" i="1"/>
  <c r="M2972" i="1"/>
  <c r="K2973" i="1"/>
  <c r="L2973" i="1"/>
  <c r="M2973" i="1"/>
  <c r="K2974" i="1"/>
  <c r="L2974" i="1"/>
  <c r="M2974" i="1"/>
  <c r="K2975" i="1"/>
  <c r="L2975" i="1"/>
  <c r="M2975" i="1"/>
  <c r="J2975" i="1" s="1"/>
  <c r="M2" i="1"/>
  <c r="L2" i="1"/>
  <c r="K2" i="1"/>
  <c r="J1929" i="1" l="1"/>
  <c r="J1968" i="1"/>
  <c r="J1773" i="1"/>
  <c r="J2943" i="1"/>
  <c r="J2864" i="1"/>
  <c r="J2175" i="1"/>
  <c r="J309" i="1"/>
  <c r="J1983" i="1"/>
  <c r="J2600" i="1"/>
  <c r="J2453" i="1"/>
  <c r="J2409" i="1"/>
  <c r="J2241" i="1"/>
  <c r="J1887" i="1"/>
  <c r="J1851" i="1"/>
  <c r="J1779" i="1"/>
  <c r="J1760" i="1"/>
  <c r="J1705" i="1"/>
  <c r="J1442" i="1"/>
  <c r="J833" i="1"/>
  <c r="J738" i="1"/>
  <c r="J2415" i="1"/>
  <c r="J2618" i="1"/>
  <c r="J473" i="1"/>
  <c r="J2868" i="1"/>
  <c r="J1416" i="1"/>
  <c r="J1928" i="1"/>
  <c r="J2486" i="1"/>
  <c r="J2605" i="1"/>
  <c r="J1451" i="1"/>
  <c r="J714" i="1"/>
  <c r="J591" i="1"/>
  <c r="J400" i="1"/>
  <c r="J2945" i="1"/>
  <c r="J2925" i="1"/>
  <c r="J2783" i="1"/>
  <c r="J2779" i="1"/>
  <c r="J2540" i="1"/>
  <c r="J2532" i="1"/>
  <c r="J2361" i="1"/>
  <c r="J2301" i="1"/>
  <c r="J2205" i="1"/>
  <c r="J2018" i="1"/>
  <c r="J1649" i="1"/>
  <c r="J1637" i="1"/>
  <c r="J1625" i="1"/>
  <c r="J1589" i="1"/>
  <c r="J1526" i="1"/>
  <c r="J1518" i="1"/>
  <c r="J1490" i="1"/>
  <c r="J1462" i="1"/>
  <c r="J1458" i="1"/>
  <c r="J1339" i="1"/>
  <c r="J1311" i="1"/>
  <c r="J961" i="1"/>
  <c r="J909" i="1"/>
  <c r="J499" i="1"/>
  <c r="J495" i="1"/>
  <c r="J487" i="1"/>
  <c r="J2817" i="1"/>
  <c r="J2088" i="1"/>
  <c r="J2594" i="1"/>
  <c r="J2463" i="1"/>
  <c r="J1464" i="1"/>
  <c r="J381" i="1"/>
  <c r="J325" i="1"/>
  <c r="J2847" i="1"/>
  <c r="J595" i="1"/>
  <c r="J384" i="1"/>
  <c r="J2403" i="1"/>
  <c r="J1933" i="1"/>
  <c r="J1817" i="1"/>
  <c r="J2622" i="1"/>
  <c r="J2507" i="1"/>
  <c r="J2211" i="1"/>
  <c r="J2745" i="1"/>
  <c r="J2394" i="1"/>
  <c r="J2294" i="1"/>
  <c r="J699" i="1"/>
  <c r="J321" i="1"/>
  <c r="J516" i="1"/>
  <c r="J2003" i="1"/>
  <c r="J1697" i="1"/>
  <c r="J1542" i="1"/>
  <c r="J396" i="1"/>
  <c r="J2973" i="1"/>
  <c r="J2591" i="1"/>
  <c r="J2552" i="1"/>
  <c r="J1953" i="1"/>
  <c r="J1886" i="1"/>
  <c r="J1838" i="1"/>
  <c r="J1782" i="1"/>
  <c r="J1422" i="1"/>
  <c r="J1318" i="1"/>
  <c r="J1314" i="1"/>
  <c r="J1032" i="1"/>
  <c r="J753" i="1"/>
  <c r="J657" i="1"/>
  <c r="J414" i="1"/>
  <c r="J2391" i="1"/>
  <c r="J2052" i="1"/>
  <c r="J1821" i="1"/>
  <c r="J1047" i="1"/>
  <c r="J967" i="1"/>
  <c r="J720" i="1"/>
  <c r="J2582" i="1"/>
  <c r="J2219" i="1"/>
  <c r="J1679" i="1"/>
  <c r="J2729" i="1"/>
  <c r="J1687" i="1"/>
  <c r="J855" i="1"/>
  <c r="J2963" i="1"/>
  <c r="J2669" i="1"/>
  <c r="J2322" i="1"/>
  <c r="J2111" i="1"/>
  <c r="J2019" i="1"/>
  <c r="J675" i="1"/>
  <c r="J982" i="1"/>
  <c r="J508" i="1"/>
  <c r="J2601" i="1"/>
  <c r="J1089" i="1"/>
  <c r="J2778" i="1"/>
  <c r="J2520" i="1"/>
  <c r="J2516" i="1"/>
  <c r="J2320" i="1"/>
  <c r="J2316" i="1"/>
  <c r="J2196" i="1"/>
  <c r="J1890" i="1"/>
  <c r="J1755" i="1"/>
  <c r="J1739" i="1"/>
  <c r="J1556" i="1"/>
  <c r="J1385" i="1"/>
  <c r="J1342" i="1"/>
  <c r="J1051" i="1"/>
  <c r="J1039" i="1"/>
  <c r="J984" i="1"/>
  <c r="J908" i="1"/>
  <c r="J653" i="1"/>
  <c r="J533" i="1"/>
  <c r="J2228" i="1"/>
  <c r="J1681" i="1"/>
  <c r="J1557" i="1"/>
  <c r="J1466" i="1"/>
  <c r="J1427" i="1"/>
  <c r="J1395" i="1"/>
  <c r="J696" i="1"/>
  <c r="J2732" i="1"/>
  <c r="J2724" i="1"/>
  <c r="J2343" i="1"/>
  <c r="J870" i="1"/>
  <c r="J843" i="1"/>
  <c r="J723" i="1"/>
  <c r="J86" i="1"/>
  <c r="J1482" i="1"/>
  <c r="J2538" i="1"/>
  <c r="J2462" i="1"/>
  <c r="J1699" i="1"/>
  <c r="J917" i="1"/>
  <c r="J747" i="1"/>
  <c r="J2786" i="1"/>
  <c r="J1892" i="1"/>
  <c r="J1844" i="1"/>
  <c r="J1194" i="1"/>
  <c r="J1174" i="1"/>
  <c r="J1170" i="1"/>
  <c r="J543" i="1"/>
  <c r="J2855" i="1"/>
  <c r="J2763" i="1"/>
  <c r="J1889" i="1"/>
  <c r="J1793" i="1"/>
  <c r="J2739" i="1"/>
  <c r="J2948" i="1"/>
  <c r="J1880" i="1"/>
  <c r="J1885" i="1"/>
  <c r="J2620" i="1"/>
  <c r="J1959" i="1"/>
  <c r="J1943" i="1"/>
  <c r="J1245" i="1"/>
  <c r="J1162" i="1"/>
  <c r="J1035" i="1"/>
  <c r="J471" i="1"/>
  <c r="J427" i="1"/>
  <c r="J2915" i="1"/>
  <c r="J2801" i="1"/>
  <c r="J2098" i="1"/>
  <c r="J2090" i="1"/>
  <c r="J1979" i="1"/>
  <c r="J1975" i="1"/>
  <c r="J1971" i="1"/>
  <c r="J1967" i="1"/>
  <c r="J1011" i="1"/>
  <c r="J2838" i="1"/>
  <c r="J1742" i="1"/>
  <c r="J173" i="1"/>
  <c r="J1964" i="1"/>
  <c r="J1769" i="1"/>
  <c r="J2715" i="1"/>
  <c r="J1824" i="1"/>
  <c r="J1947" i="1"/>
  <c r="J447" i="1"/>
  <c r="J431" i="1"/>
  <c r="J2895" i="1"/>
  <c r="J2197" i="1"/>
  <c r="J2185" i="1"/>
  <c r="J2177" i="1"/>
  <c r="J2173" i="1"/>
  <c r="J2161" i="1"/>
  <c r="J2006" i="1"/>
  <c r="J1923" i="1"/>
  <c r="J1895" i="1"/>
  <c r="J1404" i="1"/>
  <c r="J1380" i="1"/>
  <c r="J1336" i="1"/>
  <c r="J1332" i="1"/>
  <c r="J669" i="1"/>
  <c r="J645" i="1"/>
  <c r="J633" i="1"/>
  <c r="J574" i="1"/>
  <c r="J570" i="1"/>
  <c r="J534" i="1"/>
  <c r="J2573" i="1"/>
  <c r="J1877" i="1"/>
  <c r="J846" i="1"/>
  <c r="J2624" i="1"/>
  <c r="J1087" i="1"/>
  <c r="J1008" i="1"/>
  <c r="J964" i="1"/>
  <c r="J881" i="1"/>
  <c r="J1706" i="1"/>
  <c r="J2762" i="1"/>
  <c r="J2955" i="1"/>
  <c r="J2951" i="1"/>
  <c r="J2931" i="1"/>
  <c r="J2852" i="1"/>
  <c r="J2559" i="1"/>
  <c r="J2483" i="1"/>
  <c r="J2475" i="1"/>
  <c r="J2069" i="1"/>
  <c r="J1974" i="1"/>
  <c r="J1510" i="1"/>
  <c r="J1506" i="1"/>
  <c r="J1498" i="1"/>
  <c r="J732" i="1"/>
  <c r="J672" i="1"/>
  <c r="J462" i="1"/>
  <c r="J2416" i="1"/>
  <c r="J2404" i="1"/>
  <c r="J2178" i="1"/>
  <c r="J2154" i="1"/>
  <c r="J2075" i="1"/>
  <c r="J2067" i="1"/>
  <c r="J2055" i="1"/>
  <c r="J1980" i="1"/>
  <c r="J1866" i="1"/>
  <c r="J1806" i="1"/>
  <c r="J1798" i="1"/>
  <c r="J1794" i="1"/>
  <c r="J1701" i="1"/>
  <c r="J1642" i="1"/>
  <c r="J1558" i="1"/>
  <c r="J1550" i="1"/>
  <c r="J1511" i="1"/>
  <c r="J1448" i="1"/>
  <c r="J1413" i="1"/>
  <c r="J1409" i="1"/>
  <c r="J1306" i="1"/>
  <c r="J1191" i="1"/>
  <c r="J1183" i="1"/>
  <c r="J1159" i="1"/>
  <c r="J1009" i="1"/>
  <c r="J1005" i="1"/>
  <c r="J985" i="1"/>
  <c r="J946" i="1"/>
  <c r="J840" i="1"/>
  <c r="J764" i="1"/>
  <c r="J674" i="1"/>
  <c r="J654" i="1"/>
  <c r="J559" i="1"/>
  <c r="J507" i="1"/>
  <c r="J432" i="1"/>
  <c r="J369" i="1"/>
  <c r="J50" i="1"/>
  <c r="J2940" i="1"/>
  <c r="J2928" i="1"/>
  <c r="J2876" i="1"/>
  <c r="J2774" i="1"/>
  <c r="J2543" i="1"/>
  <c r="J2531" i="1"/>
  <c r="J2300" i="1"/>
  <c r="J2288" i="1"/>
  <c r="J2253" i="1"/>
  <c r="J2249" i="1"/>
  <c r="J2054" i="1"/>
  <c r="J1960" i="1"/>
  <c r="J1833" i="1"/>
  <c r="J1805" i="1"/>
  <c r="J1759" i="1"/>
  <c r="J1743" i="1"/>
  <c r="J1685" i="1"/>
  <c r="J1638" i="1"/>
  <c r="J1634" i="1"/>
  <c r="J1630" i="1"/>
  <c r="J1626" i="1"/>
  <c r="J1618" i="1"/>
  <c r="J1606" i="1"/>
  <c r="J1491" i="1"/>
  <c r="J1381" i="1"/>
  <c r="J1325" i="1"/>
  <c r="J1147" i="1"/>
  <c r="J1107" i="1"/>
  <c r="J1044" i="1"/>
  <c r="J1028" i="1"/>
  <c r="J1020" i="1"/>
  <c r="J879" i="1"/>
  <c r="J646" i="1"/>
  <c r="J554" i="1"/>
  <c r="J539" i="1"/>
  <c r="J229" i="1"/>
  <c r="J113" i="1"/>
  <c r="J82" i="1"/>
  <c r="J78" i="1"/>
  <c r="J2840" i="1"/>
  <c r="J2414" i="1"/>
  <c r="J2362" i="1"/>
  <c r="J2295" i="1"/>
  <c r="J2184" i="1"/>
  <c r="J581" i="1"/>
  <c r="J2828" i="1"/>
  <c r="J2730" i="1"/>
  <c r="J2354" i="1"/>
  <c r="J2291" i="1"/>
  <c r="J2216" i="1"/>
  <c r="J2180" i="1"/>
  <c r="J2156" i="1"/>
  <c r="J2105" i="1"/>
  <c r="J1695" i="1"/>
  <c r="J1604" i="1"/>
  <c r="J711" i="1"/>
  <c r="J692" i="1"/>
  <c r="J466" i="1"/>
  <c r="J280" i="1"/>
  <c r="J276" i="1"/>
  <c r="J264" i="1"/>
  <c r="J140" i="1"/>
  <c r="J80" i="1"/>
  <c r="J44" i="1"/>
  <c r="J2930" i="1"/>
  <c r="J2918" i="1"/>
  <c r="J2886" i="1"/>
  <c r="J2816" i="1"/>
  <c r="J2796" i="1"/>
  <c r="J2691" i="1"/>
  <c r="J2429" i="1"/>
  <c r="J2306" i="1"/>
  <c r="J2271" i="1"/>
  <c r="J2259" i="1"/>
  <c r="J2136" i="1"/>
  <c r="J2072" i="1"/>
  <c r="J2036" i="1"/>
  <c r="J1823" i="1"/>
  <c r="J1815" i="1"/>
  <c r="J1745" i="1"/>
  <c r="J1737" i="1"/>
  <c r="J1710" i="1"/>
  <c r="J1636" i="1"/>
  <c r="J1624" i="1"/>
  <c r="J1616" i="1"/>
  <c r="J1600" i="1"/>
  <c r="J1533" i="1"/>
  <c r="J1517" i="1"/>
  <c r="J1505" i="1"/>
  <c r="J1497" i="1"/>
  <c r="J1430" i="1"/>
  <c r="J1383" i="1"/>
  <c r="J1319" i="1"/>
  <c r="J1204" i="1"/>
  <c r="J1129" i="1"/>
  <c r="J999" i="1"/>
  <c r="J960" i="1"/>
  <c r="J888" i="1"/>
  <c r="J810" i="1"/>
  <c r="J620" i="1"/>
  <c r="J616" i="1"/>
  <c r="J612" i="1"/>
  <c r="J604" i="1"/>
  <c r="J596" i="1"/>
  <c r="J513" i="1"/>
  <c r="J450" i="1"/>
  <c r="J363" i="1"/>
  <c r="J339" i="1"/>
  <c r="J119" i="1"/>
  <c r="J312" i="1"/>
  <c r="J2707" i="1"/>
  <c r="J2565" i="1"/>
  <c r="J2188" i="1"/>
  <c r="J1800" i="1"/>
  <c r="J1149" i="1"/>
  <c r="J1062" i="1"/>
  <c r="J715" i="1"/>
  <c r="J688" i="1"/>
  <c r="J2580" i="1"/>
  <c r="J2509" i="1"/>
  <c r="J1891" i="1"/>
  <c r="J1351" i="1"/>
  <c r="J1105" i="1"/>
  <c r="J1101" i="1"/>
  <c r="J750" i="1"/>
  <c r="J584" i="1"/>
  <c r="J323" i="1"/>
  <c r="J315" i="1"/>
  <c r="J2832" i="1"/>
  <c r="J2299" i="1"/>
  <c r="J2247" i="1"/>
  <c r="J2148" i="1"/>
  <c r="J2025" i="1"/>
  <c r="J1808" i="1"/>
  <c r="J1691" i="1"/>
  <c r="J1312" i="1"/>
  <c r="J1023" i="1"/>
  <c r="J2933" i="1"/>
  <c r="J2901" i="1"/>
  <c r="J2878" i="1"/>
  <c r="J2858" i="1"/>
  <c r="J2741" i="1"/>
  <c r="J2504" i="1"/>
  <c r="J2457" i="1"/>
  <c r="J2393" i="1"/>
  <c r="J2270" i="1"/>
  <c r="J2159" i="1"/>
  <c r="J2127" i="1"/>
  <c r="J2120" i="1"/>
  <c r="J1981" i="1"/>
  <c r="J1977" i="1"/>
  <c r="J1961" i="1"/>
  <c r="J1898" i="1"/>
  <c r="J1839" i="1"/>
  <c r="J1827" i="1"/>
  <c r="J1694" i="1"/>
  <c r="J1667" i="1"/>
  <c r="J1619" i="1"/>
  <c r="J1559" i="1"/>
  <c r="J1551" i="1"/>
  <c r="J1445" i="1"/>
  <c r="J1335" i="1"/>
  <c r="J1243" i="1"/>
  <c r="J1235" i="1"/>
  <c r="J1224" i="1"/>
  <c r="J1212" i="1"/>
  <c r="J1168" i="1"/>
  <c r="J900" i="1"/>
  <c r="J864" i="1"/>
  <c r="J845" i="1"/>
  <c r="J837" i="1"/>
  <c r="J726" i="1"/>
  <c r="J663" i="1"/>
  <c r="J441" i="1"/>
  <c r="J366" i="1"/>
  <c r="J318" i="1"/>
  <c r="J291" i="1"/>
  <c r="J2844" i="1"/>
  <c r="J2777" i="1"/>
  <c r="J2561" i="1"/>
  <c r="J2525" i="1"/>
  <c r="J2220" i="1"/>
  <c r="J2160" i="1"/>
  <c r="J2097" i="1"/>
  <c r="J2037" i="1"/>
  <c r="J1804" i="1"/>
  <c r="J1300" i="1"/>
  <c r="J1054" i="1"/>
  <c r="J1015" i="1"/>
  <c r="J703" i="1"/>
  <c r="J648" i="1"/>
  <c r="J525" i="1"/>
  <c r="J2865" i="1"/>
  <c r="J2811" i="1"/>
  <c r="J2756" i="1"/>
  <c r="J2705" i="1"/>
  <c r="J2694" i="1"/>
  <c r="J2670" i="1"/>
  <c r="J2607" i="1"/>
  <c r="J2595" i="1"/>
  <c r="J2579" i="1"/>
  <c r="J2544" i="1"/>
  <c r="J2492" i="1"/>
  <c r="J2357" i="1"/>
  <c r="J2163" i="1"/>
  <c r="J2016" i="1"/>
  <c r="J2004" i="1"/>
  <c r="J1874" i="1"/>
  <c r="J1752" i="1"/>
  <c r="J1736" i="1"/>
  <c r="J1725" i="1"/>
  <c r="J1721" i="1"/>
  <c r="J1591" i="1"/>
  <c r="J1484" i="1"/>
  <c r="J1480" i="1"/>
  <c r="J1366" i="1"/>
  <c r="J1362" i="1"/>
  <c r="J1303" i="1"/>
  <c r="J1279" i="1"/>
  <c r="J1267" i="1"/>
  <c r="J1263" i="1"/>
  <c r="J1251" i="1"/>
  <c r="J1200" i="1"/>
  <c r="J1152" i="1"/>
  <c r="J1068" i="1"/>
  <c r="J1052" i="1"/>
  <c r="J962" i="1"/>
  <c r="J951" i="1"/>
  <c r="J923" i="1"/>
  <c r="J825" i="1"/>
  <c r="J813" i="1"/>
  <c r="J765" i="1"/>
  <c r="J749" i="1"/>
  <c r="J651" i="1"/>
  <c r="J619" i="1"/>
  <c r="J615" i="1"/>
  <c r="J611" i="1"/>
  <c r="J480" i="1"/>
  <c r="J417" i="1"/>
  <c r="J270" i="1"/>
  <c r="J250" i="1"/>
  <c r="J214" i="1"/>
  <c r="J170" i="1"/>
  <c r="J158" i="1"/>
  <c r="J110" i="1"/>
  <c r="J2793" i="1"/>
  <c r="J2862" i="1"/>
  <c r="J2835" i="1"/>
  <c r="J2820" i="1"/>
  <c r="J2616" i="1"/>
  <c r="J2447" i="1"/>
  <c r="J2443" i="1"/>
  <c r="J2439" i="1"/>
  <c r="J2604" i="1"/>
  <c r="J2643" i="1"/>
  <c r="J2877" i="1"/>
  <c r="J2505" i="1"/>
  <c r="J1450" i="1"/>
  <c r="J1446" i="1"/>
  <c r="J1415" i="1"/>
  <c r="J2912" i="1"/>
  <c r="J2908" i="1"/>
  <c r="J2904" i="1"/>
  <c r="J1493" i="1"/>
  <c r="J2474" i="1"/>
  <c r="J2885" i="1"/>
  <c r="J2655" i="1"/>
  <c r="J2497" i="1"/>
  <c r="J2690" i="1"/>
  <c r="J2048" i="1"/>
  <c r="J2893" i="1"/>
  <c r="J2021" i="1"/>
  <c r="J2663" i="1"/>
  <c r="J1579" i="1"/>
  <c r="J1567" i="1"/>
  <c r="J1563" i="1"/>
  <c r="J1547" i="1"/>
  <c r="J2482" i="1"/>
  <c r="J2889" i="1"/>
  <c r="J2927" i="1"/>
  <c r="J2755" i="1"/>
  <c r="J2751" i="1"/>
  <c r="J2747" i="1"/>
  <c r="J2709" i="1"/>
  <c r="J2701" i="1"/>
  <c r="J2839" i="1"/>
  <c r="J2693" i="1"/>
  <c r="J2207" i="1"/>
  <c r="J2195" i="1"/>
  <c r="J2101" i="1"/>
  <c r="J2074" i="1"/>
  <c r="J2070" i="1"/>
  <c r="J1696" i="1"/>
  <c r="J1645" i="1"/>
  <c r="J2781" i="1"/>
  <c r="J2277" i="1"/>
  <c r="J2093" i="1"/>
  <c r="J1788" i="1"/>
  <c r="J1754" i="1"/>
  <c r="J1750" i="1"/>
  <c r="J1727" i="1"/>
  <c r="J1711" i="1"/>
  <c r="J1707" i="1"/>
  <c r="J1069" i="1"/>
  <c r="J1065" i="1"/>
  <c r="J884" i="1"/>
  <c r="J576" i="1"/>
  <c r="J2329" i="1"/>
  <c r="J1500" i="1"/>
  <c r="J1356" i="1"/>
  <c r="J2040" i="1"/>
  <c r="J1674" i="1"/>
  <c r="J1407" i="1"/>
  <c r="J2942" i="1"/>
  <c r="J2923" i="1"/>
  <c r="J2446" i="1"/>
  <c r="J2231" i="1"/>
  <c r="J2082" i="1"/>
  <c r="J2028" i="1"/>
  <c r="J1962" i="1"/>
  <c r="J1598" i="1"/>
  <c r="J1562" i="1"/>
  <c r="J137" i="1"/>
  <c r="J2788" i="1"/>
  <c r="J2546" i="1"/>
  <c r="J2500" i="1"/>
  <c r="J1985" i="1"/>
  <c r="J557" i="1"/>
  <c r="J518" i="1"/>
  <c r="J494" i="1"/>
  <c r="J2488" i="1"/>
  <c r="J2922" i="1"/>
  <c r="J2738" i="1"/>
  <c r="J2425" i="1"/>
  <c r="J2972" i="1"/>
  <c r="J2968" i="1"/>
  <c r="J2960" i="1"/>
  <c r="J2910" i="1"/>
  <c r="J2657" i="1"/>
  <c r="J2583" i="1"/>
  <c r="J2495" i="1"/>
  <c r="J2464" i="1"/>
  <c r="J2327" i="1"/>
  <c r="J2304" i="1"/>
  <c r="J2222" i="1"/>
  <c r="J2214" i="1"/>
  <c r="J2151" i="1"/>
  <c r="J2108" i="1"/>
  <c r="J2081" i="1"/>
  <c r="J1949" i="1"/>
  <c r="J1792" i="1"/>
  <c r="J1738" i="1"/>
  <c r="J1096" i="1"/>
  <c r="J2466" i="1"/>
  <c r="J2364" i="1"/>
  <c r="J2302" i="1"/>
  <c r="J2141" i="1"/>
  <c r="J1990" i="1"/>
  <c r="J1536" i="1"/>
  <c r="J1504" i="1"/>
  <c r="J2919" i="1"/>
  <c r="J2900" i="1"/>
  <c r="J2819" i="1"/>
  <c r="J2804" i="1"/>
  <c r="J2631" i="1"/>
  <c r="J1693" i="1"/>
  <c r="J1670" i="1"/>
  <c r="J2450" i="1"/>
  <c r="J1841" i="1"/>
  <c r="J145" i="1"/>
  <c r="J2558" i="1"/>
  <c r="J2496" i="1"/>
  <c r="J2340" i="1"/>
  <c r="J2266" i="1"/>
  <c r="J1946" i="1"/>
  <c r="J510" i="1"/>
  <c r="J486" i="1"/>
  <c r="J2957" i="1"/>
  <c r="J2853" i="1"/>
  <c r="J2818" i="1"/>
  <c r="J2967" i="1"/>
  <c r="J2956" i="1"/>
  <c r="J2952" i="1"/>
  <c r="J2898" i="1"/>
  <c r="J2894" i="1"/>
  <c r="J2775" i="1"/>
  <c r="J2722" i="1"/>
  <c r="J2684" i="1"/>
  <c r="J2680" i="1"/>
  <c r="J2676" i="1"/>
  <c r="J2649" i="1"/>
  <c r="J2621" i="1"/>
  <c r="J2610" i="1"/>
  <c r="J2606" i="1"/>
  <c r="J2598" i="1"/>
  <c r="J2568" i="1"/>
  <c r="J2541" i="1"/>
  <c r="J2381" i="1"/>
  <c r="J2292" i="1"/>
  <c r="J2284" i="1"/>
  <c r="J2268" i="1"/>
  <c r="J2131" i="1"/>
  <c r="J2100" i="1"/>
  <c r="J1976" i="1"/>
  <c r="J1925" i="1"/>
  <c r="J1811" i="1"/>
  <c r="J1734" i="1"/>
  <c r="J1231" i="1"/>
  <c r="J1104" i="1"/>
  <c r="J1092" i="1"/>
  <c r="J1678" i="1"/>
  <c r="J2938" i="1"/>
  <c r="J2892" i="1"/>
  <c r="J2481" i="1"/>
  <c r="J2454" i="1"/>
  <c r="J2352" i="1"/>
  <c r="J2044" i="1"/>
  <c r="J1570" i="1"/>
  <c r="J1461" i="1"/>
  <c r="J161" i="1"/>
  <c r="J2857" i="1"/>
  <c r="J2750" i="1"/>
  <c r="J2387" i="1"/>
  <c r="J2262" i="1"/>
  <c r="J545" i="1"/>
  <c r="J2961" i="1"/>
  <c r="J2433" i="1"/>
  <c r="J2891" i="1"/>
  <c r="J2826" i="1"/>
  <c r="J2718" i="1"/>
  <c r="J2514" i="1"/>
  <c r="J2510" i="1"/>
  <c r="J2444" i="1"/>
  <c r="J2412" i="1"/>
  <c r="J2350" i="1"/>
  <c r="J2318" i="1"/>
  <c r="J2229" i="1"/>
  <c r="J2193" i="1"/>
  <c r="J2123" i="1"/>
  <c r="J2061" i="1"/>
  <c r="J1883" i="1"/>
  <c r="J1875" i="1"/>
  <c r="J1863" i="1"/>
  <c r="J1290" i="1"/>
  <c r="J1139" i="1"/>
  <c r="J2470" i="1"/>
  <c r="J2376" i="1"/>
  <c r="J2129" i="1"/>
  <c r="J1994" i="1"/>
  <c r="J1348" i="1"/>
  <c r="J2958" i="1"/>
  <c r="J2823" i="1"/>
  <c r="J2808" i="1"/>
  <c r="J2678" i="1"/>
  <c r="J2635" i="1"/>
  <c r="J2204" i="1"/>
  <c r="J2063" i="1"/>
  <c r="J1908" i="1"/>
  <c r="J89" i="1"/>
  <c r="J2888" i="1"/>
  <c r="J2716" i="1"/>
  <c r="J2666" i="1"/>
  <c r="J2477" i="1"/>
  <c r="J2348" i="1"/>
  <c r="J2278" i="1"/>
  <c r="J2032" i="1"/>
  <c r="J1857" i="1"/>
  <c r="J133" i="1"/>
  <c r="J2907" i="1"/>
  <c r="J2880" i="1"/>
  <c r="J2765" i="1"/>
  <c r="J2554" i="1"/>
  <c r="J2379" i="1"/>
  <c r="J569" i="1"/>
  <c r="J549" i="1"/>
  <c r="J2803" i="1"/>
  <c r="J2603" i="1"/>
  <c r="J2569" i="1"/>
  <c r="J2937" i="1"/>
  <c r="J2822" i="1"/>
  <c r="J2472" i="1"/>
  <c r="J2445" i="1"/>
  <c r="J2421" i="1"/>
  <c r="J2312" i="1"/>
  <c r="J2794" i="1"/>
  <c r="J2790" i="1"/>
  <c r="J2752" i="1"/>
  <c r="J2714" i="1"/>
  <c r="J2706" i="1"/>
  <c r="J2679" i="1"/>
  <c r="J2660" i="1"/>
  <c r="J2656" i="1"/>
  <c r="J2567" i="1"/>
  <c r="J2556" i="1"/>
  <c r="J2517" i="1"/>
  <c r="J2423" i="1"/>
  <c r="J2408" i="1"/>
  <c r="J2342" i="1"/>
  <c r="J2213" i="1"/>
  <c r="J2169" i="1"/>
  <c r="J2138" i="1"/>
  <c r="J1956" i="1"/>
  <c r="J1944" i="1"/>
  <c r="J1913" i="1"/>
  <c r="J1474" i="1"/>
  <c r="J1470" i="1"/>
  <c r="J1443" i="1"/>
  <c r="J1388" i="1"/>
  <c r="J1364" i="1"/>
  <c r="J1341" i="1"/>
  <c r="J930" i="1"/>
  <c r="J2903" i="1"/>
  <c r="J2846" i="1"/>
  <c r="J2834" i="1"/>
  <c r="J2827" i="1"/>
  <c r="J2789" i="1"/>
  <c r="J2770" i="1"/>
  <c r="J2766" i="1"/>
  <c r="J2736" i="1"/>
  <c r="J2717" i="1"/>
  <c r="J2648" i="1"/>
  <c r="J2644" i="1"/>
  <c r="J2632" i="1"/>
  <c r="J2613" i="1"/>
  <c r="J2545" i="1"/>
  <c r="J2530" i="1"/>
  <c r="J2484" i="1"/>
  <c r="J2465" i="1"/>
  <c r="J2438" i="1"/>
  <c r="J2434" i="1"/>
  <c r="J2422" i="1"/>
  <c r="J2407" i="1"/>
  <c r="J2399" i="1"/>
  <c r="J2384" i="1"/>
  <c r="J2372" i="1"/>
  <c r="J2334" i="1"/>
  <c r="J2303" i="1"/>
  <c r="J2234" i="1"/>
  <c r="J2146" i="1"/>
  <c r="J2089" i="1"/>
  <c r="J2062" i="1"/>
  <c r="J2051" i="1"/>
  <c r="J2031" i="1"/>
  <c r="J2027" i="1"/>
  <c r="J1920" i="1"/>
  <c r="J1858" i="1"/>
  <c r="J1854" i="1"/>
  <c r="J1850" i="1"/>
  <c r="J1834" i="1"/>
  <c r="J1826" i="1"/>
  <c r="J1818" i="1"/>
  <c r="J1783" i="1"/>
  <c r="J1610" i="1"/>
  <c r="J1586" i="1"/>
  <c r="J1532" i="1"/>
  <c r="J1508" i="1"/>
  <c r="J1481" i="1"/>
  <c r="J1257" i="1"/>
  <c r="J1253" i="1"/>
  <c r="J1171" i="1"/>
  <c r="J800" i="1"/>
  <c r="J780" i="1"/>
  <c r="J768" i="1"/>
  <c r="J691" i="1"/>
  <c r="J600" i="1"/>
  <c r="J564" i="1"/>
  <c r="J552" i="1"/>
  <c r="J438" i="1"/>
  <c r="J407" i="1"/>
  <c r="J403" i="1"/>
  <c r="J399" i="1"/>
  <c r="J395" i="1"/>
  <c r="J196" i="1"/>
  <c r="J81" i="1"/>
  <c r="J77" i="1"/>
  <c r="J65" i="1"/>
  <c r="J45" i="1"/>
  <c r="J41" i="1"/>
  <c r="J375" i="1"/>
  <c r="J2134" i="1"/>
  <c r="J2130" i="1"/>
  <c r="J2119" i="1"/>
  <c r="J2115" i="1"/>
  <c r="J2096" i="1"/>
  <c r="J1919" i="1"/>
  <c r="J1904" i="1"/>
  <c r="J1900" i="1"/>
  <c r="J1865" i="1"/>
  <c r="J1669" i="1"/>
  <c r="J836" i="1"/>
  <c r="J808" i="1"/>
  <c r="J776" i="1"/>
  <c r="J741" i="1"/>
  <c r="J647" i="1"/>
  <c r="J639" i="1"/>
  <c r="J572" i="1"/>
  <c r="J560" i="1"/>
  <c r="J501" i="1"/>
  <c r="J1233" i="1"/>
  <c r="J1182" i="1"/>
  <c r="J717" i="1"/>
  <c r="J410" i="1"/>
  <c r="J402" i="1"/>
  <c r="J1641" i="1"/>
  <c r="J1476" i="1"/>
  <c r="J2970" i="1"/>
  <c r="J2879" i="1"/>
  <c r="J2875" i="1"/>
  <c r="J2871" i="1"/>
  <c r="J2856" i="1"/>
  <c r="J2849" i="1"/>
  <c r="J2845" i="1"/>
  <c r="J2841" i="1"/>
  <c r="J2829" i="1"/>
  <c r="J2825" i="1"/>
  <c r="J2814" i="1"/>
  <c r="J2810" i="1"/>
  <c r="J2780" i="1"/>
  <c r="J2753" i="1"/>
  <c r="J2742" i="1"/>
  <c r="J2731" i="1"/>
  <c r="J2708" i="1"/>
  <c r="J2654" i="1"/>
  <c r="J2627" i="1"/>
  <c r="J2623" i="1"/>
  <c r="J2593" i="1"/>
  <c r="J2574" i="1"/>
  <c r="J2528" i="1"/>
  <c r="J2502" i="1"/>
  <c r="J2487" i="1"/>
  <c r="J2417" i="1"/>
  <c r="J2402" i="1"/>
  <c r="J2390" i="1"/>
  <c r="J2375" i="1"/>
  <c r="J2371" i="1"/>
  <c r="J2363" i="1"/>
  <c r="J2321" i="1"/>
  <c r="J2313" i="1"/>
  <c r="J2279" i="1"/>
  <c r="J2260" i="1"/>
  <c r="J2256" i="1"/>
  <c r="J2240" i="1"/>
  <c r="J2217" i="1"/>
  <c r="J2187" i="1"/>
  <c r="J2172" i="1"/>
  <c r="J2118" i="1"/>
  <c r="J2076" i="1"/>
  <c r="J2042" i="1"/>
  <c r="J2026" i="1"/>
  <c r="J2000" i="1"/>
  <c r="J1938" i="1"/>
  <c r="J1813" i="1"/>
  <c r="J1809" i="1"/>
  <c r="J1709" i="1"/>
  <c r="J1702" i="1"/>
  <c r="J1664" i="1"/>
  <c r="J1652" i="1"/>
  <c r="J1633" i="1"/>
  <c r="J1609" i="1"/>
  <c r="J1601" i="1"/>
  <c r="J1573" i="1"/>
  <c r="J1569" i="1"/>
  <c r="J1437" i="1"/>
  <c r="J1433" i="1"/>
  <c r="J1276" i="1"/>
  <c r="J1244" i="1"/>
  <c r="J1221" i="1"/>
  <c r="J1209" i="1"/>
  <c r="J980" i="1"/>
  <c r="J972" i="1"/>
  <c r="J874" i="1"/>
  <c r="J771" i="1"/>
  <c r="J583" i="1"/>
  <c r="J2939" i="1"/>
  <c r="J2924" i="1"/>
  <c r="J2917" i="1"/>
  <c r="J2913" i="1"/>
  <c r="J2905" i="1"/>
  <c r="J2874" i="1"/>
  <c r="J2867" i="1"/>
  <c r="J2837" i="1"/>
  <c r="J2798" i="1"/>
  <c r="J2757" i="1"/>
  <c r="J2703" i="1"/>
  <c r="J2696" i="1"/>
  <c r="J2685" i="1"/>
  <c r="J2681" i="1"/>
  <c r="J2658" i="1"/>
  <c r="J2592" i="1"/>
  <c r="J2577" i="1"/>
  <c r="J2566" i="1"/>
  <c r="J2555" i="1"/>
  <c r="J2456" i="1"/>
  <c r="J2452" i="1"/>
  <c r="J2448" i="1"/>
  <c r="J2355" i="1"/>
  <c r="J2309" i="1"/>
  <c r="J2267" i="1"/>
  <c r="J2248" i="1"/>
  <c r="J2244" i="1"/>
  <c r="J2206" i="1"/>
  <c r="J2202" i="1"/>
  <c r="J2198" i="1"/>
  <c r="J2091" i="1"/>
  <c r="J2068" i="1"/>
  <c r="J1934" i="1"/>
  <c r="J1930" i="1"/>
  <c r="J1907" i="1"/>
  <c r="J1903" i="1"/>
  <c r="J1747" i="1"/>
  <c r="J1732" i="1"/>
  <c r="J1713" i="1"/>
  <c r="J1684" i="1"/>
  <c r="J1680" i="1"/>
  <c r="J1672" i="1"/>
  <c r="J1660" i="1"/>
  <c r="J1656" i="1"/>
  <c r="J1283" i="1"/>
  <c r="J1272" i="1"/>
  <c r="J1248" i="1"/>
  <c r="J1007" i="1"/>
  <c r="J869" i="1"/>
  <c r="J866" i="1"/>
  <c r="J839" i="1"/>
  <c r="J831" i="1"/>
  <c r="J622" i="1"/>
  <c r="J610" i="1"/>
  <c r="J606" i="1"/>
  <c r="J2950" i="1"/>
  <c r="J2935" i="1"/>
  <c r="J2776" i="1"/>
  <c r="J2768" i="1"/>
  <c r="J2760" i="1"/>
  <c r="J2726" i="1"/>
  <c r="J2711" i="1"/>
  <c r="J2688" i="1"/>
  <c r="J2646" i="1"/>
  <c r="J2642" i="1"/>
  <c r="J2634" i="1"/>
  <c r="J2551" i="1"/>
  <c r="J2494" i="1"/>
  <c r="J2459" i="1"/>
  <c r="J2436" i="1"/>
  <c r="J2432" i="1"/>
  <c r="J2424" i="1"/>
  <c r="J2370" i="1"/>
  <c r="J2351" i="1"/>
  <c r="J2324" i="1"/>
  <c r="J2286" i="1"/>
  <c r="J2232" i="1"/>
  <c r="J2190" i="1"/>
  <c r="J2186" i="1"/>
  <c r="J2106" i="1"/>
  <c r="J2060" i="1"/>
  <c r="J2033" i="1"/>
  <c r="J1995" i="1"/>
  <c r="J1991" i="1"/>
  <c r="J1972" i="1"/>
  <c r="J1922" i="1"/>
  <c r="J1918" i="1"/>
  <c r="J1868" i="1"/>
  <c r="J1856" i="1"/>
  <c r="J1836" i="1"/>
  <c r="J1781" i="1"/>
  <c r="J1746" i="1"/>
  <c r="J1580" i="1"/>
  <c r="J1553" i="1"/>
  <c r="J1432" i="1"/>
  <c r="J1322" i="1"/>
  <c r="J1291" i="1"/>
  <c r="J1161" i="1"/>
  <c r="J1042" i="1"/>
  <c r="J987" i="1"/>
  <c r="J2519" i="1"/>
  <c r="J2508" i="1"/>
  <c r="J2489" i="1"/>
  <c r="J2442" i="1"/>
  <c r="J2411" i="1"/>
  <c r="J2400" i="1"/>
  <c r="J2373" i="1"/>
  <c r="J2369" i="1"/>
  <c r="J2349" i="1"/>
  <c r="J2330" i="1"/>
  <c r="J2319" i="1"/>
  <c r="J2289" i="1"/>
  <c r="J2285" i="1"/>
  <c r="J2281" i="1"/>
  <c r="J2258" i="1"/>
  <c r="J2239" i="1"/>
  <c r="J2235" i="1"/>
  <c r="J2194" i="1"/>
  <c r="J2152" i="1"/>
  <c r="J2144" i="1"/>
  <c r="J2114" i="1"/>
  <c r="J2103" i="1"/>
  <c r="J2084" i="1"/>
  <c r="J2039" i="1"/>
  <c r="J2012" i="1"/>
  <c r="J2001" i="1"/>
  <c r="J1997" i="1"/>
  <c r="J1989" i="1"/>
  <c r="J1955" i="1"/>
  <c r="J1940" i="1"/>
  <c r="J1921" i="1"/>
  <c r="J1917" i="1"/>
  <c r="J1864" i="1"/>
  <c r="J1860" i="1"/>
  <c r="J1829" i="1"/>
  <c r="J1814" i="1"/>
  <c r="J1799" i="1"/>
  <c r="J1791" i="1"/>
  <c r="J1787" i="1"/>
  <c r="J1772" i="1"/>
  <c r="J1768" i="1"/>
  <c r="J1716" i="1"/>
  <c r="J1597" i="1"/>
  <c r="J1593" i="1"/>
  <c r="J1585" i="1"/>
  <c r="J1577" i="1"/>
  <c r="J1565" i="1"/>
  <c r="J1554" i="1"/>
  <c r="J1527" i="1"/>
  <c r="J1357" i="1"/>
  <c r="J1345" i="1"/>
  <c r="J1326" i="1"/>
  <c r="J1299" i="1"/>
  <c r="J1275" i="1"/>
  <c r="J1158" i="1"/>
  <c r="J1143" i="1"/>
  <c r="J1115" i="1"/>
  <c r="J1099" i="1"/>
  <c r="J1091" i="1"/>
  <c r="J1080" i="1"/>
  <c r="J1056" i="1"/>
  <c r="J955" i="1"/>
  <c r="J943" i="1"/>
  <c r="J897" i="1"/>
  <c r="J850" i="1"/>
  <c r="J815" i="1"/>
  <c r="J803" i="1"/>
  <c r="J642" i="1"/>
  <c r="J579" i="1"/>
  <c r="J453" i="1"/>
  <c r="J176" i="1"/>
  <c r="J152" i="1"/>
  <c r="J116" i="1"/>
  <c r="J92" i="1"/>
  <c r="J88" i="1"/>
  <c r="J37" i="1"/>
  <c r="J2250" i="1"/>
  <c r="J2246" i="1"/>
  <c r="J2242" i="1"/>
  <c r="J2223" i="1"/>
  <c r="J2087" i="1"/>
  <c r="J2046" i="1"/>
  <c r="J2015" i="1"/>
  <c r="J2008" i="1"/>
  <c r="J1992" i="1"/>
  <c r="J1966" i="1"/>
  <c r="J1905" i="1"/>
  <c r="J1871" i="1"/>
  <c r="J1848" i="1"/>
  <c r="J1704" i="1"/>
  <c r="J1686" i="1"/>
  <c r="J1682" i="1"/>
  <c r="J1663" i="1"/>
  <c r="J1651" i="1"/>
  <c r="J1643" i="1"/>
  <c r="J1612" i="1"/>
  <c r="J1608" i="1"/>
  <c r="J1592" i="1"/>
  <c r="J1522" i="1"/>
  <c r="J1502" i="1"/>
  <c r="J1367" i="1"/>
  <c r="J1333" i="1"/>
  <c r="J1294" i="1"/>
  <c r="J1131" i="1"/>
  <c r="J1123" i="1"/>
  <c r="J1119" i="1"/>
  <c r="J978" i="1"/>
  <c r="J970" i="1"/>
  <c r="J950" i="1"/>
  <c r="J915" i="1"/>
  <c r="J849" i="1"/>
  <c r="J838" i="1"/>
  <c r="J712" i="1"/>
  <c r="J708" i="1"/>
  <c r="J689" i="1"/>
  <c r="J681" i="1"/>
  <c r="J590" i="1"/>
  <c r="J492" i="1"/>
  <c r="J259" i="1"/>
  <c r="J207" i="1"/>
  <c r="J76" i="1"/>
  <c r="J68" i="1"/>
  <c r="J64" i="1"/>
  <c r="J60" i="1"/>
  <c r="J52" i="1"/>
  <c r="J429" i="1"/>
  <c r="J425" i="1"/>
  <c r="J183" i="1"/>
  <c r="J179" i="1"/>
  <c r="J2341" i="1"/>
  <c r="J2298" i="1"/>
  <c r="J2261" i="1"/>
  <c r="J2192" i="1"/>
  <c r="J2166" i="1"/>
  <c r="J2162" i="1"/>
  <c r="J2112" i="1"/>
  <c r="J2064" i="1"/>
  <c r="J2053" i="1"/>
  <c r="J2011" i="1"/>
  <c r="J1996" i="1"/>
  <c r="J1954" i="1"/>
  <c r="J1950" i="1"/>
  <c r="J1935" i="1"/>
  <c r="J1931" i="1"/>
  <c r="J1916" i="1"/>
  <c r="J1878" i="1"/>
  <c r="J1859" i="1"/>
  <c r="J1832" i="1"/>
  <c r="J1828" i="1"/>
  <c r="J1790" i="1"/>
  <c r="J1748" i="1"/>
  <c r="J1703" i="1"/>
  <c r="J1658" i="1"/>
  <c r="J1639" i="1"/>
  <c r="J1631" i="1"/>
  <c r="J1576" i="1"/>
  <c r="J1572" i="1"/>
  <c r="J1568" i="1"/>
  <c r="J1514" i="1"/>
  <c r="J1494" i="1"/>
  <c r="J1479" i="1"/>
  <c r="J1410" i="1"/>
  <c r="J1394" i="1"/>
  <c r="J1371" i="1"/>
  <c r="J1344" i="1"/>
  <c r="J1278" i="1"/>
  <c r="J1226" i="1"/>
  <c r="J1199" i="1"/>
  <c r="J1188" i="1"/>
  <c r="J1176" i="1"/>
  <c r="J1145" i="1"/>
  <c r="J1110" i="1"/>
  <c r="J954" i="1"/>
  <c r="J876" i="1"/>
  <c r="J872" i="1"/>
  <c r="J797" i="1"/>
  <c r="J773" i="1"/>
  <c r="J762" i="1"/>
  <c r="J684" i="1"/>
  <c r="J542" i="1"/>
  <c r="J468" i="1"/>
  <c r="J306" i="1"/>
  <c r="J302" i="1"/>
  <c r="J1870" i="1"/>
  <c r="J1843" i="1"/>
  <c r="J1797" i="1"/>
  <c r="J1778" i="1"/>
  <c r="J1733" i="1"/>
  <c r="J1673" i="1"/>
  <c r="J1666" i="1"/>
  <c r="J1662" i="1"/>
  <c r="J1654" i="1"/>
  <c r="J1615" i="1"/>
  <c r="J1611" i="1"/>
  <c r="J1603" i="1"/>
  <c r="J1541" i="1"/>
  <c r="J1478" i="1"/>
  <c r="J1463" i="1"/>
  <c r="J1455" i="1"/>
  <c r="J1440" i="1"/>
  <c r="J1406" i="1"/>
  <c r="J1370" i="1"/>
  <c r="J1218" i="1"/>
  <c r="J1195" i="1"/>
  <c r="J1175" i="1"/>
  <c r="J1160" i="1"/>
  <c r="J1126" i="1"/>
  <c r="J1102" i="1"/>
  <c r="J996" i="1"/>
  <c r="J942" i="1"/>
  <c r="J719" i="1"/>
  <c r="J668" i="1"/>
  <c r="J660" i="1"/>
  <c r="J503" i="1"/>
  <c r="J483" i="1"/>
  <c r="J282" i="1"/>
  <c r="J1097" i="1"/>
  <c r="J957" i="1"/>
  <c r="J895" i="1"/>
  <c r="J891" i="1"/>
  <c r="J801" i="1"/>
  <c r="J722" i="1"/>
  <c r="J522" i="1"/>
  <c r="J475" i="1"/>
  <c r="J361" i="1"/>
  <c r="J357" i="1"/>
  <c r="J345" i="1"/>
  <c r="J1775" i="1"/>
  <c r="J1749" i="1"/>
  <c r="J1723" i="1"/>
  <c r="J1708" i="1"/>
  <c r="J1690" i="1"/>
  <c r="J1675" i="1"/>
  <c r="J1655" i="1"/>
  <c r="J1648" i="1"/>
  <c r="J1644" i="1"/>
  <c r="J1621" i="1"/>
  <c r="J1613" i="1"/>
  <c r="J1594" i="1"/>
  <c r="J1590" i="1"/>
  <c r="J1582" i="1"/>
  <c r="J1574" i="1"/>
  <c r="J1548" i="1"/>
  <c r="J1486" i="1"/>
  <c r="J1392" i="1"/>
  <c r="J1372" i="1"/>
  <c r="J1338" i="1"/>
  <c r="J1334" i="1"/>
  <c r="J1323" i="1"/>
  <c r="J1296" i="1"/>
  <c r="J1207" i="1"/>
  <c r="J1157" i="1"/>
  <c r="J1116" i="1"/>
  <c r="J1077" i="1"/>
  <c r="J1053" i="1"/>
  <c r="J1031" i="1"/>
  <c r="J1004" i="1"/>
  <c r="J981" i="1"/>
  <c r="J939" i="1"/>
  <c r="J927" i="1"/>
  <c r="J920" i="1"/>
  <c r="J912" i="1"/>
  <c r="J896" i="1"/>
  <c r="J873" i="1"/>
  <c r="J828" i="1"/>
  <c r="J816" i="1"/>
  <c r="J812" i="1"/>
  <c r="J789" i="1"/>
  <c r="J731" i="1"/>
  <c r="J677" i="1"/>
  <c r="J650" i="1"/>
  <c r="J635" i="1"/>
  <c r="J573" i="1"/>
  <c r="J546" i="1"/>
  <c r="J515" i="1"/>
  <c r="J419" i="1"/>
  <c r="J338" i="1"/>
  <c r="J307" i="1"/>
  <c r="J303" i="1"/>
  <c r="J204" i="1"/>
  <c r="J200" i="1"/>
  <c r="J160" i="1"/>
  <c r="J109" i="1"/>
  <c r="J73" i="1"/>
  <c r="J53" i="1"/>
  <c r="J49" i="1"/>
  <c r="J22" i="1"/>
  <c r="J18" i="1"/>
  <c r="J390" i="1"/>
  <c r="J356" i="1"/>
  <c r="J348" i="1"/>
  <c r="J178" i="1"/>
  <c r="J139" i="1"/>
  <c r="J135" i="1"/>
  <c r="J107" i="1"/>
  <c r="J83" i="1"/>
  <c r="J1627" i="1"/>
  <c r="J1607" i="1"/>
  <c r="J1588" i="1"/>
  <c r="J1539" i="1"/>
  <c r="J1515" i="1"/>
  <c r="J1496" i="1"/>
  <c r="J1488" i="1"/>
  <c r="J1473" i="1"/>
  <c r="J1469" i="1"/>
  <c r="J1397" i="1"/>
  <c r="J1390" i="1"/>
  <c r="J1386" i="1"/>
  <c r="J1378" i="1"/>
  <c r="J1343" i="1"/>
  <c r="J1317" i="1"/>
  <c r="J1282" i="1"/>
  <c r="J1274" i="1"/>
  <c r="J1255" i="1"/>
  <c r="J1216" i="1"/>
  <c r="J1186" i="1"/>
  <c r="J1167" i="1"/>
  <c r="J1141" i="1"/>
  <c r="J1079" i="1"/>
  <c r="J1067" i="1"/>
  <c r="J1063" i="1"/>
  <c r="J1033" i="1"/>
  <c r="J1026" i="1"/>
  <c r="J1018" i="1"/>
  <c r="J1010" i="1"/>
  <c r="J991" i="1"/>
  <c r="J979" i="1"/>
  <c r="J971" i="1"/>
  <c r="J922" i="1"/>
  <c r="J918" i="1"/>
  <c r="J906" i="1"/>
  <c r="J852" i="1"/>
  <c r="J834" i="1"/>
  <c r="J787" i="1"/>
  <c r="J783" i="1"/>
  <c r="J759" i="1"/>
  <c r="J744" i="1"/>
  <c r="J729" i="1"/>
  <c r="J705" i="1"/>
  <c r="J597" i="1"/>
  <c r="J393" i="1"/>
  <c r="J258" i="1"/>
  <c r="J238" i="1"/>
  <c r="J230" i="1"/>
  <c r="J226" i="1"/>
  <c r="J222" i="1"/>
  <c r="J218" i="1"/>
  <c r="J134" i="1"/>
  <c r="J103" i="1"/>
  <c r="J99" i="1"/>
  <c r="J91" i="1"/>
  <c r="J945" i="1"/>
  <c r="J937" i="1"/>
  <c r="J818" i="1"/>
  <c r="J752" i="1"/>
  <c r="J740" i="1"/>
  <c r="J698" i="1"/>
  <c r="J667" i="1"/>
  <c r="J652" i="1"/>
  <c r="J621" i="1"/>
  <c r="J605" i="1"/>
  <c r="J536" i="1"/>
  <c r="J532" i="1"/>
  <c r="J528" i="1"/>
  <c r="J470" i="1"/>
  <c r="J455" i="1"/>
  <c r="J409" i="1"/>
  <c r="J320" i="1"/>
  <c r="J1676" i="1"/>
  <c r="J1657" i="1"/>
  <c r="J1622" i="1"/>
  <c r="J1595" i="1"/>
  <c r="J1495" i="1"/>
  <c r="J1487" i="1"/>
  <c r="J1468" i="1"/>
  <c r="J1449" i="1"/>
  <c r="J1373" i="1"/>
  <c r="J1358" i="1"/>
  <c r="J1347" i="1"/>
  <c r="J1254" i="1"/>
  <c r="J1242" i="1"/>
  <c r="J1136" i="1"/>
  <c r="J1083" i="1"/>
  <c r="J1071" i="1"/>
  <c r="J1017" i="1"/>
  <c r="J1002" i="1"/>
  <c r="J975" i="1"/>
  <c r="J948" i="1"/>
  <c r="J936" i="1"/>
  <c r="J929" i="1"/>
  <c r="J902" i="1"/>
  <c r="J875" i="1"/>
  <c r="J806" i="1"/>
  <c r="J786" i="1"/>
  <c r="J728" i="1"/>
  <c r="J690" i="1"/>
  <c r="J682" i="1"/>
  <c r="J659" i="1"/>
  <c r="J640" i="1"/>
  <c r="J582" i="1"/>
  <c r="J578" i="1"/>
  <c r="J567" i="1"/>
  <c r="J531" i="1"/>
  <c r="J489" i="1"/>
  <c r="J443" i="1"/>
  <c r="J424" i="1"/>
  <c r="J416" i="1"/>
  <c r="J370" i="1"/>
  <c r="J359" i="1"/>
  <c r="J343" i="1"/>
  <c r="J288" i="1"/>
  <c r="J277" i="1"/>
  <c r="J273" i="1"/>
  <c r="J269" i="1"/>
  <c r="J261" i="1"/>
  <c r="J193" i="1"/>
  <c r="J154" i="1"/>
  <c r="J150" i="1"/>
  <c r="J146" i="1"/>
  <c r="J74" i="1"/>
  <c r="J70" i="1"/>
  <c r="J47" i="1"/>
  <c r="J1452" i="1"/>
  <c r="J1434" i="1"/>
  <c r="J1419" i="1"/>
  <c r="J1412" i="1"/>
  <c r="J1365" i="1"/>
  <c r="J1346" i="1"/>
  <c r="J1293" i="1"/>
  <c r="J1277" i="1"/>
  <c r="J1266" i="1"/>
  <c r="J1211" i="1"/>
  <c r="J1197" i="1"/>
  <c r="J1181" i="1"/>
  <c r="J1173" i="1"/>
  <c r="J1125" i="1"/>
  <c r="J1090" i="1"/>
  <c r="J1070" i="1"/>
  <c r="J1058" i="1"/>
  <c r="J994" i="1"/>
  <c r="J963" i="1"/>
  <c r="J921" i="1"/>
  <c r="J890" i="1"/>
  <c r="J886" i="1"/>
  <c r="J882" i="1"/>
  <c r="J871" i="1"/>
  <c r="J794" i="1"/>
  <c r="J790" i="1"/>
  <c r="J774" i="1"/>
  <c r="J724" i="1"/>
  <c r="J701" i="1"/>
  <c r="J624" i="1"/>
  <c r="J446" i="1"/>
  <c r="J354" i="1"/>
  <c r="J253" i="1"/>
  <c r="J245" i="1"/>
  <c r="J221" i="1"/>
  <c r="J217" i="1"/>
  <c r="J209" i="1"/>
  <c r="J157" i="1"/>
  <c r="J149" i="1"/>
  <c r="J130" i="1"/>
  <c r="J126" i="1"/>
  <c r="J122" i="1"/>
  <c r="J94" i="1"/>
  <c r="J90" i="1"/>
  <c r="J2529" i="1"/>
  <c r="J1926" i="1"/>
  <c r="J2966" i="1"/>
  <c r="J2936" i="1"/>
  <c r="J2748" i="1"/>
  <c r="J2673" i="1"/>
  <c r="J2255" i="1"/>
  <c r="J2969" i="1"/>
  <c r="J2870" i="1"/>
  <c r="J2830" i="1"/>
  <c r="J2744" i="1"/>
  <c r="J2575" i="1"/>
  <c r="J2564" i="1"/>
  <c r="J2526" i="1"/>
  <c r="J2420" i="1"/>
  <c r="J2360" i="1"/>
  <c r="J1893" i="1"/>
  <c r="J2906" i="1"/>
  <c r="J2537" i="1"/>
  <c r="J2367" i="1"/>
  <c r="J2946" i="1"/>
  <c r="J2585" i="1"/>
  <c r="J2397" i="1"/>
  <c r="J2949" i="1"/>
  <c r="J2758" i="1"/>
  <c r="J2675" i="1"/>
  <c r="J2336" i="1"/>
  <c r="J2121" i="1"/>
  <c r="J2920" i="1"/>
  <c r="J2909" i="1"/>
  <c r="J2802" i="1"/>
  <c r="J2645" i="1"/>
  <c r="J2276" i="1"/>
  <c r="J2147" i="1"/>
  <c r="J2916" i="1"/>
  <c r="J2883" i="1"/>
  <c r="J2861" i="1"/>
  <c r="J2547" i="1"/>
  <c r="J2498" i="1"/>
  <c r="J2396" i="1"/>
  <c r="J2385" i="1"/>
  <c r="J2237" i="1"/>
  <c r="J2139" i="1"/>
  <c r="J2057" i="1"/>
  <c r="J2382" i="1"/>
  <c r="J2226" i="1"/>
  <c r="J2887" i="1"/>
  <c r="J2813" i="1"/>
  <c r="J2890" i="1"/>
  <c r="J2850" i="1"/>
  <c r="J2772" i="1"/>
  <c r="J2727" i="1"/>
  <c r="J2686" i="1"/>
  <c r="J2682" i="1"/>
  <c r="J1583" i="1"/>
  <c r="J2873" i="1"/>
  <c r="J2427" i="1"/>
  <c r="J2799" i="1"/>
  <c r="J2630" i="1"/>
  <c r="J2589" i="1"/>
  <c r="J2125" i="1"/>
  <c r="J1287" i="1"/>
  <c r="J2806" i="1"/>
  <c r="J2596" i="1"/>
  <c r="J2230" i="1"/>
  <c r="J2964" i="1"/>
  <c r="J2953" i="1"/>
  <c r="J2637" i="1"/>
  <c r="J2954" i="1"/>
  <c r="J2672" i="1"/>
  <c r="J2533" i="1"/>
  <c r="J2435" i="1"/>
  <c r="J2333" i="1"/>
  <c r="J2273" i="1"/>
  <c r="J1820" i="1"/>
  <c r="J2971" i="1"/>
  <c r="J2941" i="1"/>
  <c r="J2921" i="1"/>
  <c r="J2881" i="1"/>
  <c r="J2848" i="1"/>
  <c r="J2831" i="1"/>
  <c r="J2659" i="1"/>
  <c r="J2628" i="1"/>
  <c r="J2611" i="1"/>
  <c r="J2597" i="1"/>
  <c r="J2562" i="1"/>
  <c r="J2534" i="1"/>
  <c r="J2478" i="1"/>
  <c r="J2471" i="1"/>
  <c r="J2383" i="1"/>
  <c r="J2365" i="1"/>
  <c r="J2344" i="1"/>
  <c r="J2274" i="1"/>
  <c r="J2181" i="1"/>
  <c r="J2137" i="1"/>
  <c r="J1939" i="1"/>
  <c r="J1846" i="1"/>
  <c r="J1623" i="1"/>
  <c r="J2974" i="1"/>
  <c r="J2944" i="1"/>
  <c r="J2934" i="1"/>
  <c r="J2914" i="1"/>
  <c r="J2851" i="1"/>
  <c r="J2824" i="1"/>
  <c r="J2807" i="1"/>
  <c r="J2800" i="1"/>
  <c r="J2773" i="1"/>
  <c r="J2769" i="1"/>
  <c r="J2759" i="1"/>
  <c r="J2735" i="1"/>
  <c r="J2728" i="1"/>
  <c r="J2704" i="1"/>
  <c r="J2697" i="1"/>
  <c r="J2687" i="1"/>
  <c r="J2683" i="1"/>
  <c r="J2590" i="1"/>
  <c r="J2586" i="1"/>
  <c r="J2576" i="1"/>
  <c r="J2513" i="1"/>
  <c r="J2506" i="1"/>
  <c r="J2499" i="1"/>
  <c r="J2485" i="1"/>
  <c r="J2460" i="1"/>
  <c r="J2358" i="1"/>
  <c r="J2337" i="1"/>
  <c r="J2252" i="1"/>
  <c r="J2224" i="1"/>
  <c r="J2203" i="1"/>
  <c r="J2199" i="1"/>
  <c r="J2170" i="1"/>
  <c r="J2133" i="1"/>
  <c r="J2126" i="1"/>
  <c r="J2094" i="1"/>
  <c r="J1982" i="1"/>
  <c r="J1901" i="1"/>
  <c r="J1853" i="1"/>
  <c r="J1764" i="1"/>
  <c r="J1720" i="1"/>
  <c r="J2843" i="1"/>
  <c r="J2792" i="1"/>
  <c r="J2720" i="1"/>
  <c r="J2661" i="1"/>
  <c r="J2926" i="1"/>
  <c r="J2896" i="1"/>
  <c r="J2866" i="1"/>
  <c r="J2836" i="1"/>
  <c r="J2668" i="1"/>
  <c r="J2640" i="1"/>
  <c r="J2609" i="1"/>
  <c r="J2550" i="1"/>
  <c r="J2536" i="1"/>
  <c r="J2522" i="1"/>
  <c r="J2476" i="1"/>
  <c r="J2469" i="1"/>
  <c r="J2455" i="1"/>
  <c r="J2430" i="1"/>
  <c r="J2413" i="1"/>
  <c r="J2406" i="1"/>
  <c r="J2392" i="1"/>
  <c r="J2332" i="1"/>
  <c r="J2307" i="1"/>
  <c r="J2293" i="1"/>
  <c r="J2272" i="1"/>
  <c r="J2212" i="1"/>
  <c r="J2183" i="1"/>
  <c r="J2176" i="1"/>
  <c r="J2150" i="1"/>
  <c r="J1899" i="1"/>
  <c r="J1819" i="1"/>
  <c r="J1683" i="1"/>
  <c r="J1423" i="1"/>
  <c r="J1309" i="1"/>
  <c r="J1302" i="1"/>
  <c r="J2959" i="1"/>
  <c r="J2859" i="1"/>
  <c r="J2795" i="1"/>
  <c r="J2764" i="1"/>
  <c r="J2733" i="1"/>
  <c r="J2511" i="1"/>
  <c r="J2451" i="1"/>
  <c r="J1796" i="1"/>
  <c r="J2962" i="1"/>
  <c r="J2932" i="1"/>
  <c r="J2899" i="1"/>
  <c r="J2842" i="1"/>
  <c r="J2812" i="1"/>
  <c r="J2791" i="1"/>
  <c r="J2767" i="1"/>
  <c r="J2740" i="1"/>
  <c r="J2719" i="1"/>
  <c r="J2695" i="1"/>
  <c r="J2664" i="1"/>
  <c r="J2650" i="1"/>
  <c r="J2636" i="1"/>
  <c r="J2584" i="1"/>
  <c r="J2570" i="1"/>
  <c r="J2518" i="1"/>
  <c r="J2490" i="1"/>
  <c r="J2440" i="1"/>
  <c r="J2426" i="1"/>
  <c r="J2388" i="1"/>
  <c r="J2377" i="1"/>
  <c r="J2328" i="1"/>
  <c r="J2314" i="1"/>
  <c r="J2310" i="1"/>
  <c r="J2282" i="1"/>
  <c r="J2243" i="1"/>
  <c r="J2168" i="1"/>
  <c r="J2117" i="1"/>
  <c r="J2110" i="1"/>
  <c r="J2099" i="1"/>
  <c r="J2077" i="1"/>
  <c r="J2045" i="1"/>
  <c r="J2038" i="1"/>
  <c r="J2034" i="1"/>
  <c r="J2002" i="1"/>
  <c r="J1973" i="1"/>
  <c r="J1969" i="1"/>
  <c r="J1914" i="1"/>
  <c r="J1529" i="1"/>
  <c r="J2647" i="1"/>
  <c r="J2571" i="1"/>
  <c r="J2437" i="1"/>
  <c r="J2389" i="1"/>
  <c r="J2378" i="1"/>
  <c r="J2315" i="1"/>
  <c r="J2283" i="1"/>
  <c r="J2132" i="1"/>
  <c r="J2078" i="1"/>
  <c r="J2024" i="1"/>
  <c r="J1988" i="1"/>
  <c r="J1896" i="1"/>
  <c r="J1881" i="1"/>
  <c r="J1774" i="1"/>
  <c r="J1730" i="1"/>
  <c r="J1329" i="1"/>
  <c r="J2805" i="1"/>
  <c r="J2771" i="1"/>
  <c r="J2699" i="1"/>
  <c r="J2671" i="1"/>
  <c r="J2254" i="1"/>
  <c r="J2201" i="1"/>
  <c r="J2965" i="1"/>
  <c r="J2902" i="1"/>
  <c r="J2882" i="1"/>
  <c r="J2815" i="1"/>
  <c r="J2784" i="1"/>
  <c r="J2743" i="1"/>
  <c r="J2712" i="1"/>
  <c r="J2629" i="1"/>
  <c r="J2625" i="1"/>
  <c r="J2612" i="1"/>
  <c r="J2608" i="1"/>
  <c r="J2549" i="1"/>
  <c r="J2542" i="1"/>
  <c r="J2535" i="1"/>
  <c r="J2521" i="1"/>
  <c r="J2468" i="1"/>
  <c r="J2419" i="1"/>
  <c r="J2405" i="1"/>
  <c r="J2366" i="1"/>
  <c r="J2345" i="1"/>
  <c r="J2264" i="1"/>
  <c r="J2171" i="1"/>
  <c r="J2157" i="1"/>
  <c r="J2153" i="1"/>
  <c r="J2149" i="1"/>
  <c r="J2145" i="1"/>
  <c r="J2113" i="1"/>
  <c r="J2041" i="1"/>
  <c r="J2030" i="1"/>
  <c r="J2009" i="1"/>
  <c r="J1998" i="1"/>
  <c r="J1354" i="1"/>
  <c r="J2863" i="1"/>
  <c r="J2665" i="1"/>
  <c r="J2651" i="1"/>
  <c r="J2557" i="1"/>
  <c r="J2480" i="1"/>
  <c r="J2374" i="1"/>
  <c r="J2353" i="1"/>
  <c r="J2325" i="1"/>
  <c r="J2311" i="1"/>
  <c r="J2290" i="1"/>
  <c r="J2269" i="1"/>
  <c r="J2233" i="1"/>
  <c r="J2165" i="1"/>
  <c r="J2104" i="1"/>
  <c r="J2017" i="1"/>
  <c r="J1970" i="1"/>
  <c r="J1911" i="1"/>
  <c r="J1830" i="1"/>
  <c r="J1770" i="1"/>
  <c r="J2929" i="1"/>
  <c r="J2869" i="1"/>
  <c r="J2809" i="1"/>
  <c r="J2737" i="1"/>
  <c r="J2723" i="1"/>
  <c r="J2692" i="1"/>
  <c r="J2588" i="1"/>
  <c r="J2581" i="1"/>
  <c r="J2515" i="1"/>
  <c r="J2501" i="1"/>
  <c r="J2265" i="1"/>
  <c r="J2208" i="1"/>
  <c r="J2142" i="1"/>
  <c r="J1219" i="1"/>
  <c r="J2947" i="1"/>
  <c r="J2911" i="1"/>
  <c r="J2872" i="1"/>
  <c r="J2833" i="1"/>
  <c r="J2797" i="1"/>
  <c r="J2761" i="1"/>
  <c r="J2725" i="1"/>
  <c r="J2689" i="1"/>
  <c r="J2653" i="1"/>
  <c r="J2614" i="1"/>
  <c r="J2578" i="1"/>
  <c r="J2539" i="1"/>
  <c r="J2503" i="1"/>
  <c r="J2473" i="1"/>
  <c r="J2410" i="1"/>
  <c r="J2380" i="1"/>
  <c r="J2347" i="1"/>
  <c r="J2317" i="1"/>
  <c r="J2297" i="1"/>
  <c r="J2257" i="1"/>
  <c r="J2227" i="1"/>
  <c r="J2210" i="1"/>
  <c r="J2080" i="1"/>
  <c r="J2073" i="1"/>
  <c r="J2066" i="1"/>
  <c r="J2007" i="1"/>
  <c r="J1993" i="1"/>
  <c r="J1986" i="1"/>
  <c r="J1965" i="1"/>
  <c r="J1958" i="1"/>
  <c r="J1937" i="1"/>
  <c r="J1873" i="1"/>
  <c r="J1869" i="1"/>
  <c r="J1837" i="1"/>
  <c r="J1816" i="1"/>
  <c r="J1786" i="1"/>
  <c r="J1771" i="1"/>
  <c r="J1728" i="1"/>
  <c r="J523" i="1"/>
  <c r="J519" i="1"/>
  <c r="J2734" i="1"/>
  <c r="J2698" i="1"/>
  <c r="J2662" i="1"/>
  <c r="J2626" i="1"/>
  <c r="J2587" i="1"/>
  <c r="J2548" i="1"/>
  <c r="J2512" i="1"/>
  <c r="J2479" i="1"/>
  <c r="J2449" i="1"/>
  <c r="J2386" i="1"/>
  <c r="J2356" i="1"/>
  <c r="J2346" i="1"/>
  <c r="J2326" i="1"/>
  <c r="J2296" i="1"/>
  <c r="J2263" i="1"/>
  <c r="J2209" i="1"/>
  <c r="J2189" i="1"/>
  <c r="J2182" i="1"/>
  <c r="J2155" i="1"/>
  <c r="J2083" i="1"/>
  <c r="J2079" i="1"/>
  <c r="J2065" i="1"/>
  <c r="J2058" i="1"/>
  <c r="J1957" i="1"/>
  <c r="J1936" i="1"/>
  <c r="J1932" i="1"/>
  <c r="J1847" i="1"/>
  <c r="J1785" i="1"/>
  <c r="J1659" i="1"/>
  <c r="J1543" i="1"/>
  <c r="J1520" i="1"/>
  <c r="J1138" i="1"/>
  <c r="J29" i="1"/>
  <c r="J25" i="1"/>
  <c r="J9" i="1"/>
  <c r="J1807" i="1"/>
  <c r="J1784" i="1"/>
  <c r="J1677" i="1"/>
  <c r="J1629" i="1"/>
  <c r="J1587" i="1"/>
  <c r="J907" i="1"/>
  <c r="J903" i="1"/>
  <c r="J756" i="1"/>
  <c r="J687" i="1"/>
  <c r="J2782" i="1"/>
  <c r="J2746" i="1"/>
  <c r="J2710" i="1"/>
  <c r="J2674" i="1"/>
  <c r="J2638" i="1"/>
  <c r="J2599" i="1"/>
  <c r="J2560" i="1"/>
  <c r="J2524" i="1"/>
  <c r="J2458" i="1"/>
  <c r="J2428" i="1"/>
  <c r="J2418" i="1"/>
  <c r="J2398" i="1"/>
  <c r="J2368" i="1"/>
  <c r="J2335" i="1"/>
  <c r="J2305" i="1"/>
  <c r="J2245" i="1"/>
  <c r="J2225" i="1"/>
  <c r="J2218" i="1"/>
  <c r="J2140" i="1"/>
  <c r="J2116" i="1"/>
  <c r="J2109" i="1"/>
  <c r="J2047" i="1"/>
  <c r="J2043" i="1"/>
  <c r="J2029" i="1"/>
  <c r="J2022" i="1"/>
  <c r="J2005" i="1"/>
  <c r="J1924" i="1"/>
  <c r="J1888" i="1"/>
  <c r="J1810" i="1"/>
  <c r="J1722" i="1"/>
  <c r="J1647" i="1"/>
  <c r="J1628" i="1"/>
  <c r="J1571" i="1"/>
  <c r="J1560" i="1"/>
  <c r="J1418" i="1"/>
  <c r="J1368" i="1"/>
  <c r="J767" i="1"/>
  <c r="J748" i="1"/>
  <c r="J509" i="1"/>
  <c r="J474" i="1"/>
  <c r="J405" i="1"/>
  <c r="J194" i="1"/>
  <c r="J2860" i="1"/>
  <c r="J2821" i="1"/>
  <c r="J2785" i="1"/>
  <c r="J2749" i="1"/>
  <c r="J2713" i="1"/>
  <c r="J2677" i="1"/>
  <c r="J2641" i="1"/>
  <c r="J2602" i="1"/>
  <c r="J2563" i="1"/>
  <c r="J2527" i="1"/>
  <c r="J2491" i="1"/>
  <c r="J2461" i="1"/>
  <c r="J2441" i="1"/>
  <c r="J2401" i="1"/>
  <c r="J2338" i="1"/>
  <c r="J2308" i="1"/>
  <c r="J2275" i="1"/>
  <c r="J2238" i="1"/>
  <c r="J2221" i="1"/>
  <c r="J2191" i="1"/>
  <c r="J2174" i="1"/>
  <c r="J2167" i="1"/>
  <c r="J2102" i="1"/>
  <c r="J1952" i="1"/>
  <c r="J1906" i="1"/>
  <c r="J1902" i="1"/>
  <c r="J1845" i="1"/>
  <c r="J1802" i="1"/>
  <c r="J1776" i="1"/>
  <c r="J1740" i="1"/>
  <c r="J1700" i="1"/>
  <c r="J1661" i="1"/>
  <c r="J1605" i="1"/>
  <c r="J1575" i="1"/>
  <c r="J1503" i="1"/>
  <c r="J1499" i="1"/>
  <c r="J1215" i="1"/>
  <c r="J401" i="1"/>
  <c r="J1665" i="1"/>
  <c r="J1646" i="1"/>
  <c r="J2467" i="1"/>
  <c r="J2431" i="1"/>
  <c r="J2395" i="1"/>
  <c r="J2359" i="1"/>
  <c r="J2323" i="1"/>
  <c r="J2287" i="1"/>
  <c r="J2251" i="1"/>
  <c r="J2215" i="1"/>
  <c r="J2179" i="1"/>
  <c r="J2143" i="1"/>
  <c r="J2107" i="1"/>
  <c r="J2071" i="1"/>
  <c r="J2035" i="1"/>
  <c r="J1999" i="1"/>
  <c r="J1963" i="1"/>
  <c r="J1927" i="1"/>
  <c r="J1894" i="1"/>
  <c r="J1884" i="1"/>
  <c r="J1867" i="1"/>
  <c r="J1840" i="1"/>
  <c r="J1803" i="1"/>
  <c r="J1765" i="1"/>
  <c r="J1758" i="1"/>
  <c r="J1540" i="1"/>
  <c r="J1507" i="1"/>
  <c r="J1441" i="1"/>
  <c r="J1408" i="1"/>
  <c r="J1401" i="1"/>
  <c r="J1389" i="1"/>
  <c r="J1337" i="1"/>
  <c r="J1295" i="1"/>
  <c r="J1284" i="1"/>
  <c r="J1198" i="1"/>
  <c r="J1148" i="1"/>
  <c r="J933" i="1"/>
  <c r="J914" i="1"/>
  <c r="J910" i="1"/>
  <c r="J435" i="1"/>
  <c r="J101" i="1"/>
  <c r="J2158" i="1"/>
  <c r="J2122" i="1"/>
  <c r="J2086" i="1"/>
  <c r="J2050" i="1"/>
  <c r="J2014" i="1"/>
  <c r="J1978" i="1"/>
  <c r="J1942" i="1"/>
  <c r="J1876" i="1"/>
  <c r="J1849" i="1"/>
  <c r="J1842" i="1"/>
  <c r="J1767" i="1"/>
  <c r="J1689" i="1"/>
  <c r="J1668" i="1"/>
  <c r="J1650" i="1"/>
  <c r="J1632" i="1"/>
  <c r="J1614" i="1"/>
  <c r="J1596" i="1"/>
  <c r="J1578" i="1"/>
  <c r="J1454" i="1"/>
  <c r="J1436" i="1"/>
  <c r="J1425" i="1"/>
  <c r="J1350" i="1"/>
  <c r="J1324" i="1"/>
  <c r="J1222" i="1"/>
  <c r="J1024" i="1"/>
  <c r="J997" i="1"/>
  <c r="J966" i="1"/>
  <c r="J851" i="1"/>
  <c r="J778" i="1"/>
  <c r="J530" i="1"/>
  <c r="J342" i="1"/>
  <c r="J171" i="1"/>
  <c r="J167" i="1"/>
  <c r="J163" i="1"/>
  <c r="J159" i="1"/>
  <c r="J155" i="1"/>
  <c r="J1945" i="1"/>
  <c r="J1909" i="1"/>
  <c r="J1879" i="1"/>
  <c r="J1862" i="1"/>
  <c r="J1835" i="1"/>
  <c r="J1801" i="1"/>
  <c r="J1726" i="1"/>
  <c r="J1549" i="1"/>
  <c r="J1513" i="1"/>
  <c r="J1457" i="1"/>
  <c r="J1240" i="1"/>
  <c r="J1117" i="1"/>
  <c r="J1113" i="1"/>
  <c r="J1060" i="1"/>
  <c r="J380" i="1"/>
  <c r="J372" i="1"/>
  <c r="J182" i="1"/>
  <c r="J2236" i="1"/>
  <c r="J2200" i="1"/>
  <c r="J2164" i="1"/>
  <c r="J2128" i="1"/>
  <c r="J2092" i="1"/>
  <c r="J2056" i="1"/>
  <c r="J2020" i="1"/>
  <c r="J1984" i="1"/>
  <c r="J1948" i="1"/>
  <c r="J1912" i="1"/>
  <c r="J1882" i="1"/>
  <c r="J1872" i="1"/>
  <c r="J1855" i="1"/>
  <c r="J1831" i="1"/>
  <c r="J1777" i="1"/>
  <c r="J1763" i="1"/>
  <c r="J1756" i="1"/>
  <c r="J1715" i="1"/>
  <c r="J1698" i="1"/>
  <c r="J1671" i="1"/>
  <c r="J1653" i="1"/>
  <c r="J1635" i="1"/>
  <c r="J1617" i="1"/>
  <c r="J1599" i="1"/>
  <c r="J1581" i="1"/>
  <c r="J1534" i="1"/>
  <c r="J1523" i="1"/>
  <c r="J1472" i="1"/>
  <c r="J1375" i="1"/>
  <c r="J1236" i="1"/>
  <c r="J1038" i="1"/>
  <c r="J636" i="1"/>
  <c r="J617" i="1"/>
  <c r="J537" i="1"/>
  <c r="J391" i="1"/>
  <c r="J387" i="1"/>
  <c r="J190" i="1"/>
  <c r="J186" i="1"/>
  <c r="J2095" i="1"/>
  <c r="J2059" i="1"/>
  <c r="J2023" i="1"/>
  <c r="J1987" i="1"/>
  <c r="J1951" i="1"/>
  <c r="J1915" i="1"/>
  <c r="J1729" i="1"/>
  <c r="J1360" i="1"/>
  <c r="J1258" i="1"/>
  <c r="J1128" i="1"/>
  <c r="J548" i="1"/>
  <c r="J398" i="1"/>
  <c r="J383" i="1"/>
  <c r="J205" i="1"/>
  <c r="J1620" i="1"/>
  <c r="J1602" i="1"/>
  <c r="J1584" i="1"/>
  <c r="J1566" i="1"/>
  <c r="J1530" i="1"/>
  <c r="J1475" i="1"/>
  <c r="J1471" i="1"/>
  <c r="J1402" i="1"/>
  <c r="J1382" i="1"/>
  <c r="J1292" i="1"/>
  <c r="J1281" i="1"/>
  <c r="J1127" i="1"/>
  <c r="J1093" i="1"/>
  <c r="J294" i="1"/>
  <c r="J244" i="1"/>
  <c r="J240" i="1"/>
  <c r="J236" i="1"/>
  <c r="J232" i="1"/>
  <c r="J1852" i="1"/>
  <c r="J1822" i="1"/>
  <c r="J1812" i="1"/>
  <c r="J1795" i="1"/>
  <c r="J1751" i="1"/>
  <c r="J1724" i="1"/>
  <c r="J1717" i="1"/>
  <c r="J1552" i="1"/>
  <c r="J1535" i="1"/>
  <c r="J1531" i="1"/>
  <c r="J1521" i="1"/>
  <c r="J1444" i="1"/>
  <c r="J1426" i="1"/>
  <c r="J1398" i="1"/>
  <c r="J1387" i="1"/>
  <c r="J1379" i="1"/>
  <c r="J1310" i="1"/>
  <c r="J1288" i="1"/>
  <c r="J1237" i="1"/>
  <c r="J1227" i="1"/>
  <c r="J1208" i="1"/>
  <c r="J1179" i="1"/>
  <c r="J1124" i="1"/>
  <c r="J952" i="1"/>
  <c r="J911" i="1"/>
  <c r="J862" i="1"/>
  <c r="J858" i="1"/>
  <c r="J666" i="1"/>
  <c r="J527" i="1"/>
  <c r="J512" i="1"/>
  <c r="J497" i="1"/>
  <c r="J330" i="1"/>
  <c r="J1719" i="1"/>
  <c r="J1712" i="1"/>
  <c r="J1544" i="1"/>
  <c r="J1516" i="1"/>
  <c r="J1421" i="1"/>
  <c r="J1396" i="1"/>
  <c r="J1353" i="1"/>
  <c r="J1331" i="1"/>
  <c r="J1305" i="1"/>
  <c r="J1269" i="1"/>
  <c r="J1261" i="1"/>
  <c r="J1250" i="1"/>
  <c r="J1232" i="1"/>
  <c r="J1185" i="1"/>
  <c r="J1177" i="1"/>
  <c r="J1155" i="1"/>
  <c r="J1078" i="1"/>
  <c r="J1059" i="1"/>
  <c r="J1003" i="1"/>
  <c r="J973" i="1"/>
  <c r="J932" i="1"/>
  <c r="J785" i="1"/>
  <c r="J476" i="1"/>
  <c r="J442" i="1"/>
  <c r="J423" i="1"/>
  <c r="J408" i="1"/>
  <c r="J267" i="1"/>
  <c r="J197" i="1"/>
  <c r="J8" i="1"/>
  <c r="J1509" i="1"/>
  <c r="J1467" i="1"/>
  <c r="J1460" i="1"/>
  <c r="J1435" i="1"/>
  <c r="J1403" i="1"/>
  <c r="J1374" i="1"/>
  <c r="J1327" i="1"/>
  <c r="J1268" i="1"/>
  <c r="J1184" i="1"/>
  <c r="J1169" i="1"/>
  <c r="J1103" i="1"/>
  <c r="J1085" i="1"/>
  <c r="J1074" i="1"/>
  <c r="J969" i="1"/>
  <c r="J827" i="1"/>
  <c r="J823" i="1"/>
  <c r="J819" i="1"/>
  <c r="J804" i="1"/>
  <c r="J792" i="1"/>
  <c r="J739" i="1"/>
  <c r="J735" i="1"/>
  <c r="J607" i="1"/>
  <c r="J555" i="1"/>
  <c r="J506" i="1"/>
  <c r="J67" i="1"/>
  <c r="J28" i="1"/>
  <c r="J24" i="1"/>
  <c r="J16" i="1"/>
  <c r="J449" i="1"/>
  <c r="J324" i="1"/>
  <c r="J305" i="1"/>
  <c r="J297" i="1"/>
  <c r="J1512" i="1"/>
  <c r="J1459" i="1"/>
  <c r="J1431" i="1"/>
  <c r="J1424" i="1"/>
  <c r="J1399" i="1"/>
  <c r="J1384" i="1"/>
  <c r="J1355" i="1"/>
  <c r="J1315" i="1"/>
  <c r="J1308" i="1"/>
  <c r="J1289" i="1"/>
  <c r="J1264" i="1"/>
  <c r="J1246" i="1"/>
  <c r="J1213" i="1"/>
  <c r="J1206" i="1"/>
  <c r="J1114" i="1"/>
  <c r="J1088" i="1"/>
  <c r="J1081" i="1"/>
  <c r="J1014" i="1"/>
  <c r="J983" i="1"/>
  <c r="J976" i="1"/>
  <c r="J848" i="1"/>
  <c r="J351" i="1"/>
  <c r="J1546" i="1"/>
  <c r="J1477" i="1"/>
  <c r="J1438" i="1"/>
  <c r="J1391" i="1"/>
  <c r="J1377" i="1"/>
  <c r="J1330" i="1"/>
  <c r="J1285" i="1"/>
  <c r="J1271" i="1"/>
  <c r="J1260" i="1"/>
  <c r="J1220" i="1"/>
  <c r="J1205" i="1"/>
  <c r="J1150" i="1"/>
  <c r="J1106" i="1"/>
  <c r="J1021" i="1"/>
  <c r="J830" i="1"/>
  <c r="J704" i="1"/>
  <c r="J558" i="1"/>
  <c r="J460" i="1"/>
  <c r="J456" i="1"/>
  <c r="J97" i="1"/>
  <c r="J1897" i="1"/>
  <c r="J1861" i="1"/>
  <c r="J1825" i="1"/>
  <c r="J1789" i="1"/>
  <c r="J1753" i="1"/>
  <c r="J1714" i="1"/>
  <c r="J1537" i="1"/>
  <c r="J1501" i="1"/>
  <c r="J1465" i="1"/>
  <c r="J1429" i="1"/>
  <c r="J1313" i="1"/>
  <c r="J1265" i="1"/>
  <c r="J1247" i="1"/>
  <c r="J1223" i="1"/>
  <c r="J1202" i="1"/>
  <c r="J1192" i="1"/>
  <c r="J1153" i="1"/>
  <c r="J1146" i="1"/>
  <c r="J1100" i="1"/>
  <c r="J1086" i="1"/>
  <c r="J1057" i="1"/>
  <c r="J1043" i="1"/>
  <c r="J1036" i="1"/>
  <c r="J1029" i="1"/>
  <c r="J995" i="1"/>
  <c r="J977" i="1"/>
  <c r="J959" i="1"/>
  <c r="J885" i="1"/>
  <c r="J809" i="1"/>
  <c r="J662" i="1"/>
  <c r="J629" i="1"/>
  <c r="J589" i="1"/>
  <c r="J585" i="1"/>
  <c r="J502" i="1"/>
  <c r="J498" i="1"/>
  <c r="J465" i="1"/>
  <c r="J439" i="1"/>
  <c r="J373" i="1"/>
  <c r="J287" i="1"/>
  <c r="J279" i="1"/>
  <c r="J241" i="1"/>
  <c r="J125" i="1"/>
  <c r="J121" i="1"/>
  <c r="J118" i="1"/>
  <c r="J114" i="1"/>
  <c r="J106" i="1"/>
  <c r="J14" i="1"/>
  <c r="J1555" i="1"/>
  <c r="J1519" i="1"/>
  <c r="J1483" i="1"/>
  <c r="J1447" i="1"/>
  <c r="J1411" i="1"/>
  <c r="J1363" i="1"/>
  <c r="J1280" i="1"/>
  <c r="J1249" i="1"/>
  <c r="J1239" i="1"/>
  <c r="J1172" i="1"/>
  <c r="J1165" i="1"/>
  <c r="J1151" i="1"/>
  <c r="J1144" i="1"/>
  <c r="J1134" i="1"/>
  <c r="J1112" i="1"/>
  <c r="J1095" i="1"/>
  <c r="J1066" i="1"/>
  <c r="J1055" i="1"/>
  <c r="J1045" i="1"/>
  <c r="J1034" i="1"/>
  <c r="J1027" i="1"/>
  <c r="J1019" i="1"/>
  <c r="J887" i="1"/>
  <c r="J788" i="1"/>
  <c r="J777" i="1"/>
  <c r="J755" i="1"/>
  <c r="J697" i="1"/>
  <c r="J693" i="1"/>
  <c r="J631" i="1"/>
  <c r="J627" i="1"/>
  <c r="J594" i="1"/>
  <c r="J504" i="1"/>
  <c r="J467" i="1"/>
  <c r="J437" i="1"/>
  <c r="J285" i="1"/>
  <c r="J255" i="1"/>
  <c r="J58" i="1"/>
  <c r="J54" i="1"/>
  <c r="J43" i="1"/>
  <c r="J35" i="1"/>
  <c r="J4" i="1"/>
  <c r="J990" i="1"/>
  <c r="J924" i="1"/>
  <c r="J854" i="1"/>
  <c r="J551" i="1"/>
  <c r="J544" i="1"/>
  <c r="J540" i="1"/>
  <c r="J511" i="1"/>
  <c r="J496" i="1"/>
  <c r="J477" i="1"/>
  <c r="J444" i="1"/>
  <c r="J360" i="1"/>
  <c r="J341" i="1"/>
  <c r="J239" i="1"/>
  <c r="J235" i="1"/>
  <c r="J227" i="1"/>
  <c r="J127" i="1"/>
  <c r="J100" i="1"/>
  <c r="J96" i="1"/>
  <c r="J61" i="1"/>
  <c r="J39" i="1"/>
  <c r="J1741" i="1"/>
  <c r="J1561" i="1"/>
  <c r="J1525" i="1"/>
  <c r="J1489" i="1"/>
  <c r="J1453" i="1"/>
  <c r="J1417" i="1"/>
  <c r="J1349" i="1"/>
  <c r="J1304" i="1"/>
  <c r="J1270" i="1"/>
  <c r="J1210" i="1"/>
  <c r="J1193" i="1"/>
  <c r="J1133" i="1"/>
  <c r="J1108" i="1"/>
  <c r="J1098" i="1"/>
  <c r="J1076" i="1"/>
  <c r="J1048" i="1"/>
  <c r="J1041" i="1"/>
  <c r="J1000" i="1"/>
  <c r="J993" i="1"/>
  <c r="J949" i="1"/>
  <c r="J935" i="1"/>
  <c r="J905" i="1"/>
  <c r="J898" i="1"/>
  <c r="J894" i="1"/>
  <c r="J865" i="1"/>
  <c r="J861" i="1"/>
  <c r="J678" i="1"/>
  <c r="J656" i="1"/>
  <c r="J641" i="1"/>
  <c r="J630" i="1"/>
  <c r="J451" i="1"/>
  <c r="J415" i="1"/>
  <c r="J411" i="1"/>
  <c r="J378" i="1"/>
  <c r="J333" i="1"/>
  <c r="J262" i="1"/>
  <c r="J31" i="1"/>
  <c r="J27" i="1"/>
  <c r="J1780" i="1"/>
  <c r="J1744" i="1"/>
  <c r="J1564" i="1"/>
  <c r="J1528" i="1"/>
  <c r="J1492" i="1"/>
  <c r="J1456" i="1"/>
  <c r="J1420" i="1"/>
  <c r="J1400" i="1"/>
  <c r="J1393" i="1"/>
  <c r="J1376" i="1"/>
  <c r="J1369" i="1"/>
  <c r="J1352" i="1"/>
  <c r="J1328" i="1"/>
  <c r="J1321" i="1"/>
  <c r="J1307" i="1"/>
  <c r="J1262" i="1"/>
  <c r="J1217" i="1"/>
  <c r="J1196" i="1"/>
  <c r="J1189" i="1"/>
  <c r="J1178" i="1"/>
  <c r="J1072" i="1"/>
  <c r="J956" i="1"/>
  <c r="J799" i="1"/>
  <c r="J795" i="1"/>
  <c r="J743" i="1"/>
  <c r="J725" i="1"/>
  <c r="J561" i="1"/>
  <c r="J488" i="1"/>
  <c r="J436" i="1"/>
  <c r="J254" i="1"/>
  <c r="J111" i="1"/>
  <c r="J95" i="1"/>
  <c r="J46" i="1"/>
  <c r="J42" i="1"/>
  <c r="J1297" i="1"/>
  <c r="J1286" i="1"/>
  <c r="J1259" i="1"/>
  <c r="J1187" i="1"/>
  <c r="J1180" i="1"/>
  <c r="J1142" i="1"/>
  <c r="J1046" i="1"/>
  <c r="J1022" i="1"/>
  <c r="J1012" i="1"/>
  <c r="J988" i="1"/>
  <c r="J974" i="1"/>
  <c r="J926" i="1"/>
  <c r="J863" i="1"/>
  <c r="J824" i="1"/>
  <c r="J814" i="1"/>
  <c r="J782" i="1"/>
  <c r="J779" i="1"/>
  <c r="J772" i="1"/>
  <c r="J761" i="1"/>
  <c r="J758" i="1"/>
  <c r="J751" i="1"/>
  <c r="J671" i="1"/>
  <c r="J643" i="1"/>
  <c r="J608" i="1"/>
  <c r="J535" i="1"/>
  <c r="J521" i="1"/>
  <c r="J461" i="1"/>
  <c r="J430" i="1"/>
  <c r="J413" i="1"/>
  <c r="J392" i="1"/>
  <c r="J367" i="1"/>
  <c r="J353" i="1"/>
  <c r="J335" i="1"/>
  <c r="J317" i="1"/>
  <c r="J299" i="1"/>
  <c r="J274" i="1"/>
  <c r="J256" i="1"/>
  <c r="J233" i="1"/>
  <c r="J206" i="1"/>
  <c r="J203" i="1"/>
  <c r="J199" i="1"/>
  <c r="J191" i="1"/>
  <c r="J123" i="1"/>
  <c r="J112" i="1"/>
  <c r="J85" i="1"/>
  <c r="J63" i="1"/>
  <c r="J55" i="1"/>
  <c r="J17" i="1"/>
  <c r="J6" i="1"/>
  <c r="J1252" i="1"/>
  <c r="J1238" i="1"/>
  <c r="J1228" i="1"/>
  <c r="J1214" i="1"/>
  <c r="J1166" i="1"/>
  <c r="J1156" i="1"/>
  <c r="J1132" i="1"/>
  <c r="J1118" i="1"/>
  <c r="J1111" i="1"/>
  <c r="J1094" i="1"/>
  <c r="J1084" i="1"/>
  <c r="J1073" i="1"/>
  <c r="J1025" i="1"/>
  <c r="J1001" i="1"/>
  <c r="J953" i="1"/>
  <c r="J901" i="1"/>
  <c r="J859" i="1"/>
  <c r="J842" i="1"/>
  <c r="J835" i="1"/>
  <c r="J793" i="1"/>
  <c r="J737" i="1"/>
  <c r="J716" i="1"/>
  <c r="J695" i="1"/>
  <c r="J632" i="1"/>
  <c r="J587" i="1"/>
  <c r="J580" i="1"/>
  <c r="J482" i="1"/>
  <c r="J479" i="1"/>
  <c r="J472" i="1"/>
  <c r="J388" i="1"/>
  <c r="J374" i="1"/>
  <c r="J349" i="1"/>
  <c r="J331" i="1"/>
  <c r="J313" i="1"/>
  <c r="J295" i="1"/>
  <c r="J281" i="1"/>
  <c r="J263" i="1"/>
  <c r="J172" i="1"/>
  <c r="J168" i="1"/>
  <c r="J62" i="1"/>
  <c r="J51" i="1"/>
  <c r="J40" i="1"/>
  <c r="J13" i="1"/>
  <c r="J5" i="1"/>
  <c r="J1154" i="1"/>
  <c r="J1130" i="1"/>
  <c r="J1120" i="1"/>
  <c r="J1109" i="1"/>
  <c r="J1082" i="1"/>
  <c r="J1075" i="1"/>
  <c r="J1061" i="1"/>
  <c r="J1037" i="1"/>
  <c r="J965" i="1"/>
  <c r="J941" i="1"/>
  <c r="J938" i="1"/>
  <c r="J931" i="1"/>
  <c r="J826" i="1"/>
  <c r="J770" i="1"/>
  <c r="J763" i="1"/>
  <c r="J707" i="1"/>
  <c r="J686" i="1"/>
  <c r="J683" i="1"/>
  <c r="J676" i="1"/>
  <c r="J655" i="1"/>
  <c r="J599" i="1"/>
  <c r="J568" i="1"/>
  <c r="J463" i="1"/>
  <c r="J428" i="1"/>
  <c r="J404" i="1"/>
  <c r="J358" i="1"/>
  <c r="J340" i="1"/>
  <c r="J322" i="1"/>
  <c r="J304" i="1"/>
  <c r="J290" i="1"/>
  <c r="J272" i="1"/>
  <c r="J242" i="1"/>
  <c r="J212" i="1"/>
  <c r="J147" i="1"/>
  <c r="J143" i="1"/>
  <c r="J136" i="1"/>
  <c r="J98" i="1"/>
  <c r="J87" i="1"/>
  <c r="J26" i="1"/>
  <c r="J19" i="1"/>
  <c r="J11" i="1"/>
  <c r="J1064" i="1"/>
  <c r="J1040" i="1"/>
  <c r="J1013" i="1"/>
  <c r="J1006" i="1"/>
  <c r="J989" i="1"/>
  <c r="J968" i="1"/>
  <c r="J958" i="1"/>
  <c r="J944" i="1"/>
  <c r="J934" i="1"/>
  <c r="J878" i="1"/>
  <c r="J860" i="1"/>
  <c r="J805" i="1"/>
  <c r="J766" i="1"/>
  <c r="J679" i="1"/>
  <c r="J626" i="1"/>
  <c r="J623" i="1"/>
  <c r="J571" i="1"/>
  <c r="J491" i="1"/>
  <c r="J452" i="1"/>
  <c r="J389" i="1"/>
  <c r="J223" i="1"/>
  <c r="J219" i="1"/>
  <c r="J189" i="1"/>
  <c r="J185" i="1"/>
  <c r="J181" i="1"/>
  <c r="J132" i="1"/>
  <c r="J117" i="1"/>
  <c r="J79" i="1"/>
  <c r="J56" i="1"/>
  <c r="J15" i="1"/>
  <c r="J1016" i="1"/>
  <c r="J992" i="1"/>
  <c r="J947" i="1"/>
  <c r="J734" i="1"/>
  <c r="J713" i="1"/>
  <c r="J434" i="1"/>
  <c r="J169" i="1"/>
  <c r="J142" i="1"/>
  <c r="J71" i="1"/>
  <c r="J829" i="1"/>
  <c r="J251" i="1"/>
  <c r="J877" i="1"/>
  <c r="J718" i="1"/>
  <c r="J680" i="1"/>
  <c r="J625" i="1"/>
  <c r="J563" i="1"/>
  <c r="J394" i="1"/>
  <c r="J355" i="1"/>
  <c r="J337" i="1"/>
  <c r="J319" i="1"/>
  <c r="J301" i="1"/>
  <c r="J665" i="1"/>
  <c r="J593" i="1"/>
  <c r="J517" i="1"/>
  <c r="J727" i="1"/>
  <c r="J754" i="1"/>
  <c r="J485" i="1"/>
  <c r="J131" i="1"/>
  <c r="J880" i="1"/>
  <c r="J769" i="1"/>
  <c r="J538" i="1"/>
  <c r="J844" i="1"/>
  <c r="J802" i="1"/>
  <c r="J547" i="1"/>
  <c r="J710" i="1"/>
  <c r="J500" i="1"/>
  <c r="J445" i="1"/>
  <c r="J20" i="1"/>
  <c r="J225" i="1"/>
  <c r="J195" i="1"/>
  <c r="J857" i="1"/>
  <c r="J694" i="1"/>
  <c r="J602" i="1"/>
  <c r="J514" i="1"/>
  <c r="J422" i="1"/>
  <c r="J211" i="1"/>
  <c r="J151" i="1"/>
  <c r="J893" i="1"/>
  <c r="J791" i="1"/>
  <c r="J730" i="1"/>
  <c r="J638" i="1"/>
  <c r="J550" i="1"/>
  <c r="J458" i="1"/>
  <c r="J376" i="1"/>
  <c r="J362" i="1"/>
  <c r="J344" i="1"/>
  <c r="J326" i="1"/>
  <c r="J308" i="1"/>
  <c r="J283" i="1"/>
  <c r="J265" i="1"/>
  <c r="J247" i="1"/>
  <c r="J164" i="1"/>
  <c r="J913" i="1"/>
  <c r="J821" i="1"/>
  <c r="J733" i="1"/>
  <c r="J658" i="1"/>
  <c r="J553" i="1"/>
  <c r="J478" i="1"/>
  <c r="J386" i="1"/>
  <c r="J899" i="1"/>
  <c r="J746" i="1"/>
  <c r="J644" i="1"/>
  <c r="J566" i="1"/>
  <c r="J464" i="1"/>
  <c r="J368" i="1"/>
  <c r="J275" i="1"/>
  <c r="J257" i="1"/>
  <c r="J115" i="1"/>
  <c r="J916" i="1"/>
  <c r="J841" i="1"/>
  <c r="J661" i="1"/>
  <c r="J586" i="1"/>
  <c r="J481" i="1"/>
  <c r="J406" i="1"/>
  <c r="J148" i="1"/>
  <c r="J940" i="1"/>
  <c r="J904" i="1"/>
  <c r="J868" i="1"/>
  <c r="J832" i="1"/>
  <c r="J796" i="1"/>
  <c r="J760" i="1"/>
  <c r="J721" i="1"/>
  <c r="J685" i="1"/>
  <c r="J649" i="1"/>
  <c r="J613" i="1"/>
  <c r="J577" i="1"/>
  <c r="J541" i="1"/>
  <c r="J505" i="1"/>
  <c r="J469" i="1"/>
  <c r="J433" i="1"/>
  <c r="J397" i="1"/>
  <c r="J377" i="1"/>
  <c r="J352" i="1"/>
  <c r="J334" i="1"/>
  <c r="J316" i="1"/>
  <c r="J298" i="1"/>
  <c r="J284" i="1"/>
  <c r="J266" i="1"/>
  <c r="J215" i="1"/>
  <c r="J208" i="1"/>
  <c r="J175" i="1"/>
  <c r="J153" i="1"/>
  <c r="J10" i="1"/>
  <c r="J919" i="1"/>
  <c r="J883" i="1"/>
  <c r="J847" i="1"/>
  <c r="J811" i="1"/>
  <c r="J775" i="1"/>
  <c r="J736" i="1"/>
  <c r="J700" i="1"/>
  <c r="J664" i="1"/>
  <c r="J628" i="1"/>
  <c r="J592" i="1"/>
  <c r="J556" i="1"/>
  <c r="J520" i="1"/>
  <c r="J484" i="1"/>
  <c r="J448" i="1"/>
  <c r="J412" i="1"/>
  <c r="J379" i="1"/>
  <c r="J347" i="1"/>
  <c r="J329" i="1"/>
  <c r="J311" i="1"/>
  <c r="J293" i="1"/>
  <c r="J286" i="1"/>
  <c r="J268" i="1"/>
  <c r="J243" i="1"/>
  <c r="J188" i="1"/>
  <c r="J184" i="1"/>
  <c r="J166" i="1"/>
  <c r="J23" i="1"/>
  <c r="J925" i="1"/>
  <c r="J889" i="1"/>
  <c r="J853" i="1"/>
  <c r="J817" i="1"/>
  <c r="J781" i="1"/>
  <c r="J742" i="1"/>
  <c r="J706" i="1"/>
  <c r="J670" i="1"/>
  <c r="J634" i="1"/>
  <c r="J598" i="1"/>
  <c r="J562" i="1"/>
  <c r="J526" i="1"/>
  <c r="J490" i="1"/>
  <c r="J454" i="1"/>
  <c r="J418" i="1"/>
  <c r="J382" i="1"/>
  <c r="J350" i="1"/>
  <c r="J332" i="1"/>
  <c r="J314" i="1"/>
  <c r="J296" i="1"/>
  <c r="J289" i="1"/>
  <c r="J271" i="1"/>
  <c r="J224" i="1"/>
  <c r="J220" i="1"/>
  <c r="J202" i="1"/>
  <c r="J59" i="1"/>
  <c r="J928" i="1"/>
  <c r="J892" i="1"/>
  <c r="J856" i="1"/>
  <c r="J820" i="1"/>
  <c r="J784" i="1"/>
  <c r="J745" i="1"/>
  <c r="J709" i="1"/>
  <c r="J673" i="1"/>
  <c r="J637" i="1"/>
  <c r="J601" i="1"/>
  <c r="J565" i="1"/>
  <c r="J529" i="1"/>
  <c r="J493" i="1"/>
  <c r="J457" i="1"/>
  <c r="J421" i="1"/>
  <c r="J385" i="1"/>
  <c r="J371" i="1"/>
  <c r="J364" i="1"/>
  <c r="J346" i="1"/>
  <c r="J328" i="1"/>
  <c r="J310" i="1"/>
  <c r="J278" i="1"/>
  <c r="J260" i="1"/>
  <c r="J231" i="1"/>
  <c r="J187" i="1"/>
  <c r="J128" i="1"/>
  <c r="J228" i="1"/>
  <c r="J192" i="1"/>
  <c r="J156" i="1"/>
  <c r="J120" i="1"/>
  <c r="J84" i="1"/>
  <c r="J48" i="1"/>
  <c r="J12" i="1"/>
  <c r="J234" i="1"/>
  <c r="J198" i="1"/>
  <c r="J162" i="1"/>
  <c r="J237" i="1"/>
  <c r="J201" i="1"/>
  <c r="J165" i="1"/>
  <c r="J129" i="1"/>
  <c r="J93" i="1"/>
  <c r="J57" i="1"/>
  <c r="J21" i="1"/>
  <c r="J210" i="1"/>
  <c r="J174" i="1"/>
  <c r="J30" i="1"/>
  <c r="J249" i="1"/>
  <c r="J213" i="1"/>
  <c r="J177" i="1"/>
  <c r="J141" i="1"/>
  <c r="J105" i="1"/>
  <c r="J69" i="1"/>
  <c r="J33" i="1"/>
  <c r="J246" i="1"/>
  <c r="J66" i="1"/>
  <c r="J252" i="1"/>
  <c r="J216" i="1"/>
  <c r="J180" i="1"/>
  <c r="J144" i="1"/>
  <c r="J108" i="1"/>
  <c r="J72" i="1"/>
  <c r="J36" i="1"/>
  <c r="J138" i="1"/>
  <c r="J102" i="1"/>
  <c r="J3" i="1"/>
  <c r="J2" i="1"/>
</calcChain>
</file>

<file path=xl/sharedStrings.xml><?xml version="1.0" encoding="utf-8"?>
<sst xmlns="http://schemas.openxmlformats.org/spreadsheetml/2006/main" count="13320" uniqueCount="3155">
  <si>
    <t>Gabriel</t>
  </si>
  <si>
    <t>Samson</t>
  </si>
  <si>
    <t>Frank</t>
  </si>
  <si>
    <t>Leurer</t>
  </si>
  <si>
    <t>Juda Jakob</t>
  </si>
  <si>
    <t>Kohnberger</t>
  </si>
  <si>
    <t>Seligman</t>
  </si>
  <si>
    <t>Nathan</t>
  </si>
  <si>
    <t>Schnabel</t>
  </si>
  <si>
    <t>Platschek</t>
  </si>
  <si>
    <t>Joachim</t>
  </si>
  <si>
    <t>Munch</t>
  </si>
  <si>
    <t>Bauer</t>
  </si>
  <si>
    <t>Samuel</t>
  </si>
  <si>
    <t>Pauer</t>
  </si>
  <si>
    <t>S?</t>
  </si>
  <si>
    <t>Joseph</t>
  </si>
  <si>
    <t>Moyses Beer?</t>
  </si>
  <si>
    <t>Gottlieb</t>
  </si>
  <si>
    <t>Isak</t>
  </si>
  <si>
    <t>Pollack</t>
  </si>
  <si>
    <t>Sallomon</t>
  </si>
  <si>
    <t>Michael</t>
  </si>
  <si>
    <t>Fürst</t>
  </si>
  <si>
    <t>?</t>
  </si>
  <si>
    <t>Jakob</t>
  </si>
  <si>
    <t>Potascher</t>
  </si>
  <si>
    <t>Schnürmacher</t>
  </si>
  <si>
    <t>Leopold</t>
  </si>
  <si>
    <t>Aron</t>
  </si>
  <si>
    <t>Barth</t>
  </si>
  <si>
    <t>Hershmann</t>
  </si>
  <si>
    <t>Haschler</t>
  </si>
  <si>
    <t>Abraham</t>
  </si>
  <si>
    <t>Kosner</t>
  </si>
  <si>
    <t>Naphly</t>
  </si>
  <si>
    <t>Mükler</t>
  </si>
  <si>
    <t>Rosenthal</t>
  </si>
  <si>
    <t>Löwenthal</t>
  </si>
  <si>
    <t>Markus</t>
  </si>
  <si>
    <t>David</t>
  </si>
  <si>
    <t>Purzker</t>
  </si>
  <si>
    <t>Schidrowitz</t>
  </si>
  <si>
    <t>Rosenberg</t>
  </si>
  <si>
    <t>Selig</t>
  </si>
  <si>
    <t>Herschmann</t>
  </si>
  <si>
    <t>Latzar</t>
  </si>
  <si>
    <t>Sopher</t>
  </si>
  <si>
    <t>Moyses</t>
  </si>
  <si>
    <t>Juda</t>
  </si>
  <si>
    <t>Baumgarten</t>
  </si>
  <si>
    <t>Ornstein</t>
  </si>
  <si>
    <t>Isais</t>
  </si>
  <si>
    <t>Jonas</t>
  </si>
  <si>
    <t>Salomon</t>
  </si>
  <si>
    <t>Laufer</t>
  </si>
  <si>
    <t>Ezechiel</t>
  </si>
  <si>
    <t>Prager</t>
  </si>
  <si>
    <t>Kobler</t>
  </si>
  <si>
    <t>Zaminer</t>
  </si>
  <si>
    <t>Israel</t>
  </si>
  <si>
    <t>Fleischer</t>
  </si>
  <si>
    <t>Lauer</t>
  </si>
  <si>
    <t>Hofman</t>
  </si>
  <si>
    <t>Heimer</t>
  </si>
  <si>
    <t>Philip</t>
  </si>
  <si>
    <t>Schrötter</t>
  </si>
  <si>
    <t>Taussig</t>
  </si>
  <si>
    <t>Wolf?</t>
  </si>
  <si>
    <t>Schnek?</t>
  </si>
  <si>
    <t>Götz</t>
  </si>
  <si>
    <t>Jamnitzer</t>
  </si>
  <si>
    <t>Tichy</t>
  </si>
  <si>
    <t>Fischer</t>
  </si>
  <si>
    <t>Josua</t>
  </si>
  <si>
    <t>Isaik</t>
  </si>
  <si>
    <t>Rössel</t>
  </si>
  <si>
    <t>Smon</t>
  </si>
  <si>
    <t>Srobowitz</t>
  </si>
  <si>
    <t>Hösky</t>
  </si>
  <si>
    <t>Herschman</t>
  </si>
  <si>
    <t>Schwartz</t>
  </si>
  <si>
    <t>Wolf</t>
  </si>
  <si>
    <t>Andras</t>
  </si>
  <si>
    <t>Hermann</t>
  </si>
  <si>
    <t>Hauser</t>
  </si>
  <si>
    <t>Lenarth</t>
  </si>
  <si>
    <t>Enoch</t>
  </si>
  <si>
    <t>Kohnstein</t>
  </si>
  <si>
    <t>Soffer</t>
  </si>
  <si>
    <t>Gottleib</t>
  </si>
  <si>
    <t>Simon</t>
  </si>
  <si>
    <t>Wessely</t>
  </si>
  <si>
    <t>Glasner</t>
  </si>
  <si>
    <t>Wiener</t>
  </si>
  <si>
    <t>Neuner</t>
  </si>
  <si>
    <t>Lederer</t>
  </si>
  <si>
    <t>Zubak</t>
  </si>
  <si>
    <t>Lipchowtiz</t>
  </si>
  <si>
    <t>Rasch</t>
  </si>
  <si>
    <t>Reckindorf</t>
  </si>
  <si>
    <t>Polnauer</t>
  </si>
  <si>
    <t>Jellinik</t>
  </si>
  <si>
    <t>Habrofsky</t>
  </si>
  <si>
    <t>Kurein</t>
  </si>
  <si>
    <t>Abrahahm</t>
  </si>
  <si>
    <t>Michel</t>
  </si>
  <si>
    <t>Schröter</t>
  </si>
  <si>
    <t>Lisa</t>
  </si>
  <si>
    <t>Allex</t>
  </si>
  <si>
    <t>Austerlitz</t>
  </si>
  <si>
    <t>Felix</t>
  </si>
  <si>
    <t>Diamand</t>
  </si>
  <si>
    <t>Konrad</t>
  </si>
  <si>
    <t>Dainik</t>
  </si>
  <si>
    <t>Bak</t>
  </si>
  <si>
    <t>Pinzker</t>
  </si>
  <si>
    <t>Isaid</t>
  </si>
  <si>
    <t>Löwenfeld</t>
  </si>
  <si>
    <t>Leditzky</t>
  </si>
  <si>
    <t>Hofmann</t>
  </si>
  <si>
    <t>Putzker</t>
  </si>
  <si>
    <t>Samuel N.</t>
  </si>
  <si>
    <t>Daniel</t>
  </si>
  <si>
    <t>Kida</t>
  </si>
  <si>
    <t>Beinklas</t>
  </si>
  <si>
    <t>Benjamin</t>
  </si>
  <si>
    <t>Grünberger</t>
  </si>
  <si>
    <t>Spira</t>
  </si>
  <si>
    <t>Fait</t>
  </si>
  <si>
    <t>Stein</t>
  </si>
  <si>
    <t>Naphtaly</t>
  </si>
  <si>
    <t>Epstein</t>
  </si>
  <si>
    <t>Bergmann</t>
  </si>
  <si>
    <t>Taissog</t>
  </si>
  <si>
    <t>Moses</t>
  </si>
  <si>
    <t>Schlesinger</t>
  </si>
  <si>
    <t>Bernath</t>
  </si>
  <si>
    <t>Fux</t>
  </si>
  <si>
    <t>Tuchy</t>
  </si>
  <si>
    <t>Polack</t>
  </si>
  <si>
    <t>Winternitz</t>
  </si>
  <si>
    <t>Jelinik</t>
  </si>
  <si>
    <t>Sellig</t>
  </si>
  <si>
    <t>Löwinthal</t>
  </si>
  <si>
    <t>Fleischman</t>
  </si>
  <si>
    <t>Markus H.</t>
  </si>
  <si>
    <t>Simon M.</t>
  </si>
  <si>
    <t>Joachim S.</t>
  </si>
  <si>
    <t>Schnabl</t>
  </si>
  <si>
    <t>Podascher</t>
  </si>
  <si>
    <t>Hesky</t>
  </si>
  <si>
    <t>Löwenstein</t>
  </si>
  <si>
    <t>Bacharach</t>
  </si>
  <si>
    <t>Löwy</t>
  </si>
  <si>
    <t>Elias</t>
  </si>
  <si>
    <t>Abraham Jak.</t>
  </si>
  <si>
    <t>Orinstein</t>
  </si>
  <si>
    <t>Hershman</t>
  </si>
  <si>
    <t>Wohlmuth</t>
  </si>
  <si>
    <t>Rosenberger</t>
  </si>
  <si>
    <t>Schnek</t>
  </si>
  <si>
    <t>Habrowsky</t>
  </si>
  <si>
    <t>Schwarz</t>
  </si>
  <si>
    <t>Isias</t>
  </si>
  <si>
    <t>Adam</t>
  </si>
  <si>
    <t>Dürheim</t>
  </si>
  <si>
    <t>Konrath</t>
  </si>
  <si>
    <t>Juda Aron</t>
  </si>
  <si>
    <t>Ruben</t>
  </si>
  <si>
    <t>Rudolph</t>
  </si>
  <si>
    <t>Bäk</t>
  </si>
  <si>
    <t>Emanuel</t>
  </si>
  <si>
    <t>Moyses Jos.</t>
  </si>
  <si>
    <t>Butschowitz</t>
  </si>
  <si>
    <t>13 May 1807</t>
  </si>
  <si>
    <t>B?</t>
  </si>
  <si>
    <t>Michal</t>
  </si>
  <si>
    <t>Abraham M.</t>
  </si>
  <si>
    <t>Heinrich</t>
  </si>
  <si>
    <t>Berger</t>
  </si>
  <si>
    <t>Samuel Isak</t>
  </si>
  <si>
    <t>Engländer</t>
  </si>
  <si>
    <t>Herman</t>
  </si>
  <si>
    <t>Philipp</t>
  </si>
  <si>
    <t>Juda Lob</t>
  </si>
  <si>
    <t>Zerkowitz</t>
  </si>
  <si>
    <t>Polatschek</t>
  </si>
  <si>
    <t>Meckler</t>
  </si>
  <si>
    <t>Sorer</t>
  </si>
  <si>
    <t>Reich</t>
  </si>
  <si>
    <t>Emanuel Wolf</t>
  </si>
  <si>
    <t>Klein</t>
  </si>
  <si>
    <t>Exel</t>
  </si>
  <si>
    <t>Jamnitz</t>
  </si>
  <si>
    <t>Jakob Lob</t>
  </si>
  <si>
    <t>Goldschmied</t>
  </si>
  <si>
    <t>Simon Hersch</t>
  </si>
  <si>
    <t>Josef</t>
  </si>
  <si>
    <t>Beinkeles</t>
  </si>
  <si>
    <t>Joseph Aron</t>
  </si>
  <si>
    <t>Selig Aron</t>
  </si>
  <si>
    <t>Enogh</t>
  </si>
  <si>
    <t>Wallis</t>
  </si>
  <si>
    <t>Selligman</t>
  </si>
  <si>
    <t>Gottfried</t>
  </si>
  <si>
    <t>Gänsler</t>
  </si>
  <si>
    <t>Samuel L.</t>
  </si>
  <si>
    <t>Jakob M.</t>
  </si>
  <si>
    <t>Gottlein</t>
  </si>
  <si>
    <t>Bernarth</t>
  </si>
  <si>
    <t>Pollak</t>
  </si>
  <si>
    <t>Nathan Lob</t>
  </si>
  <si>
    <t>Lazar</t>
  </si>
  <si>
    <t>Adam Ascher</t>
  </si>
  <si>
    <t>Markus J.</t>
  </si>
  <si>
    <t>Kosmann</t>
  </si>
  <si>
    <t>Löw</t>
  </si>
  <si>
    <t>Jakob H.</t>
  </si>
  <si>
    <t>Hössky</t>
  </si>
  <si>
    <t>Bondy</t>
  </si>
  <si>
    <t>Bernat</t>
  </si>
  <si>
    <t>Moses Moritz</t>
  </si>
  <si>
    <t>Ludschowitz</t>
  </si>
  <si>
    <t>Kohnrath</t>
  </si>
  <si>
    <t>Berrnath</t>
  </si>
  <si>
    <t>Schnurmacher</t>
  </si>
  <si>
    <t>Pick</t>
  </si>
  <si>
    <t>Fried</t>
  </si>
  <si>
    <t>Moritz Moses</t>
  </si>
  <si>
    <t>Leuer</t>
  </si>
  <si>
    <t>Simon Löwy</t>
  </si>
  <si>
    <t>Adler</t>
  </si>
  <si>
    <t>Frankel</t>
  </si>
  <si>
    <t>Rudolf</t>
  </si>
  <si>
    <t>Bernstein</t>
  </si>
  <si>
    <t>Luditzky</t>
  </si>
  <si>
    <t>David Jos.</t>
  </si>
  <si>
    <t>Löwenstam</t>
  </si>
  <si>
    <t>Moises</t>
  </si>
  <si>
    <t>Ignatz</t>
  </si>
  <si>
    <t>Jakob S.</t>
  </si>
  <si>
    <t>Samuel Philip</t>
  </si>
  <si>
    <t>Jerusalem</t>
  </si>
  <si>
    <t>Rossel</t>
  </si>
  <si>
    <t>Winkler</t>
  </si>
  <si>
    <t>Isak Berl</t>
  </si>
  <si>
    <t>Sara</t>
  </si>
  <si>
    <t>Baum</t>
  </si>
  <si>
    <t>Maria</t>
  </si>
  <si>
    <t>Beck</t>
  </si>
  <si>
    <t>Joseph Abr.</t>
  </si>
  <si>
    <t>Bachrach</t>
  </si>
  <si>
    <t>Rosalie</t>
  </si>
  <si>
    <t>Rosalia</t>
  </si>
  <si>
    <t>Bek</t>
  </si>
  <si>
    <t>Susany</t>
  </si>
  <si>
    <t>Mariane</t>
  </si>
  <si>
    <t>Ochoyas</t>
  </si>
  <si>
    <t>Rebeka</t>
  </si>
  <si>
    <t>Elisabeta</t>
  </si>
  <si>
    <t>Buditsky</t>
  </si>
  <si>
    <t>Braun</t>
  </si>
  <si>
    <t>Judith</t>
  </si>
  <si>
    <t>Brok</t>
  </si>
  <si>
    <t>Rachel</t>
  </si>
  <si>
    <t>Feit</t>
  </si>
  <si>
    <t>Bella</t>
  </si>
  <si>
    <t>Bok</t>
  </si>
  <si>
    <t>Abraham V.</t>
  </si>
  <si>
    <t>Jochim</t>
  </si>
  <si>
    <t>Frazniska</t>
  </si>
  <si>
    <t>Katharina</t>
  </si>
  <si>
    <t>Elianna</t>
  </si>
  <si>
    <t>Franziska</t>
  </si>
  <si>
    <t>Cibilla</t>
  </si>
  <si>
    <t>Hersch</t>
  </si>
  <si>
    <t>Bodascher</t>
  </si>
  <si>
    <t>Sonia</t>
  </si>
  <si>
    <t>Deitsch</t>
  </si>
  <si>
    <t>Ester</t>
  </si>
  <si>
    <t>Apalony</t>
  </si>
  <si>
    <t>Hönig</t>
  </si>
  <si>
    <t>Pinkas</t>
  </si>
  <si>
    <t>Hochfeld</t>
  </si>
  <si>
    <t>Mariany</t>
  </si>
  <si>
    <t>Englander</t>
  </si>
  <si>
    <t>Johan</t>
  </si>
  <si>
    <t>Babeth</t>
  </si>
  <si>
    <t>Theresia</t>
  </si>
  <si>
    <t>Anna</t>
  </si>
  <si>
    <t>Jellinek</t>
  </si>
  <si>
    <t>Jelinek</t>
  </si>
  <si>
    <t>Efraim</t>
  </si>
  <si>
    <t>Nucha</t>
  </si>
  <si>
    <t>Koslitscka</t>
  </si>
  <si>
    <t>Kotschka</t>
  </si>
  <si>
    <t>Kanther</t>
  </si>
  <si>
    <t>Koslitschek</t>
  </si>
  <si>
    <t>Kohnrad</t>
  </si>
  <si>
    <t>Konrat</t>
  </si>
  <si>
    <t>Kurtzweil</t>
  </si>
  <si>
    <t>Konrein</t>
  </si>
  <si>
    <t>Koblitschek</t>
  </si>
  <si>
    <t>Juditha</t>
  </si>
  <si>
    <t>Johana</t>
  </si>
  <si>
    <t>Regina</t>
  </si>
  <si>
    <t>Kasper</t>
  </si>
  <si>
    <t>isak</t>
  </si>
  <si>
    <t>Fany</t>
  </si>
  <si>
    <t>Leuerer</t>
  </si>
  <si>
    <t>Valentin</t>
  </si>
  <si>
    <t>Katon</t>
  </si>
  <si>
    <t>Aron Ber</t>
  </si>
  <si>
    <t>Marie</t>
  </si>
  <si>
    <t>26.1.1825</t>
  </si>
  <si>
    <t>26.5.1825</t>
  </si>
  <si>
    <t>Mekler</t>
  </si>
  <si>
    <t>Mahler</t>
  </si>
  <si>
    <t>Minkos</t>
  </si>
  <si>
    <t>Thresia Kath.</t>
  </si>
  <si>
    <t>Minkes</t>
  </si>
  <si>
    <t>Sachrias</t>
  </si>
  <si>
    <t>Montzl</t>
  </si>
  <si>
    <t>Morowitz</t>
  </si>
  <si>
    <t>Menkerl</t>
  </si>
  <si>
    <t>Katharin</t>
  </si>
  <si>
    <t>Nasch</t>
  </si>
  <si>
    <t>Pauline</t>
  </si>
  <si>
    <t>Nar</t>
  </si>
  <si>
    <t>Neustein</t>
  </si>
  <si>
    <t>Balthasar</t>
  </si>
  <si>
    <t>Ewa</t>
  </si>
  <si>
    <t>Polak</t>
  </si>
  <si>
    <t>Babetha</t>
  </si>
  <si>
    <t>Barbara</t>
  </si>
  <si>
    <t>Hersch Lobl</t>
  </si>
  <si>
    <t>Puzker</t>
  </si>
  <si>
    <t>Juda Löw</t>
  </si>
  <si>
    <t>Printz</t>
  </si>
  <si>
    <t>Johanna</t>
  </si>
  <si>
    <t>David Joseph</t>
  </si>
  <si>
    <t>Riess</t>
  </si>
  <si>
    <t>Paulina</t>
  </si>
  <si>
    <t>Jahim</t>
  </si>
  <si>
    <t>Rekendorf</t>
  </si>
  <si>
    <t>Jadhim</t>
  </si>
  <si>
    <t>Reiniger</t>
  </si>
  <si>
    <t>Rossner</t>
  </si>
  <si>
    <t>Rebek</t>
  </si>
  <si>
    <t>Rudolfer</t>
  </si>
  <si>
    <t>Ganina</t>
  </si>
  <si>
    <t>Ruberl</t>
  </si>
  <si>
    <t>Sarne</t>
  </si>
  <si>
    <t>Spitz</t>
  </si>
  <si>
    <t>Subak</t>
  </si>
  <si>
    <t>Rebela</t>
  </si>
  <si>
    <t>Antonia</t>
  </si>
  <si>
    <t>Stiasny</t>
  </si>
  <si>
    <t>Julie</t>
  </si>
  <si>
    <t>Salomina</t>
  </si>
  <si>
    <t>Baruch</t>
  </si>
  <si>
    <t>Rössl</t>
  </si>
  <si>
    <t>Babette</t>
  </si>
  <si>
    <t>Davic</t>
  </si>
  <si>
    <t>Jachim</t>
  </si>
  <si>
    <t>Schia</t>
  </si>
  <si>
    <t>Pinchas</t>
  </si>
  <si>
    <t>Schmelky</t>
  </si>
  <si>
    <t>Elisabetha</t>
  </si>
  <si>
    <t>Veitl</t>
  </si>
  <si>
    <t>Nety</t>
  </si>
  <si>
    <t>Stefany</t>
  </si>
  <si>
    <t>Eduard</t>
  </si>
  <si>
    <t>Theres</t>
  </si>
  <si>
    <t>Voreinsam</t>
  </si>
  <si>
    <t>Wärtheim</t>
  </si>
  <si>
    <t>Walentin</t>
  </si>
  <si>
    <t>Wechsler</t>
  </si>
  <si>
    <t>Walis</t>
  </si>
  <si>
    <t>Zibilla</t>
  </si>
  <si>
    <t>Weitzman</t>
  </si>
  <si>
    <t>Esther</t>
  </si>
  <si>
    <t>Ber</t>
  </si>
  <si>
    <t>Wilschek</t>
  </si>
  <si>
    <t>Mariana</t>
  </si>
  <si>
    <t>Sygmund</t>
  </si>
  <si>
    <t>Shila</t>
  </si>
  <si>
    <t>Rösel</t>
  </si>
  <si>
    <t>Juda Leble</t>
  </si>
  <si>
    <t>Josua Markus</t>
  </si>
  <si>
    <t>Tritsch</t>
  </si>
  <si>
    <t>Kohnrein</t>
  </si>
  <si>
    <t>isak Joachim</t>
  </si>
  <si>
    <t>Noa</t>
  </si>
  <si>
    <t>Sellig Israel</t>
  </si>
  <si>
    <t>Fleishmann</t>
  </si>
  <si>
    <t>Lowenthal</t>
  </si>
  <si>
    <t>Isak Samuel</t>
  </si>
  <si>
    <t>Rosner</t>
  </si>
  <si>
    <t>Jakob Joseph</t>
  </si>
  <si>
    <t>Orenstein</t>
  </si>
  <si>
    <t>Erbmann</t>
  </si>
  <si>
    <t>Aron Jakob</t>
  </si>
  <si>
    <t>Danick</t>
  </si>
  <si>
    <t>Moritz Moyses</t>
  </si>
  <si>
    <t>Prinz</t>
  </si>
  <si>
    <t>Sigmund</t>
  </si>
  <si>
    <t>Isack Alex.</t>
  </si>
  <si>
    <t>Ledrer</t>
  </si>
  <si>
    <t>Herrschmann</t>
  </si>
  <si>
    <t>Markus Philip</t>
  </si>
  <si>
    <t>Goldschmid</t>
  </si>
  <si>
    <t>Moses Joseph</t>
  </si>
  <si>
    <t>1841-1842?</t>
  </si>
  <si>
    <t>Ferdinand</t>
  </si>
  <si>
    <t>Rosenblüh</t>
  </si>
  <si>
    <t>Fuchs</t>
  </si>
  <si>
    <t>Bernard Beer</t>
  </si>
  <si>
    <t>Minich</t>
  </si>
  <si>
    <t>Bernard</t>
  </si>
  <si>
    <t>Beer</t>
  </si>
  <si>
    <t>Isak Alexander</t>
  </si>
  <si>
    <t>Koperl</t>
  </si>
  <si>
    <t>Max</t>
  </si>
  <si>
    <t>Reckendorf</t>
  </si>
  <si>
    <t>Samuel Natan</t>
  </si>
  <si>
    <t>Pünzger</t>
  </si>
  <si>
    <t>Todesky</t>
  </si>
  <si>
    <t>Tüchy</t>
  </si>
  <si>
    <t>Simon Isais</t>
  </si>
  <si>
    <t>Wertheimer</t>
  </si>
  <si>
    <t>Aron Löw</t>
  </si>
  <si>
    <t>Kurrein</t>
  </si>
  <si>
    <t>Herrmann</t>
  </si>
  <si>
    <t>Alexander</t>
  </si>
  <si>
    <t>Daniek</t>
  </si>
  <si>
    <t>Gerson</t>
  </si>
  <si>
    <t>Triescher</t>
  </si>
  <si>
    <t>Furst</t>
  </si>
  <si>
    <t>Lowenstam</t>
  </si>
  <si>
    <t>Singer</t>
  </si>
  <si>
    <t>Libochowitz</t>
  </si>
  <si>
    <t>Isaias</t>
  </si>
  <si>
    <t>Butschowtiz</t>
  </si>
  <si>
    <t>Bondi</t>
  </si>
  <si>
    <t>Weissenstein</t>
  </si>
  <si>
    <t>Feit Michael</t>
  </si>
  <si>
    <t>Schnirmacher</t>
  </si>
  <si>
    <t>Neptali</t>
  </si>
  <si>
    <t>Abram</t>
  </si>
  <si>
    <t>INV.</t>
  </si>
  <si>
    <t>SURNAME</t>
  </si>
  <si>
    <t>FIRST NAME</t>
  </si>
  <si>
    <t>HBMa</t>
  </si>
  <si>
    <t>Wallentin</t>
  </si>
  <si>
    <t>Bloch</t>
  </si>
  <si>
    <t>Eysenberger</t>
  </si>
  <si>
    <t>Dainek</t>
  </si>
  <si>
    <t>Beer?</t>
  </si>
  <si>
    <t>Elka Willem</t>
  </si>
  <si>
    <t>Isaias Emanuel</t>
  </si>
  <si>
    <t>Julius</t>
  </si>
  <si>
    <t>Austerlitch</t>
  </si>
  <si>
    <t>Bäck</t>
  </si>
  <si>
    <t>Adolf</t>
  </si>
  <si>
    <t>Betti</t>
  </si>
  <si>
    <t>Ernestina</t>
  </si>
  <si>
    <t>Petromilla</t>
  </si>
  <si>
    <t>Sali</t>
  </si>
  <si>
    <t>Bader</t>
  </si>
  <si>
    <t>Juli</t>
  </si>
  <si>
    <t>Carolina</t>
  </si>
  <si>
    <t>Basch</t>
  </si>
  <si>
    <t>Bassist</t>
  </si>
  <si>
    <t>Netti</t>
  </si>
  <si>
    <t>Adelheid</t>
  </si>
  <si>
    <t>Elenor</t>
  </si>
  <si>
    <t>Hanni</t>
  </si>
  <si>
    <t>Ignatz Nathan</t>
  </si>
  <si>
    <t>Jetti</t>
  </si>
  <si>
    <t>Joseph Joachim</t>
  </si>
  <si>
    <t>Mathilde</t>
  </si>
  <si>
    <t>Moritz</t>
  </si>
  <si>
    <t>Nathan David</t>
  </si>
  <si>
    <t>Reichel</t>
  </si>
  <si>
    <t>Siegfried</t>
  </si>
  <si>
    <t>Jakob/Isaak</t>
  </si>
  <si>
    <t>Beinkelis</t>
  </si>
  <si>
    <t>Benesch</t>
  </si>
  <si>
    <t>Katti</t>
  </si>
  <si>
    <t>Birnbaum</t>
  </si>
  <si>
    <t>Amalia</t>
  </si>
  <si>
    <t>Charlotte</t>
  </si>
  <si>
    <t>Scharlotta</t>
  </si>
  <si>
    <t>A?</t>
  </si>
  <si>
    <t>Hugo</t>
  </si>
  <si>
    <t>Brock</t>
  </si>
  <si>
    <t>Fanni</t>
  </si>
  <si>
    <t>Burger</t>
  </si>
  <si>
    <t>Wilhelm</t>
  </si>
  <si>
    <t>Herrmine</t>
  </si>
  <si>
    <t>Chumra</t>
  </si>
  <si>
    <t>Kathi (Juditha)</t>
  </si>
  <si>
    <t>Dürrheim</t>
  </si>
  <si>
    <t>Juda Leopold</t>
  </si>
  <si>
    <t>Gustalla</t>
  </si>
  <si>
    <t>Carl</t>
  </si>
  <si>
    <t>Fischmann</t>
  </si>
  <si>
    <t>Fleischmann</t>
  </si>
  <si>
    <t>Freund</t>
  </si>
  <si>
    <t>Karl</t>
  </si>
  <si>
    <t>Josefa</t>
  </si>
  <si>
    <t>Matilde</t>
  </si>
  <si>
    <t>Willhelm</t>
  </si>
  <si>
    <t>David Adolf</t>
  </si>
  <si>
    <t>Jeannin</t>
  </si>
  <si>
    <t>Klara</t>
  </si>
  <si>
    <t>Manfried</t>
  </si>
  <si>
    <t>Amelia</t>
  </si>
  <si>
    <t>Barbara Pepi</t>
  </si>
  <si>
    <t>Fanni/Franziska</t>
  </si>
  <si>
    <t>Hermine</t>
  </si>
  <si>
    <t>Hilbert</t>
  </si>
  <si>
    <t>Gläsner</t>
  </si>
  <si>
    <t>Goldfarb</t>
  </si>
  <si>
    <t>Goldmann</t>
  </si>
  <si>
    <t>Ludwig</t>
  </si>
  <si>
    <t>Albert</t>
  </si>
  <si>
    <t>Isidor</t>
  </si>
  <si>
    <t>Libuscha</t>
  </si>
  <si>
    <t>Grosslicht</t>
  </si>
  <si>
    <t>Sibilla</t>
  </si>
  <si>
    <t>Grossman</t>
  </si>
  <si>
    <t>Taube</t>
  </si>
  <si>
    <t>Marianne</t>
  </si>
  <si>
    <t>Rosie J</t>
  </si>
  <si>
    <t>Grüner</t>
  </si>
  <si>
    <t>Emil</t>
  </si>
  <si>
    <t>Hausser</t>
  </si>
  <si>
    <t>Hellmann</t>
  </si>
  <si>
    <t>Herrman</t>
  </si>
  <si>
    <t>Rosa</t>
  </si>
  <si>
    <t>Gabriel H.</t>
  </si>
  <si>
    <t>Henrietta</t>
  </si>
  <si>
    <t>Josephine</t>
  </si>
  <si>
    <t>Kantor</t>
  </si>
  <si>
    <t>Joseph A.</t>
  </si>
  <si>
    <t xml:space="preserve">Kantor </t>
  </si>
  <si>
    <t>Abram Moses</t>
  </si>
  <si>
    <t>Kohn</t>
  </si>
  <si>
    <t>Hedwig</t>
  </si>
  <si>
    <t>Henriette</t>
  </si>
  <si>
    <t>Demuth</t>
  </si>
  <si>
    <t>Koslitsek</t>
  </si>
  <si>
    <t>Kozmal?</t>
  </si>
  <si>
    <t>(t.gbrn)</t>
  </si>
  <si>
    <t>Solomon</t>
  </si>
  <si>
    <t>Ledizky</t>
  </si>
  <si>
    <t>Leirer</t>
  </si>
  <si>
    <t>Bertha</t>
  </si>
  <si>
    <t>Lotti</t>
  </si>
  <si>
    <t>Elisabeth</t>
  </si>
  <si>
    <t>Lowenstein</t>
  </si>
  <si>
    <t>Anna/Hanni</t>
  </si>
  <si>
    <t>Maxiimilian</t>
  </si>
  <si>
    <t>Merekesel-Wertheimer</t>
  </si>
  <si>
    <t>Merkesel</t>
  </si>
  <si>
    <t>Jacobi</t>
  </si>
  <si>
    <t>Merkesel-Wertheimer</t>
  </si>
  <si>
    <t>Munk</t>
  </si>
  <si>
    <t>Leni</t>
  </si>
  <si>
    <t>Müzer</t>
  </si>
  <si>
    <t>Neumann</t>
  </si>
  <si>
    <t>Arnold</t>
  </si>
  <si>
    <t>Emma</t>
  </si>
  <si>
    <t>Oesterreicher</t>
  </si>
  <si>
    <t>Pächter</t>
  </si>
  <si>
    <t>Pik</t>
  </si>
  <si>
    <t>Adele</t>
  </si>
  <si>
    <t>Elenore</t>
  </si>
  <si>
    <t>Hermina</t>
  </si>
  <si>
    <t>Liönell</t>
  </si>
  <si>
    <t>Pollatschek</t>
  </si>
  <si>
    <t>Richard</t>
  </si>
  <si>
    <t>Abraham Löb</t>
  </si>
  <si>
    <t>Karolina</t>
  </si>
  <si>
    <t>Naphtali</t>
  </si>
  <si>
    <t>Allouisia</t>
  </si>
  <si>
    <t>Ignaz</t>
  </si>
  <si>
    <t>Jeanette</t>
  </si>
  <si>
    <t>Robert</t>
  </si>
  <si>
    <t>Rederer</t>
  </si>
  <si>
    <t>Leoopold</t>
  </si>
  <si>
    <t>Berthold</t>
  </si>
  <si>
    <t>Reicherer</t>
  </si>
  <si>
    <t>Rosel</t>
  </si>
  <si>
    <t>Regi</t>
  </si>
  <si>
    <t>Sigfried</t>
  </si>
  <si>
    <t>Filipp</t>
  </si>
  <si>
    <t>Martha</t>
  </si>
  <si>
    <t>Regine</t>
  </si>
  <si>
    <t>Catarina</t>
  </si>
  <si>
    <t>Pepi</t>
  </si>
  <si>
    <t>Simon Isak</t>
  </si>
  <si>
    <t>Rubin</t>
  </si>
  <si>
    <t>Alouis.</t>
  </si>
  <si>
    <t>Schantna</t>
  </si>
  <si>
    <t>Appolonia</t>
  </si>
  <si>
    <t>Schiller</t>
  </si>
  <si>
    <t>Fradel</t>
  </si>
  <si>
    <t>Judith/Julie</t>
  </si>
  <si>
    <t>Schrotter</t>
  </si>
  <si>
    <t>Apolonia</t>
  </si>
  <si>
    <t>Schuschny</t>
  </si>
  <si>
    <t>Schweiger</t>
  </si>
  <si>
    <t>Seidel</t>
  </si>
  <si>
    <t>Katarina</t>
  </si>
  <si>
    <t>David Leopold</t>
  </si>
  <si>
    <t>Johanna/Anna</t>
  </si>
  <si>
    <t>Alfred</t>
  </si>
  <si>
    <t>Betti Barbara</t>
  </si>
  <si>
    <t>Ernestine</t>
  </si>
  <si>
    <t>Josefina</t>
  </si>
  <si>
    <t>Joseph L.</t>
  </si>
  <si>
    <t>Minke</t>
  </si>
  <si>
    <t>Simon Sigmund</t>
  </si>
  <si>
    <t>Spitzer</t>
  </si>
  <si>
    <t>Jeanne</t>
  </si>
  <si>
    <t>Steiner</t>
  </si>
  <si>
    <t>Stiassny</t>
  </si>
  <si>
    <t>Johann</t>
  </si>
  <si>
    <t>Otto</t>
  </si>
  <si>
    <t>Ernst</t>
  </si>
  <si>
    <t>Dawid</t>
  </si>
  <si>
    <t>Ester Netti</t>
  </si>
  <si>
    <t>Fanni/ Ewa</t>
  </si>
  <si>
    <t>Wolf/Wilhelm</t>
  </si>
  <si>
    <t>Todesko</t>
  </si>
  <si>
    <t>Markus Löb</t>
  </si>
  <si>
    <t>Tüchi</t>
  </si>
  <si>
    <t>Vogel</t>
  </si>
  <si>
    <t>Friedrike</t>
  </si>
  <si>
    <t>Zäzilie</t>
  </si>
  <si>
    <t>Waldmann</t>
  </si>
  <si>
    <t>Rosi</t>
  </si>
  <si>
    <t>Weisel</t>
  </si>
  <si>
    <t>Willhelmina</t>
  </si>
  <si>
    <t>Karoloina</t>
  </si>
  <si>
    <t>Josua/Isidor</t>
  </si>
  <si>
    <t>Toni Demuth</t>
  </si>
  <si>
    <t>Wesseli</t>
  </si>
  <si>
    <t>Sophie</t>
  </si>
  <si>
    <t>Widrofsky</t>
  </si>
  <si>
    <t>July</t>
  </si>
  <si>
    <t>Zeisel</t>
  </si>
  <si>
    <t>Judith (Babette)</t>
  </si>
  <si>
    <t>Stefanie</t>
  </si>
  <si>
    <t>Soffer (Sofer)</t>
  </si>
  <si>
    <t>Sofferová</t>
  </si>
  <si>
    <t>Hanny</t>
  </si>
  <si>
    <t>Soffers</t>
  </si>
  <si>
    <t>Spiegelová</t>
  </si>
  <si>
    <t>Spielman</t>
  </si>
  <si>
    <t>Spielmann</t>
  </si>
  <si>
    <t>Gisela</t>
  </si>
  <si>
    <t>Oskar</t>
  </si>
  <si>
    <t>Berta</t>
  </si>
  <si>
    <t>Elsa</t>
  </si>
  <si>
    <t>Jindrich</t>
  </si>
  <si>
    <t>Moric</t>
  </si>
  <si>
    <t>Ottokar</t>
  </si>
  <si>
    <t>Veit</t>
  </si>
  <si>
    <t>Bernhard</t>
  </si>
  <si>
    <t>Spitzkopfová</t>
  </si>
  <si>
    <t>Jana</t>
  </si>
  <si>
    <t>Stark</t>
  </si>
  <si>
    <t>Eugenie</t>
  </si>
  <si>
    <t>Vilem</t>
  </si>
  <si>
    <t>Stechert</t>
  </si>
  <si>
    <t>Steinhardtová</t>
  </si>
  <si>
    <t>Steinhart</t>
  </si>
  <si>
    <t>Sternbach</t>
  </si>
  <si>
    <t>Sosha</t>
  </si>
  <si>
    <t>Stössler</t>
  </si>
  <si>
    <t>Antonie</t>
  </si>
  <si>
    <t>Cäcilie</t>
  </si>
  <si>
    <t>Ella</t>
  </si>
  <si>
    <t>Hildegarde</t>
  </si>
  <si>
    <t>Isak Hermann</t>
  </si>
  <si>
    <t>Jakub</t>
  </si>
  <si>
    <t>Josefine</t>
  </si>
  <si>
    <t>Leopoldine</t>
  </si>
  <si>
    <t>Sigmund (Salomon)</t>
  </si>
  <si>
    <t>Sulc</t>
  </si>
  <si>
    <t>Suschny</t>
  </si>
  <si>
    <t>Susicka</t>
  </si>
  <si>
    <t>Filippina</t>
  </si>
  <si>
    <t>Synek</t>
  </si>
  <si>
    <t>Katharina (Ganina)</t>
  </si>
  <si>
    <t>Helen?</t>
  </si>
  <si>
    <t>Taussigová</t>
  </si>
  <si>
    <t>Thorsch</t>
  </si>
  <si>
    <t>Thorz</t>
  </si>
  <si>
    <t>Triescherová</t>
  </si>
  <si>
    <t>Matylda</t>
  </si>
  <si>
    <t>Trieschová</t>
  </si>
  <si>
    <t>Betty</t>
  </si>
  <si>
    <t>Chaje</t>
  </si>
  <si>
    <t>Tuschitzky</t>
  </si>
  <si>
    <t>Venhodová</t>
  </si>
  <si>
    <t>Hilda</t>
  </si>
  <si>
    <t>Venhoslová</t>
  </si>
  <si>
    <t>Hana</t>
  </si>
  <si>
    <t>Wachtel</t>
  </si>
  <si>
    <t>Leo</t>
  </si>
  <si>
    <t>Siegmund</t>
  </si>
  <si>
    <t>Wachtlová</t>
  </si>
  <si>
    <t>Terezie</t>
  </si>
  <si>
    <t>Wagreich</t>
  </si>
  <si>
    <t>Waldmannová</t>
  </si>
  <si>
    <t>Adela</t>
  </si>
  <si>
    <t>Friederika</t>
  </si>
  <si>
    <t>Hany</t>
  </si>
  <si>
    <t>Wallisová</t>
  </si>
  <si>
    <t>Arnostka</t>
  </si>
  <si>
    <t>Wasserman</t>
  </si>
  <si>
    <t>Ernest</t>
  </si>
  <si>
    <t>Wasserman (Eisenberg)</t>
  </si>
  <si>
    <t>Wassermann</t>
  </si>
  <si>
    <t>M.H.</t>
  </si>
  <si>
    <t>Netty</t>
  </si>
  <si>
    <t>Weisl</t>
  </si>
  <si>
    <t>Emilie</t>
  </si>
  <si>
    <t>Weislová</t>
  </si>
  <si>
    <t>Matilda</t>
  </si>
  <si>
    <t>Weiss</t>
  </si>
  <si>
    <t>Amalie</t>
  </si>
  <si>
    <t>Weissensteinová</t>
  </si>
  <si>
    <t>Weissová</t>
  </si>
  <si>
    <t>Wellisch</t>
  </si>
  <si>
    <t>Netti (Esther)</t>
  </si>
  <si>
    <t>Moses (Moritz)</t>
  </si>
  <si>
    <t>Wertheimer (Merkesel)</t>
  </si>
  <si>
    <t>Therezie</t>
  </si>
  <si>
    <t>Hanni (Anna)</t>
  </si>
  <si>
    <t>Moriz</t>
  </si>
  <si>
    <t>Jetti (Demutha)</t>
  </si>
  <si>
    <t>Wilheim</t>
  </si>
  <si>
    <t>Therese</t>
  </si>
  <si>
    <t>Willheim</t>
  </si>
  <si>
    <t>Sara (Sali)</t>
  </si>
  <si>
    <t>Wilhelmine</t>
  </si>
  <si>
    <t>Witrofsky</t>
  </si>
  <si>
    <t>Witrovsky</t>
  </si>
  <si>
    <t>Wohl</t>
  </si>
  <si>
    <t>Salmen</t>
  </si>
  <si>
    <t>Abeles</t>
  </si>
  <si>
    <t>Adel</t>
  </si>
  <si>
    <t>Adlerová</t>
  </si>
  <si>
    <t>Marianna</t>
  </si>
  <si>
    <t>Altschul</t>
  </si>
  <si>
    <t>Appelfeld</t>
  </si>
  <si>
    <t>Sonja</t>
  </si>
  <si>
    <t>Ascher</t>
  </si>
  <si>
    <t>Bachrachová</t>
  </si>
  <si>
    <t>Alois</t>
  </si>
  <si>
    <t>Clara</t>
  </si>
  <si>
    <t>Johanna/Jeanette</t>
  </si>
  <si>
    <t>Rebekka</t>
  </si>
  <si>
    <t>Bäckerová</t>
  </si>
  <si>
    <t>Gerdmand</t>
  </si>
  <si>
    <t>Bartová</t>
  </si>
  <si>
    <t>Baschová</t>
  </si>
  <si>
    <t>Kopelman</t>
  </si>
  <si>
    <t>Netti (Sara)</t>
  </si>
  <si>
    <t>Agnes</t>
  </si>
  <si>
    <t>Jakob (Naftali)</t>
  </si>
  <si>
    <t>Karoline</t>
  </si>
  <si>
    <t>Leni (Eva)</t>
  </si>
  <si>
    <t>Beinkeles (Grünberger)</t>
  </si>
  <si>
    <t>Isaias (Simon)</t>
  </si>
  <si>
    <t>Beneschová</t>
  </si>
  <si>
    <t>Rosalie (Regina)</t>
  </si>
  <si>
    <t>Katharina (Judith)</t>
  </si>
  <si>
    <t>Rosa/Therese</t>
  </si>
  <si>
    <t>Esther Netti</t>
  </si>
  <si>
    <t>Leopold (Abraham)</t>
  </si>
  <si>
    <t>Bränner</t>
  </si>
  <si>
    <t>Brod</t>
  </si>
  <si>
    <t>Dachner</t>
  </si>
  <si>
    <t>Damiek</t>
  </si>
  <si>
    <t>Moritz Leopold</t>
  </si>
  <si>
    <t>Deutsch</t>
  </si>
  <si>
    <t>Diamant</t>
  </si>
  <si>
    <t>Helene</t>
  </si>
  <si>
    <t>Dlugaaz</t>
  </si>
  <si>
    <t>Johanna (Toni)</t>
  </si>
  <si>
    <t>Dürrheimová</t>
  </si>
  <si>
    <t>Eleonora</t>
  </si>
  <si>
    <t>Eisler</t>
  </si>
  <si>
    <t>Arthur</t>
  </si>
  <si>
    <t>Laura</t>
  </si>
  <si>
    <t>Elsner</t>
  </si>
  <si>
    <t>Elster</t>
  </si>
  <si>
    <t>Reisel</t>
  </si>
  <si>
    <t>Menases</t>
  </si>
  <si>
    <t>Nathan Hermann</t>
  </si>
  <si>
    <t>Exel (Fuchs)</t>
  </si>
  <si>
    <t>Fabian</t>
  </si>
  <si>
    <t>Emma (Emilie)</t>
  </si>
  <si>
    <t>Fabianová</t>
  </si>
  <si>
    <t>Helena</t>
  </si>
  <si>
    <t>Fassl</t>
  </si>
  <si>
    <t>Katherine</t>
  </si>
  <si>
    <t>Feldman</t>
  </si>
  <si>
    <t>Feldmann</t>
  </si>
  <si>
    <t>Edmund</t>
  </si>
  <si>
    <t>Feuer</t>
  </si>
  <si>
    <t>Serke</t>
  </si>
  <si>
    <t>Feuerstein</t>
  </si>
  <si>
    <t>Resi</t>
  </si>
  <si>
    <t>Firnberg</t>
  </si>
  <si>
    <t>Hans</t>
  </si>
  <si>
    <t>Fischbein</t>
  </si>
  <si>
    <t>Chinke</t>
  </si>
  <si>
    <t>Fischerová</t>
  </si>
  <si>
    <t>Fischl</t>
  </si>
  <si>
    <t>Flatter</t>
  </si>
  <si>
    <t>Flesch</t>
  </si>
  <si>
    <t>Otilie</t>
  </si>
  <si>
    <t>Freundová</t>
  </si>
  <si>
    <t>Kati</t>
  </si>
  <si>
    <t>Maximilian</t>
  </si>
  <si>
    <t>Friedmann</t>
  </si>
  <si>
    <t>Olga</t>
  </si>
  <si>
    <t>Friedová</t>
  </si>
  <si>
    <t>Aloisie</t>
  </si>
  <si>
    <t>Ida</t>
  </si>
  <si>
    <t>Josef (Leopold)</t>
  </si>
  <si>
    <t>Fuchsová</t>
  </si>
  <si>
    <t>Furcht</t>
  </si>
  <si>
    <t>Fürnberg</t>
  </si>
  <si>
    <t>Karel</t>
  </si>
  <si>
    <t>Fürnbergová</t>
  </si>
  <si>
    <t>Maximilian/Markus</t>
  </si>
  <si>
    <t>Erich</t>
  </si>
  <si>
    <t>Friedrich</t>
  </si>
  <si>
    <t>Sofie</t>
  </si>
  <si>
    <t>Fürstová</t>
  </si>
  <si>
    <t>Cecilie</t>
  </si>
  <si>
    <t>Lorra</t>
  </si>
  <si>
    <t>Ruzenka</t>
  </si>
  <si>
    <t>Johanna Josephine</t>
  </si>
  <si>
    <t>Siegfried/Sigmund</t>
  </si>
  <si>
    <t>Gärtner</t>
  </si>
  <si>
    <t>Gerold</t>
  </si>
  <si>
    <t>Gläsnerová</t>
  </si>
  <si>
    <t>Hanna</t>
  </si>
  <si>
    <t>Pepi (Paula)</t>
  </si>
  <si>
    <t>Goldman</t>
  </si>
  <si>
    <t>Kaspar Gerson</t>
  </si>
  <si>
    <t>Gotlein</t>
  </si>
  <si>
    <t>Leib</t>
  </si>
  <si>
    <t>Malvine</t>
  </si>
  <si>
    <t>Franziska (Fani)</t>
  </si>
  <si>
    <t>Jenny</t>
  </si>
  <si>
    <t>Kathi</t>
  </si>
  <si>
    <t>Sidonie</t>
  </si>
  <si>
    <t>Zigmund</t>
  </si>
  <si>
    <t>Grünberger/Beinkeles</t>
  </si>
  <si>
    <t>Eleonora (Adelina)</t>
  </si>
  <si>
    <t>Grünbergerová</t>
  </si>
  <si>
    <t>Kamilla</t>
  </si>
  <si>
    <t>Ilana</t>
  </si>
  <si>
    <t>Haus</t>
  </si>
  <si>
    <t>Adelheit</t>
  </si>
  <si>
    <t>David Josef (Isaias)</t>
  </si>
  <si>
    <t>Oswald</t>
  </si>
  <si>
    <t>Hauserová</t>
  </si>
  <si>
    <t>Sara Fanni</t>
  </si>
  <si>
    <t>Therese (Rösel)</t>
  </si>
  <si>
    <t>Heller</t>
  </si>
  <si>
    <t>Käthe</t>
  </si>
  <si>
    <t>Herschmannová</t>
  </si>
  <si>
    <t>Netty (Esther)</t>
  </si>
  <si>
    <t>Hirsch</t>
  </si>
  <si>
    <t>Hitz</t>
  </si>
  <si>
    <t>Hoffman</t>
  </si>
  <si>
    <t>Rose</t>
  </si>
  <si>
    <t>Hoffmann</t>
  </si>
  <si>
    <t>Holzer</t>
  </si>
  <si>
    <t>Huss</t>
  </si>
  <si>
    <t>Inwald</t>
  </si>
  <si>
    <t>Ignac</t>
  </si>
  <si>
    <t>Julie (Judith)</t>
  </si>
  <si>
    <t>Joffe</t>
  </si>
  <si>
    <t>Kahn</t>
  </si>
  <si>
    <t>Cäcilie (Sara)</t>
  </si>
  <si>
    <t>Hany/Anna</t>
  </si>
  <si>
    <t>Karpeles</t>
  </si>
  <si>
    <t>Riichard</t>
  </si>
  <si>
    <t>Josef Joachim</t>
  </si>
  <si>
    <t>Resi Rosalia</t>
  </si>
  <si>
    <t>Kleinová</t>
  </si>
  <si>
    <t>Sigmund/Simon</t>
  </si>
  <si>
    <t>Kohnstein (Konstein)</t>
  </si>
  <si>
    <t>Komornik</t>
  </si>
  <si>
    <t>Königsberg</t>
  </si>
  <si>
    <t>Judit</t>
  </si>
  <si>
    <t>Konstein</t>
  </si>
  <si>
    <t>Koratek</t>
  </si>
  <si>
    <t>Krakauer</t>
  </si>
  <si>
    <t>Bruno</t>
  </si>
  <si>
    <t>Krakow</t>
  </si>
  <si>
    <t>Kramer</t>
  </si>
  <si>
    <t>Krummbein</t>
  </si>
  <si>
    <t>Jittel</t>
  </si>
  <si>
    <t>Kuhn</t>
  </si>
  <si>
    <t>Siedfried</t>
  </si>
  <si>
    <t>Landwehr</t>
  </si>
  <si>
    <t>Chume</t>
  </si>
  <si>
    <t>Eva</t>
  </si>
  <si>
    <t>Tini (Magdalena)</t>
  </si>
  <si>
    <t>Lederová</t>
  </si>
  <si>
    <t>Ledofsky</t>
  </si>
  <si>
    <t>Netty(Ganina)</t>
  </si>
  <si>
    <t>Gustav</t>
  </si>
  <si>
    <t>Mase</t>
  </si>
  <si>
    <t>Paul</t>
  </si>
  <si>
    <t>Philpp</t>
  </si>
  <si>
    <t>Sali (Sophie)</t>
  </si>
  <si>
    <t>Theresia Ester</t>
  </si>
  <si>
    <t>Lissa</t>
  </si>
  <si>
    <t>Anna (Kathi)</t>
  </si>
  <si>
    <t>Löw (Singer)</t>
  </si>
  <si>
    <t>Löwenstamm</t>
  </si>
  <si>
    <t>Löwensteinová</t>
  </si>
  <si>
    <t>Löwit</t>
  </si>
  <si>
    <t>Markesel-Wertheimer</t>
  </si>
  <si>
    <t>Ludmilla (Leni)</t>
  </si>
  <si>
    <t>Mautner</t>
  </si>
  <si>
    <t>Cäzilie</t>
  </si>
  <si>
    <t>Friederike</t>
  </si>
  <si>
    <t>Mautnerová</t>
  </si>
  <si>
    <t>Mayer</t>
  </si>
  <si>
    <t>Rochl</t>
  </si>
  <si>
    <t>Scheidl</t>
  </si>
  <si>
    <t>Josef (Samuel)</t>
  </si>
  <si>
    <t>Merkesel  (Wertheimer)</t>
  </si>
  <si>
    <t>Joachiim (Jakob)</t>
  </si>
  <si>
    <t>Merkesel-Wertrheimer</t>
  </si>
  <si>
    <t>Millner</t>
  </si>
  <si>
    <t>Arnost</t>
  </si>
  <si>
    <t>Abraham (Albert)</t>
  </si>
  <si>
    <t>Leni (Eleonore)</t>
  </si>
  <si>
    <t>Neunerová</t>
  </si>
  <si>
    <t>Josepha</t>
  </si>
  <si>
    <t>Sali (Sara)</t>
  </si>
  <si>
    <t>Ornsteinová</t>
  </si>
  <si>
    <t>Pachner</t>
  </si>
  <si>
    <t>Henriette (Julie)</t>
  </si>
  <si>
    <t>Ignaz Isak</t>
  </si>
  <si>
    <t>Julius  (Leopold)</t>
  </si>
  <si>
    <t>Louise</t>
  </si>
  <si>
    <t>Armin</t>
  </si>
  <si>
    <t>Zikmund</t>
  </si>
  <si>
    <t>Picková</t>
  </si>
  <si>
    <t>Pokorny</t>
  </si>
  <si>
    <t>Leny</t>
  </si>
  <si>
    <t>Fanny</t>
  </si>
  <si>
    <t>Jaquez</t>
  </si>
  <si>
    <t>Polláková</t>
  </si>
  <si>
    <t>Jella</t>
  </si>
  <si>
    <t>Fritz</t>
  </si>
  <si>
    <t>Johanna (Katharina)</t>
  </si>
  <si>
    <t>Regina (Rachel)</t>
  </si>
  <si>
    <t>Victor</t>
  </si>
  <si>
    <t>Polnauerová</t>
  </si>
  <si>
    <t>Frantiska</t>
  </si>
  <si>
    <t>Popper</t>
  </si>
  <si>
    <t>Posiles</t>
  </si>
  <si>
    <t>Joachim David</t>
  </si>
  <si>
    <t>Pragerová</t>
  </si>
  <si>
    <t>Eugen</t>
  </si>
  <si>
    <t>Josef/Isaias</t>
  </si>
  <si>
    <t>Rainer</t>
  </si>
  <si>
    <t>Max (Marcus)</t>
  </si>
  <si>
    <t>Redererová</t>
  </si>
  <si>
    <t>Alzbeta</t>
  </si>
  <si>
    <t>Reininger</t>
  </si>
  <si>
    <t>Reinisch</t>
  </si>
  <si>
    <t>Reinison</t>
  </si>
  <si>
    <t>Reslerer</t>
  </si>
  <si>
    <t>Ignác</t>
  </si>
  <si>
    <t>Ries</t>
  </si>
  <si>
    <t>Ritter</t>
  </si>
  <si>
    <t>Rosen</t>
  </si>
  <si>
    <t>Hendsche (Anna)</t>
  </si>
  <si>
    <t>Leopold (Emanuel)</t>
  </si>
  <si>
    <t>Rosenberg(er)</t>
  </si>
  <si>
    <t>Lea</t>
  </si>
  <si>
    <t>Roubicková</t>
  </si>
  <si>
    <t>Elly</t>
  </si>
  <si>
    <t>Rufeison</t>
  </si>
  <si>
    <t>Ruzena Helena</t>
  </si>
  <si>
    <t>Salus</t>
  </si>
  <si>
    <t>Camilla</t>
  </si>
  <si>
    <t>Sander</t>
  </si>
  <si>
    <t>Schechner</t>
  </si>
  <si>
    <t>Scheib</t>
  </si>
  <si>
    <t>Schneider</t>
  </si>
  <si>
    <t>Barbara/Babette</t>
  </si>
  <si>
    <t>Rosalie (Sofie)</t>
  </si>
  <si>
    <t>Sali (Susanna)</t>
  </si>
  <si>
    <t>Schreiber</t>
  </si>
  <si>
    <t>Michaela</t>
  </si>
  <si>
    <t>Schulhof</t>
  </si>
  <si>
    <t>Rosalie (Sara)</t>
  </si>
  <si>
    <t>Lotti (Eva)</t>
  </si>
  <si>
    <t>Schwarzbarth</t>
  </si>
  <si>
    <t>Schwarzová</t>
  </si>
  <si>
    <t>Jindriska</t>
  </si>
  <si>
    <t>Schweinburg</t>
  </si>
  <si>
    <t>Seidler</t>
  </si>
  <si>
    <t>Sigal</t>
  </si>
  <si>
    <t>Singerová</t>
  </si>
  <si>
    <t>Dorothea Franticka</t>
  </si>
  <si>
    <t>Sofer</t>
  </si>
  <si>
    <t>Ledner</t>
  </si>
  <si>
    <t>Lodner</t>
  </si>
  <si>
    <t>Serkowitz</t>
  </si>
  <si>
    <t>Sensky</t>
  </si>
  <si>
    <t>Wirtheim (Wertheim)</t>
  </si>
  <si>
    <t>Wirtheimer (Wertheimer)</t>
  </si>
  <si>
    <t>Demuth (Toni)</t>
  </si>
  <si>
    <t xml:space="preserve">Bachrach </t>
  </si>
  <si>
    <t>Ber Löw</t>
  </si>
  <si>
    <t>Juliana</t>
  </si>
  <si>
    <t>Greimer</t>
  </si>
  <si>
    <t>Therersie</t>
  </si>
  <si>
    <t>18</t>
  </si>
  <si>
    <t>19</t>
  </si>
  <si>
    <t>27-4-1907</t>
  </si>
  <si>
    <t>20--1908</t>
  </si>
  <si>
    <t>21-11-1868</t>
  </si>
  <si>
    <t>22-2-1863</t>
  </si>
  <si>
    <t>6-4-1863</t>
  </si>
  <si>
    <t>8-11-1872</t>
  </si>
  <si>
    <t>11-3-1871</t>
  </si>
  <si>
    <t>14-6-1865</t>
  </si>
  <si>
    <t>24-7-1865</t>
  </si>
  <si>
    <t>27-8-1864</t>
  </si>
  <si>
    <t>26-7-1864</t>
  </si>
  <si>
    <t>29-1-1863</t>
  </si>
  <si>
    <t>1-8-1864</t>
  </si>
  <si>
    <t>28-9-1865</t>
  </si>
  <si>
    <t>5-1-1865</t>
  </si>
  <si>
    <t>9-3-1866</t>
  </si>
  <si>
    <t>12-6-1863</t>
  </si>
  <si>
    <t>6-6-1864</t>
  </si>
  <si>
    <t>23-1-1864</t>
  </si>
  <si>
    <t>23-8-1862</t>
  </si>
  <si>
    <t>10-6-1865</t>
  </si>
  <si>
    <t>19-4-1865</t>
  </si>
  <si>
    <t>12-3-1869</t>
  </si>
  <si>
    <t>5-11-1868</t>
  </si>
  <si>
    <t>7-4-1870</t>
  </si>
  <si>
    <t>26-5-1868</t>
  </si>
  <si>
    <t>11-1-1867</t>
  </si>
  <si>
    <t>29-5-1873</t>
  </si>
  <si>
    <t>11-10-1871</t>
  </si>
  <si>
    <t>7-5-1870</t>
  </si>
  <si>
    <t>1-9-1866</t>
  </si>
  <si>
    <t>15-9-1866</t>
  </si>
  <si>
    <t>17-8-1870</t>
  </si>
  <si>
    <t>23-7-1873</t>
  </si>
  <si>
    <t>24-7-1869</t>
  </si>
  <si>
    <t>28-4-1868</t>
  </si>
  <si>
    <t>30-3-1867</t>
  </si>
  <si>
    <t>8-1-1867</t>
  </si>
  <si>
    <t>9-4-1872</t>
  </si>
  <si>
    <t>9-8-1872</t>
  </si>
  <si>
    <t>13-9-1866</t>
  </si>
  <si>
    <t>15-2-1872</t>
  </si>
  <si>
    <t>21-12-1866</t>
  </si>
  <si>
    <t>23-2-1867</t>
  </si>
  <si>
    <t>28-11-1868</t>
  </si>
  <si>
    <t>7-1-1872</t>
  </si>
  <si>
    <t>25-1-1873</t>
  </si>
  <si>
    <t>18-7-1871</t>
  </si>
  <si>
    <t>28-4-1866</t>
  </si>
  <si>
    <t>24-8-1866</t>
  </si>
  <si>
    <t>1-7-1871</t>
  </si>
  <si>
    <t>21-7-1871</t>
  </si>
  <si>
    <t>26-10-1872</t>
  </si>
  <si>
    <t>26-1-1873</t>
  </si>
  <si>
    <t>20-1-1872</t>
  </si>
  <si>
    <t>6-2-1871</t>
  </si>
  <si>
    <t>12-9-1866</t>
  </si>
  <si>
    <t>1-4-1870</t>
  </si>
  <si>
    <t>15-8-1866</t>
  </si>
  <si>
    <t>9-9-1873</t>
  </si>
  <si>
    <t>15-10-1869</t>
  </si>
  <si>
    <t>30-8-1866</t>
  </si>
  <si>
    <t>1-9-1875</t>
  </si>
  <si>
    <t>10-12-1872</t>
  </si>
  <si>
    <t>10-7-1863</t>
  </si>
  <si>
    <t>24-10-1866</t>
  </si>
  <si>
    <t>27-9-1872</t>
  </si>
  <si>
    <t>30-10-1873</t>
  </si>
  <si>
    <t>31-3-1864</t>
  </si>
  <si>
    <t>4-7-1864</t>
  </si>
  <si>
    <t>17-5-1875</t>
  </si>
  <si>
    <t>30-4-1865</t>
  </si>
  <si>
    <t>22-11-1874</t>
  </si>
  <si>
    <t>17-3-1878</t>
  </si>
  <si>
    <t>13-9-1872</t>
  </si>
  <si>
    <t>19-9-1871</t>
  </si>
  <si>
    <t>2-10-1877</t>
  </si>
  <si>
    <t>9-3-1876</t>
  </si>
  <si>
    <t>1-9-1874</t>
  </si>
  <si>
    <t>24-2-1871</t>
  </si>
  <si>
    <t>27-6-1865</t>
  </si>
  <si>
    <t>29-5-1863</t>
  </si>
  <si>
    <t>25-9-1878</t>
  </si>
  <si>
    <t>8-9-1872</t>
  </si>
  <si>
    <t>11-10-1864</t>
  </si>
  <si>
    <t>15-8-1868</t>
  </si>
  <si>
    <t>20-8--1872</t>
  </si>
  <si>
    <t>23-10-1864</t>
  </si>
  <si>
    <t>25-4-1865</t>
  </si>
  <si>
    <t>5-8-1866</t>
  </si>
  <si>
    <t>18-2-1867</t>
  </si>
  <si>
    <t>20-4-1871</t>
  </si>
  <si>
    <t>23-10-1874</t>
  </si>
  <si>
    <t>27-4-1866</t>
  </si>
  <si>
    <t>28-12-1867</t>
  </si>
  <si>
    <t>3-2-1873</t>
  </si>
  <si>
    <t>31-5-1867</t>
  </si>
  <si>
    <t>5-9-1866</t>
  </si>
  <si>
    <t>24-12-1872</t>
  </si>
  <si>
    <t>19-11-1866</t>
  </si>
  <si>
    <t>1-7-1863</t>
  </si>
  <si>
    <t>16-3-1869</t>
  </si>
  <si>
    <t>17-1-1867</t>
  </si>
  <si>
    <t>22-1-1870</t>
  </si>
  <si>
    <t>25-2-1871</t>
  </si>
  <si>
    <t>18-8-1868</t>
  </si>
  <si>
    <t>20-2-1864</t>
  </si>
  <si>
    <t>31-7-1865</t>
  </si>
  <si>
    <t>9-1-1872</t>
  </si>
  <si>
    <t>10-9-1871</t>
  </si>
  <si>
    <t>20-6-1876</t>
  </si>
  <si>
    <t>31-1-1866</t>
  </si>
  <si>
    <t>4-4-1872</t>
  </si>
  <si>
    <t>4-7-1877</t>
  </si>
  <si>
    <t>16-10-1863</t>
  </si>
  <si>
    <t>20-3-1871</t>
  </si>
  <si>
    <t>27-7-1866</t>
  </si>
  <si>
    <t>28-9-1872</t>
  </si>
  <si>
    <t>5-11-1871</t>
  </si>
  <si>
    <t>17-8-1868</t>
  </si>
  <si>
    <t>27-1-1866</t>
  </si>
  <si>
    <t>4-6-1877</t>
  </si>
  <si>
    <t>25-1-1863</t>
  </si>
  <si>
    <t>13-7-1865</t>
  </si>
  <si>
    <t>7-9-1873</t>
  </si>
  <si>
    <t>1-4-1873</t>
  </si>
  <si>
    <t>12-1-1870</t>
  </si>
  <si>
    <t>14-9-1869</t>
  </si>
  <si>
    <t>16-4-1872</t>
  </si>
  <si>
    <t>18-11-1871</t>
  </si>
  <si>
    <t>24-12-1869</t>
  </si>
  <si>
    <t>25-2-1865</t>
  </si>
  <si>
    <t>25-9-1873</t>
  </si>
  <si>
    <t>28-9-1870</t>
  </si>
  <si>
    <t>5-12-1870</t>
  </si>
  <si>
    <t>5-8-1874</t>
  </si>
  <si>
    <t>6-2-1866</t>
  </si>
  <si>
    <t>1-12-1866</t>
  </si>
  <si>
    <t>17-3-1863</t>
  </si>
  <si>
    <t>20-12-1876</t>
  </si>
  <si>
    <t>27-3-1873</t>
  </si>
  <si>
    <t>6-11-1870</t>
  </si>
  <si>
    <t>6-4-1873</t>
  </si>
  <si>
    <t>8-101863</t>
  </si>
  <si>
    <t>21-5-1863</t>
  </si>
  <si>
    <t>23-2-1874</t>
  </si>
  <si>
    <t>28-11-1870</t>
  </si>
  <si>
    <t>5-10-1862</t>
  </si>
  <si>
    <t>19-5-1863</t>
  </si>
  <si>
    <t>31-1-1877</t>
  </si>
  <si>
    <t>8-6-1873</t>
  </si>
  <si>
    <t>10-1-1878</t>
  </si>
  <si>
    <t>29-12-1866</t>
  </si>
  <si>
    <t>14-6-1870</t>
  </si>
  <si>
    <t>15-3-1876</t>
  </si>
  <si>
    <t>3-9-1862</t>
  </si>
  <si>
    <t>5-9-1877</t>
  </si>
  <si>
    <t>11-6-1864</t>
  </si>
  <si>
    <t>19-1-1866</t>
  </si>
  <si>
    <t>8-10-1862</t>
  </si>
  <si>
    <t>8-4-1863</t>
  </si>
  <si>
    <t>4-8-1864</t>
  </si>
  <si>
    <t>13-4-1872</t>
  </si>
  <si>
    <t>15-4-1864</t>
  </si>
  <si>
    <t>25-6-1876</t>
  </si>
  <si>
    <t>20-10-1868</t>
  </si>
  <si>
    <t>23-4-1877</t>
  </si>
  <si>
    <t>4-91866</t>
  </si>
  <si>
    <t>19-9-1877</t>
  </si>
  <si>
    <t>19-5-1868</t>
  </si>
  <si>
    <t>24-8-1868</t>
  </si>
  <si>
    <t>5-91864</t>
  </si>
  <si>
    <t>7-5-1863</t>
  </si>
  <si>
    <t>29-1-1864</t>
  </si>
  <si>
    <t>6-12-1874</t>
  </si>
  <si>
    <t>9-7-1869</t>
  </si>
  <si>
    <t>6-3-1863</t>
  </si>
  <si>
    <t>15-7-1876</t>
  </si>
  <si>
    <t>20-12-1872</t>
  </si>
  <si>
    <t>22-6-1867</t>
  </si>
  <si>
    <t>29-9-1862</t>
  </si>
  <si>
    <t>4-6-1865</t>
  </si>
  <si>
    <t>1-8-1867</t>
  </si>
  <si>
    <t>14-5-1863</t>
  </si>
  <si>
    <t>19-12-1865</t>
  </si>
  <si>
    <t>28-3-1868</t>
  </si>
  <si>
    <t>15-9-1867</t>
  </si>
  <si>
    <t>27-3-1863</t>
  </si>
  <si>
    <t>8-5-1877</t>
  </si>
  <si>
    <t>26-11-1864</t>
  </si>
  <si>
    <t>29-8-1866</t>
  </si>
  <si>
    <t>6-9-1868</t>
  </si>
  <si>
    <t>31-3-1871</t>
  </si>
  <si>
    <t>5-4-1875</t>
  </si>
  <si>
    <t>14-5-1872</t>
  </si>
  <si>
    <t>28-11-1866</t>
  </si>
  <si>
    <t>8-6-1866</t>
  </si>
  <si>
    <t>15-7-1870</t>
  </si>
  <si>
    <t>17-4-1871</t>
  </si>
  <si>
    <t>2-8-1868</t>
  </si>
  <si>
    <t>3-9--1862</t>
  </si>
  <si>
    <t>11-3-1864</t>
  </si>
  <si>
    <t>27-12-1863</t>
  </si>
  <si>
    <t>19-6-1869</t>
  </si>
  <si>
    <t>20-9-1874</t>
  </si>
  <si>
    <t>11-5-1877</t>
  </si>
  <si>
    <t>24-6-1871</t>
  </si>
  <si>
    <t>20-10-1863</t>
  </si>
  <si>
    <t>30-3-1875</t>
  </si>
  <si>
    <t>2-12-1875</t>
  </si>
  <si>
    <t>15-10-1871</t>
  </si>
  <si>
    <t>16-12-1869</t>
  </si>
  <si>
    <t>19-12-1876</t>
  </si>
  <si>
    <t>4-6-1864</t>
  </si>
  <si>
    <t>9-12-1877</t>
  </si>
  <si>
    <t>22-9-1877</t>
  </si>
  <si>
    <t>17-7-1876</t>
  </si>
  <si>
    <t>30-10-1876</t>
  </si>
  <si>
    <t>20-10-1877</t>
  </si>
  <si>
    <t>1-5-1874</t>
  </si>
  <si>
    <t>1-6-1874</t>
  </si>
  <si>
    <t>1-6-1876</t>
  </si>
  <si>
    <t>25-6-1877</t>
  </si>
  <si>
    <t>3-11-1875</t>
  </si>
  <si>
    <t>26-7-1876</t>
  </si>
  <si>
    <t>26-8-1876</t>
  </si>
  <si>
    <t>13-3-1876</t>
  </si>
  <si>
    <t>2-5-1874</t>
  </si>
  <si>
    <t>4-7-1874</t>
  </si>
  <si>
    <t>28-08-1866</t>
  </si>
  <si>
    <t>18-8-1862</t>
  </si>
  <si>
    <t>2-8-1863</t>
  </si>
  <si>
    <t>20-7-1868</t>
  </si>
  <si>
    <t>10-6-1864</t>
  </si>
  <si>
    <t>11-03-1867</t>
  </si>
  <si>
    <t>12-11-1865</t>
  </si>
  <si>
    <t>13-10-1865</t>
  </si>
  <si>
    <t>19-09-1866</t>
  </si>
  <si>
    <t>19-5-1870</t>
  </si>
  <si>
    <t>22-12-1869</t>
  </si>
  <si>
    <t>25-6-1872</t>
  </si>
  <si>
    <t>29-04-1869</t>
  </si>
  <si>
    <t>30-1-1863</t>
  </si>
  <si>
    <t>30-1-1871</t>
  </si>
  <si>
    <t>30-11-1866</t>
  </si>
  <si>
    <t>30-7-1870</t>
  </si>
  <si>
    <t>4-2-1872</t>
  </si>
  <si>
    <t>5-4-1872</t>
  </si>
  <si>
    <t>6-7-1868</t>
  </si>
  <si>
    <t>9-7-1865</t>
  </si>
  <si>
    <t>14-1-1869</t>
  </si>
  <si>
    <t>19-2-1873</t>
  </si>
  <si>
    <t>20-08-1866</t>
  </si>
  <si>
    <t>24-3-1870</t>
  </si>
  <si>
    <t>25-10-1867</t>
  </si>
  <si>
    <t>27-10-1871</t>
  </si>
  <si>
    <t>4-9-1862</t>
  </si>
  <si>
    <t>5-2-1872</t>
  </si>
  <si>
    <t>22-4-1872</t>
  </si>
  <si>
    <t>12-9-1871</t>
  </si>
  <si>
    <t>20-6-1872</t>
  </si>
  <si>
    <t>21-12-1868</t>
  </si>
  <si>
    <t>23-4-1870</t>
  </si>
  <si>
    <t>31-08-1866</t>
  </si>
  <si>
    <t>4-09-1866</t>
  </si>
  <si>
    <t>7-1-1873</t>
  </si>
  <si>
    <t>9-3-1872</t>
  </si>
  <si>
    <t>17-10-1869</t>
  </si>
  <si>
    <t>24-4-1871</t>
  </si>
  <si>
    <t>3-09-`866</t>
  </si>
  <si>
    <t>3-5-1871</t>
  </si>
  <si>
    <t>6-10-1868</t>
  </si>
  <si>
    <t>16-1-1874</t>
  </si>
  <si>
    <t>20-1-1877</t>
  </si>
  <si>
    <t>11-1-1875</t>
  </si>
  <si>
    <t>8-8-1876</t>
  </si>
  <si>
    <t>2-4-1875</t>
  </si>
  <si>
    <t>22-5-1876</t>
  </si>
  <si>
    <t>27-1-1875</t>
  </si>
  <si>
    <t>27-7-1877</t>
  </si>
  <si>
    <t>10-4-1876</t>
  </si>
  <si>
    <t>18-8-1873</t>
  </si>
  <si>
    <t>26-6-1874</t>
  </si>
  <si>
    <t>27-8-1873</t>
  </si>
  <si>
    <t>30-10-1875</t>
  </si>
  <si>
    <t>9-3-1877</t>
  </si>
  <si>
    <t>12-10-1872</t>
  </si>
  <si>
    <t>2-1-1870</t>
  </si>
  <si>
    <t>5-7-1871</t>
  </si>
  <si>
    <t>10-5-1869</t>
  </si>
  <si>
    <t>13-11-1875</t>
  </si>
  <si>
    <t>15-5-1872</t>
  </si>
  <si>
    <t>2-11-1872</t>
  </si>
  <si>
    <t>27-8-1863</t>
  </si>
  <si>
    <t>3-4-1873</t>
  </si>
  <si>
    <t>31-1-1874</t>
  </si>
  <si>
    <t>31-12-1863</t>
  </si>
  <si>
    <t>8-12-1877</t>
  </si>
  <si>
    <t>28-10-1868</t>
  </si>
  <si>
    <t>16-12-1875</t>
  </si>
  <si>
    <t>22-2-1872</t>
  </si>
  <si>
    <t>23-2-1872</t>
  </si>
  <si>
    <t>31-8-1872</t>
  </si>
  <si>
    <t>16-7-1875</t>
  </si>
  <si>
    <t>19-7-1870</t>
  </si>
  <si>
    <t>2-6-1867</t>
  </si>
  <si>
    <t>20-6-1867</t>
  </si>
  <si>
    <t>7-10-1871</t>
  </si>
  <si>
    <t>17-8-1873</t>
  </si>
  <si>
    <t>24-1-1866</t>
  </si>
  <si>
    <t>25-5-1863</t>
  </si>
  <si>
    <t>9-2-1868</t>
  </si>
  <si>
    <t>11-6-1867</t>
  </si>
  <si>
    <t>23-4-1876</t>
  </si>
  <si>
    <t>2-7-1869</t>
  </si>
  <si>
    <t>3-12-1874</t>
  </si>
  <si>
    <t>6-10-1862</t>
  </si>
  <si>
    <t>27-2-1870</t>
  </si>
  <si>
    <t>24-12-1876</t>
  </si>
  <si>
    <t>1-10-1868</t>
  </si>
  <si>
    <t>1-2-1867</t>
  </si>
  <si>
    <t>17-4-1867</t>
  </si>
  <si>
    <t>20-11-1862</t>
  </si>
  <si>
    <t>17-11-1866</t>
  </si>
  <si>
    <t>14-7-1866</t>
  </si>
  <si>
    <t>29-11-1865</t>
  </si>
  <si>
    <t>1-2-1860</t>
  </si>
  <si>
    <t>10-4-1870</t>
  </si>
  <si>
    <t>12-6-1869</t>
  </si>
  <si>
    <t>28-6-1868</t>
  </si>
  <si>
    <t>4-6-1869</t>
  </si>
  <si>
    <t>5-11-1866</t>
  </si>
  <si>
    <t>18-8-1866</t>
  </si>
  <si>
    <t>25-1-1867</t>
  </si>
  <si>
    <t>1-10-1865</t>
  </si>
  <si>
    <t>11-9-1866</t>
  </si>
  <si>
    <t>15-11-1866</t>
  </si>
  <si>
    <t>15-2-1869</t>
  </si>
  <si>
    <t>27-4-1865</t>
  </si>
  <si>
    <t>29-4-1869</t>
  </si>
  <si>
    <t>4-9-1865</t>
  </si>
  <si>
    <t>6-3-1867</t>
  </si>
  <si>
    <t>7-7-1862</t>
  </si>
  <si>
    <t>8-1-1868</t>
  </si>
  <si>
    <t>25-2-1868</t>
  </si>
  <si>
    <t>3-3-1868</t>
  </si>
  <si>
    <t>5-12-1868</t>
  </si>
  <si>
    <t>28-4-1867</t>
  </si>
  <si>
    <t>7-9-1867</t>
  </si>
  <si>
    <t>1-6-1863</t>
  </si>
  <si>
    <t>30-10-1867</t>
  </si>
  <si>
    <t>5-12-1864</t>
  </si>
  <si>
    <t>10-6-1866</t>
  </si>
  <si>
    <t>15-7-1864</t>
  </si>
  <si>
    <t>20-8-1866</t>
  </si>
  <si>
    <t>24-4-1865</t>
  </si>
  <si>
    <t>26-8-1866</t>
  </si>
  <si>
    <t>8--9-1867</t>
  </si>
  <si>
    <t>16-5-1864</t>
  </si>
  <si>
    <t>16-5-1868</t>
  </si>
  <si>
    <t>24-4-1867</t>
  </si>
  <si>
    <t>27-3-1868</t>
  </si>
  <si>
    <t>9-4-1870</t>
  </si>
  <si>
    <t>5-3-1875</t>
  </si>
  <si>
    <t>1-11-1871</t>
  </si>
  <si>
    <t>16-3-1871</t>
  </si>
  <si>
    <t>17-2-1876</t>
  </si>
  <si>
    <t>11-3-1874</t>
  </si>
  <si>
    <t>24-7-1871</t>
  </si>
  <si>
    <t>25-12-1872</t>
  </si>
  <si>
    <t>6-6-1877</t>
  </si>
  <si>
    <t>12-4-1873</t>
  </si>
  <si>
    <t>12-12-1872</t>
  </si>
  <si>
    <t>21-10-1872</t>
  </si>
  <si>
    <t>26-4-1874</t>
  </si>
  <si>
    <t>6-6-1871</t>
  </si>
  <si>
    <t>8-1-1873</t>
  </si>
  <si>
    <t>20-2-1875</t>
  </si>
  <si>
    <t>14-1-1871</t>
  </si>
  <si>
    <t>14-11-1877</t>
  </si>
  <si>
    <t>21-2-1873</t>
  </si>
  <si>
    <t>4-4-1874</t>
  </si>
  <si>
    <t>12-8-1871</t>
  </si>
  <si>
    <t>16-4-1878</t>
  </si>
  <si>
    <t>20-6-1875</t>
  </si>
  <si>
    <t>29-8-1875</t>
  </si>
  <si>
    <t>31-10-1870</t>
  </si>
  <si>
    <t>9-10-1870</t>
  </si>
  <si>
    <t>10-11-1871</t>
  </si>
  <si>
    <t>18-4-1872</t>
  </si>
  <si>
    <t>8-5-1874</t>
  </si>
  <si>
    <t>20-10-1870</t>
  </si>
  <si>
    <t>27-10-1870</t>
  </si>
  <si>
    <t>16-12-1870</t>
  </si>
  <si>
    <t>16-7-1871</t>
  </si>
  <si>
    <t>2-11-1871</t>
  </si>
  <si>
    <t>27-4-1874</t>
  </si>
  <si>
    <t>8-8-1872</t>
  </si>
  <si>
    <t>1-8-1875</t>
  </si>
  <si>
    <t>17-9-1866</t>
  </si>
  <si>
    <t>18-1-1863</t>
  </si>
  <si>
    <t>18-11-1870</t>
  </si>
  <si>
    <t>18-7-1877</t>
  </si>
  <si>
    <t>26-4-1878</t>
  </si>
  <si>
    <t>26-7-1867</t>
  </si>
  <si>
    <t>6-3-1872</t>
  </si>
  <si>
    <t>13-4-1863</t>
  </si>
  <si>
    <t>16-8-1866</t>
  </si>
  <si>
    <t>11-10-1865</t>
  </si>
  <si>
    <t>18-9-1868</t>
  </si>
  <si>
    <t>9-11-1868</t>
  </si>
  <si>
    <t>14-8-1865</t>
  </si>
  <si>
    <t>7-2-1865</t>
  </si>
  <si>
    <t>13-7-1875</t>
  </si>
  <si>
    <t>14-11-1873</t>
  </si>
  <si>
    <t>22-1-1863</t>
  </si>
  <si>
    <t>17-11-1871</t>
  </si>
  <si>
    <t>22-1-1872</t>
  </si>
  <si>
    <t>4-9-1866</t>
  </si>
  <si>
    <t>29-10-1871</t>
  </si>
  <si>
    <t>8-1-1863</t>
  </si>
  <si>
    <t>10-3-1863</t>
  </si>
  <si>
    <t>10-6-1872</t>
  </si>
  <si>
    <t>14-3-1865</t>
  </si>
  <si>
    <t>5-10-1871</t>
  </si>
  <si>
    <t>21-4-1870</t>
  </si>
  <si>
    <t>23-5-1867</t>
  </si>
  <si>
    <t>26-9-1866</t>
  </si>
  <si>
    <t>12-11-1862</t>
  </si>
  <si>
    <t>31-8-1873</t>
  </si>
  <si>
    <t>19-12-1871</t>
  </si>
  <si>
    <t>25-11-1869</t>
  </si>
  <si>
    <t>13-8-1871</t>
  </si>
  <si>
    <t>17-8-1871</t>
  </si>
  <si>
    <t>23-9-1866</t>
  </si>
  <si>
    <t>5-12-1871</t>
  </si>
  <si>
    <t>29-10-1866</t>
  </si>
  <si>
    <t>29-4-1864</t>
  </si>
  <si>
    <t>26-12-1873</t>
  </si>
  <si>
    <t>23-12-1872</t>
  </si>
  <si>
    <t>19-10-1866</t>
  </si>
  <si>
    <t>24-12-1873</t>
  </si>
  <si>
    <t>7-3-1873</t>
  </si>
  <si>
    <t>7-3-1875</t>
  </si>
  <si>
    <t>15-12-1875</t>
  </si>
  <si>
    <t>9-1-1876</t>
  </si>
  <si>
    <t>2-3-1876</t>
  </si>
  <si>
    <t>18-12-1876</t>
  </si>
  <si>
    <t>22-2-1876</t>
  </si>
  <si>
    <t>25-2-1877</t>
  </si>
  <si>
    <t>6-8-1877</t>
  </si>
  <si>
    <t>4-7-1878</t>
  </si>
  <si>
    <t>20-4-1878</t>
  </si>
  <si>
    <t>23-6-1878</t>
  </si>
  <si>
    <t>30-4-1878</t>
  </si>
  <si>
    <t>9-7-1878</t>
  </si>
  <si>
    <t>15-7-1878</t>
  </si>
  <si>
    <t>9-8-1878</t>
  </si>
  <si>
    <t>27-6-1878</t>
  </si>
  <si>
    <t>22-4-1878</t>
  </si>
  <si>
    <t>27-5-1878</t>
  </si>
  <si>
    <t>15-10-1878</t>
  </si>
  <si>
    <t>4-5-1878</t>
  </si>
  <si>
    <t>25-11-1878</t>
  </si>
  <si>
    <t>19-8-1878</t>
  </si>
  <si>
    <t>22-7-1878</t>
  </si>
  <si>
    <t>2-7-1878</t>
  </si>
  <si>
    <t>10-5-1878</t>
  </si>
  <si>
    <t>27-1-1879</t>
  </si>
  <si>
    <t>29-1-1879</t>
  </si>
  <si>
    <t>7-3-1879</t>
  </si>
  <si>
    <t>6-3-1879</t>
  </si>
  <si>
    <t>24-1-1879</t>
  </si>
  <si>
    <t>5-2-1879</t>
  </si>
  <si>
    <t>20-3-1879</t>
  </si>
  <si>
    <t>24-3-1879</t>
  </si>
  <si>
    <t>28-3-1879</t>
  </si>
  <si>
    <t>4-4-1879</t>
  </si>
  <si>
    <t>6-4-1879</t>
  </si>
  <si>
    <t>15-4-1879</t>
  </si>
  <si>
    <t>2-5-1879</t>
  </si>
  <si>
    <t>14-4-1879</t>
  </si>
  <si>
    <t>22-5-1879</t>
  </si>
  <si>
    <t>20-4-1870</t>
  </si>
  <si>
    <t>7-5-1879</t>
  </si>
  <si>
    <t>13-5-1879</t>
  </si>
  <si>
    <t>12-11-1879</t>
  </si>
  <si>
    <t>20-9-1879</t>
  </si>
  <si>
    <t>8-10-1879</t>
  </si>
  <si>
    <t>6-8-1879</t>
  </si>
  <si>
    <t>16-7-1879</t>
  </si>
  <si>
    <t>12-9-1879</t>
  </si>
  <si>
    <t>13-7-1879</t>
  </si>
  <si>
    <t>30-6-1879</t>
  </si>
  <si>
    <t>3-11-1879</t>
  </si>
  <si>
    <t>9-11-1879</t>
  </si>
  <si>
    <t>2-3-1880</t>
  </si>
  <si>
    <t>11-2-1880</t>
  </si>
  <si>
    <t>31-3-1880</t>
  </si>
  <si>
    <t>16-1-1880</t>
  </si>
  <si>
    <t>12-3-1880</t>
  </si>
  <si>
    <t>9-5-1880</t>
  </si>
  <si>
    <t>7-3-1880</t>
  </si>
  <si>
    <t>2-2-1880</t>
  </si>
  <si>
    <t>24-3-1880</t>
  </si>
  <si>
    <t>23-4-1880</t>
  </si>
  <si>
    <t>10-3-1880</t>
  </si>
  <si>
    <t>12-7-1880</t>
  </si>
  <si>
    <t>2-9-1880</t>
  </si>
  <si>
    <t>17-12-1880</t>
  </si>
  <si>
    <t>7-10-1880</t>
  </si>
  <si>
    <t>11-7-1880</t>
  </si>
  <si>
    <t>17-10-1880</t>
  </si>
  <si>
    <t>10-10-1880</t>
  </si>
  <si>
    <t>25-6-1880</t>
  </si>
  <si>
    <t>9-12-1880</t>
  </si>
  <si>
    <t>9-1-1881</t>
  </si>
  <si>
    <t>23-3-881</t>
  </si>
  <si>
    <t>20-6-1881</t>
  </si>
  <si>
    <t>16-7-1881</t>
  </si>
  <si>
    <t>25-12-1881</t>
  </si>
  <si>
    <t>8-4-1881</t>
  </si>
  <si>
    <t>19-8-1881</t>
  </si>
  <si>
    <t>16-1-1881</t>
  </si>
  <si>
    <t>11-10-1881</t>
  </si>
  <si>
    <t>12-10-1881</t>
  </si>
  <si>
    <t>6-12-1881</t>
  </si>
  <si>
    <t>27-9-1881</t>
  </si>
  <si>
    <t>6-9-1881</t>
  </si>
  <si>
    <t>1-8-1881</t>
  </si>
  <si>
    <t>5-8-1881</t>
  </si>
  <si>
    <t>13-1-1881</t>
  </si>
  <si>
    <t>20-7-1881</t>
  </si>
  <si>
    <t>10-10-1881</t>
  </si>
  <si>
    <t>23-6-1881</t>
  </si>
  <si>
    <t>5-5-1881</t>
  </si>
  <si>
    <t>12-6-1881</t>
  </si>
  <si>
    <t>19-6-1881</t>
  </si>
  <si>
    <t>28-9-1881</t>
  </si>
  <si>
    <t>1-12-1881</t>
  </si>
  <si>
    <t>18-7-1881</t>
  </si>
  <si>
    <t>29-4-1881</t>
  </si>
  <si>
    <t>17-1-1888</t>
  </si>
  <si>
    <t>20-3-1888</t>
  </si>
  <si>
    <t>9-3-1888</t>
  </si>
  <si>
    <t>19-2-1888</t>
  </si>
  <si>
    <t>4-3-1888</t>
  </si>
  <si>
    <t>13-3-1888</t>
  </si>
  <si>
    <t>9-7-1888</t>
  </si>
  <si>
    <t>11-11-1888</t>
  </si>
  <si>
    <t>6-4-1888</t>
  </si>
  <si>
    <t>17-6-1888</t>
  </si>
  <si>
    <t>12-5-1888</t>
  </si>
  <si>
    <t>22-4-1888</t>
  </si>
  <si>
    <t>30-3-1888</t>
  </si>
  <si>
    <t>20-4-1888</t>
  </si>
  <si>
    <t>19-10-1888</t>
  </si>
  <si>
    <t>29-7-1888</t>
  </si>
  <si>
    <t>1-1-1889</t>
  </si>
  <si>
    <t>27-4-1890</t>
  </si>
  <si>
    <t>6-6-1890</t>
  </si>
  <si>
    <t>10-10-1890</t>
  </si>
  <si>
    <t>9-11-1890</t>
  </si>
  <si>
    <t>18-1-1890</t>
  </si>
  <si>
    <t>11-5-1890</t>
  </si>
  <si>
    <t>4-4-1890</t>
  </si>
  <si>
    <t>29-6-1890</t>
  </si>
  <si>
    <t>17-9-1890</t>
  </si>
  <si>
    <t>8-7-1890</t>
  </si>
  <si>
    <t>7-12-1890</t>
  </si>
  <si>
    <t>26-5-1890</t>
  </si>
  <si>
    <t>22-1-1890</t>
  </si>
  <si>
    <t>2-10-1890</t>
  </si>
  <si>
    <t>28-12-1890</t>
  </si>
  <si>
    <t>13-4-1890</t>
  </si>
  <si>
    <t>27-1-1890</t>
  </si>
  <si>
    <t>7-10-1890</t>
  </si>
  <si>
    <t>14-1-1890</t>
  </si>
  <si>
    <t>10-12-1890</t>
  </si>
  <si>
    <t>21-9-1893</t>
  </si>
  <si>
    <t>14-2-1893</t>
  </si>
  <si>
    <t>16-3-1893</t>
  </si>
  <si>
    <t>28-10-1893</t>
  </si>
  <si>
    <t>9-10-1893</t>
  </si>
  <si>
    <t>22-5-1893</t>
  </si>
  <si>
    <t>5-5-1893</t>
  </si>
  <si>
    <t>12-1-1893</t>
  </si>
  <si>
    <t>30-12-1893</t>
  </si>
  <si>
    <t>28-9-1893</t>
  </si>
  <si>
    <t>20-20-1894</t>
  </si>
  <si>
    <t>1-1-1894</t>
  </si>
  <si>
    <t>19-10-1894</t>
  </si>
  <si>
    <t>23-5-1894</t>
  </si>
  <si>
    <t>19-1-1894</t>
  </si>
  <si>
    <t>11-8-1894</t>
  </si>
  <si>
    <t>25-8-1894</t>
  </si>
  <si>
    <t>23-12-1894</t>
  </si>
  <si>
    <t>1-5-1894</t>
  </si>
  <si>
    <t>1-9-1894</t>
  </si>
  <si>
    <t>12-8-1894</t>
  </si>
  <si>
    <t>7-1-1894</t>
  </si>
  <si>
    <t>12-4-1894</t>
  </si>
  <si>
    <t>15-1-1894</t>
  </si>
  <si>
    <t>20-6-1894</t>
  </si>
  <si>
    <t>11-2-1894</t>
  </si>
  <si>
    <t>8-1-1894</t>
  </si>
  <si>
    <t>11-10-1894</t>
  </si>
  <si>
    <t>17-7-1894</t>
  </si>
  <si>
    <t>1-6-1894</t>
  </si>
  <si>
    <t>7-7-1894</t>
  </si>
  <si>
    <t>23-91895</t>
  </si>
  <si>
    <t>14-6-1895</t>
  </si>
  <si>
    <t>28-6-1895</t>
  </si>
  <si>
    <t>14-10-1895</t>
  </si>
  <si>
    <t>28-7-1895</t>
  </si>
  <si>
    <t>7-11-1895</t>
  </si>
  <si>
    <t>5-9-1895</t>
  </si>
  <si>
    <t>25-6-1895</t>
  </si>
  <si>
    <t>16-7-1896</t>
  </si>
  <si>
    <t>25-10-1895</t>
  </si>
  <si>
    <t>28-9-1895</t>
  </si>
  <si>
    <t>28-4-1895</t>
  </si>
  <si>
    <t>20-4-1895</t>
  </si>
  <si>
    <t>11-3-1895</t>
  </si>
  <si>
    <t>17-12-1895</t>
  </si>
  <si>
    <t>11-8-1895</t>
  </si>
  <si>
    <t>16-4-1895</t>
  </si>
  <si>
    <t>18-8-1896</t>
  </si>
  <si>
    <t>26-1-1896</t>
  </si>
  <si>
    <t>13-10-1896</t>
  </si>
  <si>
    <t>20-4-1896</t>
  </si>
  <si>
    <t>22-10-1896</t>
  </si>
  <si>
    <t>13-6-1896</t>
  </si>
  <si>
    <t>22-1-1896</t>
  </si>
  <si>
    <t>23-11-1896</t>
  </si>
  <si>
    <t>27-8-1896</t>
  </si>
  <si>
    <t>28-3-1896</t>
  </si>
  <si>
    <t>5-9-1896</t>
  </si>
  <si>
    <t>9-6-1896</t>
  </si>
  <si>
    <t>12-6-1896</t>
  </si>
  <si>
    <t>23-12-1896</t>
  </si>
  <si>
    <t>9-8-1896</t>
  </si>
  <si>
    <t>24-11-1896</t>
  </si>
  <si>
    <t>25-3-1896</t>
  </si>
  <si>
    <t>22-4-1896</t>
  </si>
  <si>
    <t>8-1-1897</t>
  </si>
  <si>
    <t>24-10-1897</t>
  </si>
  <si>
    <t>21-7-1897</t>
  </si>
  <si>
    <t>31-3-1897</t>
  </si>
  <si>
    <t>1-9-1897</t>
  </si>
  <si>
    <t>12-9-1897</t>
  </si>
  <si>
    <t>21-5-1897</t>
  </si>
  <si>
    <t>3-1-1897</t>
  </si>
  <si>
    <t>14-2-1897</t>
  </si>
  <si>
    <t>24-11-1897</t>
  </si>
  <si>
    <t>9-9-1897</t>
  </si>
  <si>
    <t>7-11-1897</t>
  </si>
  <si>
    <t>1-8-1897</t>
  </si>
  <si>
    <t>16-7-1897</t>
  </si>
  <si>
    <t>16-2-1897</t>
  </si>
  <si>
    <t>7-7-1897</t>
  </si>
  <si>
    <t>31-8-1897</t>
  </si>
  <si>
    <t>7-12-1897</t>
  </si>
  <si>
    <t>1-7-1897</t>
  </si>
  <si>
    <t>4-6-1898</t>
  </si>
  <si>
    <t>25-1-1898</t>
  </si>
  <si>
    <t>12-2-1898</t>
  </si>
  <si>
    <t>18-2-1898</t>
  </si>
  <si>
    <t>2-1-1898</t>
  </si>
  <si>
    <t>25-2-1898</t>
  </si>
  <si>
    <t>11-7-1898</t>
  </si>
  <si>
    <t>16-7-1898</t>
  </si>
  <si>
    <t>12-4-1898</t>
  </si>
  <si>
    <t>10-1-1898</t>
  </si>
  <si>
    <t>21-4-1898</t>
  </si>
  <si>
    <t>1-5-1898</t>
  </si>
  <si>
    <t>9-4-1898</t>
  </si>
  <si>
    <t>19-4-1898</t>
  </si>
  <si>
    <t>3-2-1898</t>
  </si>
  <si>
    <t>8-4-1898</t>
  </si>
  <si>
    <t>8-6-1898</t>
  </si>
  <si>
    <t>26-4-1896</t>
  </si>
  <si>
    <t>31-8-1898</t>
  </si>
  <si>
    <t>15-2-1898</t>
  </si>
  <si>
    <t>10-11-1898</t>
  </si>
  <si>
    <t>19-5-1898</t>
  </si>
  <si>
    <t>27-6-1898</t>
  </si>
  <si>
    <t>3-10-1899</t>
  </si>
  <si>
    <t>22-4-1899</t>
  </si>
  <si>
    <t>14-5-1899</t>
  </si>
  <si>
    <t>30-11-1899</t>
  </si>
  <si>
    <t>21-7-1899</t>
  </si>
  <si>
    <t>28-2-1899</t>
  </si>
  <si>
    <t>30-5-1899</t>
  </si>
  <si>
    <t>9-12-1899</t>
  </si>
  <si>
    <t>16-3-1899</t>
  </si>
  <si>
    <t>26-8-1899</t>
  </si>
  <si>
    <t>14-6-1899</t>
  </si>
  <si>
    <t>31-5-1899</t>
  </si>
  <si>
    <t>11-12-1899</t>
  </si>
  <si>
    <t>31-3-1899</t>
  </si>
  <si>
    <t>18-1-1899</t>
  </si>
  <si>
    <t>?-2-1899</t>
  </si>
  <si>
    <t>10-2-1899</t>
  </si>
  <si>
    <t>19-8-1899</t>
  </si>
  <si>
    <t>18-4-1899</t>
  </si>
  <si>
    <t>5-4-1899</t>
  </si>
  <si>
    <t>18-6-1899</t>
  </si>
  <si>
    <t>10-1-1899</t>
  </si>
  <si>
    <t>31-7-1899</t>
  </si>
  <si>
    <t>8-1-1899</t>
  </si>
  <si>
    <t>5-8-1899</t>
  </si>
  <si>
    <t>25-5-1900</t>
  </si>
  <si>
    <t>11-04-1900</t>
  </si>
  <si>
    <t>10-12-1878</t>
  </si>
  <si>
    <t>22-6-1900</t>
  </si>
  <si>
    <t>12-02-1900</t>
  </si>
  <si>
    <t>26-5-1900</t>
  </si>
  <si>
    <t>29-7-1901</t>
  </si>
  <si>
    <t>14-11-1901</t>
  </si>
  <si>
    <t>09-05-1901</t>
  </si>
  <si>
    <t>23-1-1901</t>
  </si>
  <si>
    <t>12-12-1901</t>
  </si>
  <si>
    <t>12-04-1901</t>
  </si>
  <si>
    <t>12-03-1901</t>
  </si>
  <si>
    <t>15-5-1901</t>
  </si>
  <si>
    <t>27-11-1901</t>
  </si>
  <si>
    <t>26-6-1901</t>
  </si>
  <si>
    <t>19-2-1901</t>
  </si>
  <si>
    <t>20-3-1901</t>
  </si>
  <si>
    <t>6-41902</t>
  </si>
  <si>
    <t>29-9-1902</t>
  </si>
  <si>
    <t>24-3-1902</t>
  </si>
  <si>
    <t>17-7-1902</t>
  </si>
  <si>
    <t>21-1-1902</t>
  </si>
  <si>
    <t>24-10-1902</t>
  </si>
  <si>
    <t>28-3-1902</t>
  </si>
  <si>
    <t>16-3-1903</t>
  </si>
  <si>
    <t>25-3-1903</t>
  </si>
  <si>
    <t>14-9-1903</t>
  </si>
  <si>
    <t>15-9-1903</t>
  </si>
  <si>
    <t>23-7-1903</t>
  </si>
  <si>
    <t>?-4-1903</t>
  </si>
  <si>
    <t>04-03-1903</t>
  </si>
  <si>
    <t>21-11-1903</t>
  </si>
  <si>
    <t>?-?-1903</t>
  </si>
  <si>
    <t>18-1-1903</t>
  </si>
  <si>
    <t>28-8-1903</t>
  </si>
  <si>
    <t>12-01-1904</t>
  </si>
  <si>
    <t>12-06-1904</t>
  </si>
  <si>
    <t>18-1-1904</t>
  </si>
  <si>
    <t>27-3-1904</t>
  </si>
  <si>
    <t>19-1-1904</t>
  </si>
  <si>
    <t>15-2-1904</t>
  </si>
  <si>
    <t>01-01-1904</t>
  </si>
  <si>
    <t>24-7-1904</t>
  </si>
  <si>
    <t>25-11-1904</t>
  </si>
  <si>
    <t>19-4-1904</t>
  </si>
  <si>
    <t>16-11-1905</t>
  </si>
  <si>
    <t>02-041905</t>
  </si>
  <si>
    <t>02-091905</t>
  </si>
  <si>
    <t>18-10-1905</t>
  </si>
  <si>
    <t>23-10-1905</t>
  </si>
  <si>
    <t>22-11-1905</t>
  </si>
  <si>
    <t>18-2-1905</t>
  </si>
  <si>
    <t>23-1-1905</t>
  </si>
  <si>
    <t>30-11-1905</t>
  </si>
  <si>
    <t>21-2-1905</t>
  </si>
  <si>
    <t>24-5-1906</t>
  </si>
  <si>
    <t>16-5-1906</t>
  </si>
  <si>
    <t>13-7-1906</t>
  </si>
  <si>
    <t>21-6-1906</t>
  </si>
  <si>
    <t>13-3-1906</t>
  </si>
  <si>
    <t>29-10-1906</t>
  </si>
  <si>
    <t>14-9-1939</t>
  </si>
  <si>
    <t>16-6-1939</t>
  </si>
  <si>
    <t>17-9-1939</t>
  </si>
  <si>
    <t>19-4-1939</t>
  </si>
  <si>
    <t>30-1-1939</t>
  </si>
  <si>
    <t>17-2-1939</t>
  </si>
  <si>
    <t>29-1-1939</t>
  </si>
  <si>
    <t>28-2-1907</t>
  </si>
  <si>
    <t>16-4-1907</t>
  </si>
  <si>
    <t>26-2-1907</t>
  </si>
  <si>
    <t>19-4-1907</t>
  </si>
  <si>
    <t>30-3-1907</t>
  </si>
  <si>
    <t>29-10-1907</t>
  </si>
  <si>
    <t>16-6-1907</t>
  </si>
  <si>
    <t>27-11-1907</t>
  </si>
  <si>
    <t>23-4-1908</t>
  </si>
  <si>
    <t>19-4-1908</t>
  </si>
  <si>
    <t>26-11-1908</t>
  </si>
  <si>
    <t>24-1-1909</t>
  </si>
  <si>
    <t>22-3-1909</t>
  </si>
  <si>
    <t>22-1-1909</t>
  </si>
  <si>
    <t>22-2-1909</t>
  </si>
  <si>
    <t>08-03-1909</t>
  </si>
  <si>
    <t>17-7-1909</t>
  </si>
  <si>
    <t>25-11-1910</t>
  </si>
  <si>
    <t>14-8-1910</t>
  </si>
  <si>
    <t>30-12-1910</t>
  </si>
  <si>
    <t>17-12-1911</t>
  </si>
  <si>
    <t>06-11-1911</t>
  </si>
  <si>
    <t>14-10-1911</t>
  </si>
  <si>
    <t>30-4-1911</t>
  </si>
  <si>
    <t>26-2-1911</t>
  </si>
  <si>
    <t>15-1-1911</t>
  </si>
  <si>
    <t>2-2-1911</t>
  </si>
  <si>
    <t>30-7-1911</t>
  </si>
  <si>
    <t>25-3-1912</t>
  </si>
  <si>
    <t>28-9-1912</t>
  </si>
  <si>
    <t>20-3-1913</t>
  </si>
  <si>
    <t>22-5-1914</t>
  </si>
  <si>
    <t>25-10-1914</t>
  </si>
  <si>
    <t>21-1-1914</t>
  </si>
  <si>
    <t>30-11-1914</t>
  </si>
  <si>
    <t>18-12-1914</t>
  </si>
  <si>
    <t>23-12-1914</t>
  </si>
  <si>
    <t>19-7-1915</t>
  </si>
  <si>
    <t>16-121915</t>
  </si>
  <si>
    <t>20-12-1915</t>
  </si>
  <si>
    <t>24-7-1915</t>
  </si>
  <si>
    <t>30-11-1915</t>
  </si>
  <si>
    <t>25-3-1915</t>
  </si>
  <si>
    <t>26-9-1916</t>
  </si>
  <si>
    <t>16-9-1916</t>
  </si>
  <si>
    <t>15-12-1916</t>
  </si>
  <si>
    <t>24-12-1916</t>
  </si>
  <si>
    <t>23-5-1917</t>
  </si>
  <si>
    <t>13-4-1917</t>
  </si>
  <si>
    <t>13-2-1917</t>
  </si>
  <si>
    <t>18-4-1917</t>
  </si>
  <si>
    <t>27-5-1917</t>
  </si>
  <si>
    <t>26-8-1917</t>
  </si>
  <si>
    <t>22-11-1917</t>
  </si>
  <si>
    <t>21-10-1917</t>
  </si>
  <si>
    <t>19-12-1917</t>
  </si>
  <si>
    <t>20-6-1917</t>
  </si>
  <si>
    <t>16-7-1917</t>
  </si>
  <si>
    <t>22-12-1918</t>
  </si>
  <si>
    <t>22-10-1918</t>
  </si>
  <si>
    <t>25-11-1918</t>
  </si>
  <si>
    <t>17-3-1918</t>
  </si>
  <si>
    <t>25-2-1918</t>
  </si>
  <si>
    <t>22-5-1918</t>
  </si>
  <si>
    <t>14-11-1919</t>
  </si>
  <si>
    <t>24-3-1919</t>
  </si>
  <si>
    <t>27-1-1919</t>
  </si>
  <si>
    <t>28-4-1919</t>
  </si>
  <si>
    <t>22-10-1919</t>
  </si>
  <si>
    <t>15-12-1920</t>
  </si>
  <si>
    <t>21-4-1921</t>
  </si>
  <si>
    <t>24-12-1921</t>
  </si>
  <si>
    <t>20-10-1921</t>
  </si>
  <si>
    <t>31-12-1921</t>
  </si>
  <si>
    <t>28-1-1921</t>
  </si>
  <si>
    <t>16-5-1922</t>
  </si>
  <si>
    <t>21-7-1923</t>
  </si>
  <si>
    <t>16-7-1903</t>
  </si>
  <si>
    <t>26-2-1924</t>
  </si>
  <si>
    <t>18-10-1924</t>
  </si>
  <si>
    <t>23-7-1925</t>
  </si>
  <si>
    <t>16-7-1925</t>
  </si>
  <si>
    <t>20-1-1926</t>
  </si>
  <si>
    <t>13-1-1926</t>
  </si>
  <si>
    <t>13-12-1926</t>
  </si>
  <si>
    <t>17-8-1926</t>
  </si>
  <si>
    <t>16-5-1926</t>
  </si>
  <si>
    <t>18-5-1926</t>
  </si>
  <si>
    <t>22-3-1926</t>
  </si>
  <si>
    <t>30-1-1927</t>
  </si>
  <si>
    <t>15-5-1927</t>
  </si>
  <si>
    <t>23-4-1927</t>
  </si>
  <si>
    <t>25-8-1927</t>
  </si>
  <si>
    <t>20-2-1927</t>
  </si>
  <si>
    <t>25-7-1927</t>
  </si>
  <si>
    <t>31-3-1928</t>
  </si>
  <si>
    <t>24-2-1928</t>
  </si>
  <si>
    <t>22-1-1928</t>
  </si>
  <si>
    <t>14-3-1928</t>
  </si>
  <si>
    <t>31-1-1928</t>
  </si>
  <si>
    <t>10-01-1928</t>
  </si>
  <si>
    <t>08-10-1928</t>
  </si>
  <si>
    <t>31-1-1929</t>
  </si>
  <si>
    <t>24-2-1929</t>
  </si>
  <si>
    <t>19-2-1929</t>
  </si>
  <si>
    <t>17-1-1929</t>
  </si>
  <si>
    <t>14-8-1929</t>
  </si>
  <si>
    <t>24-5-1929</t>
  </si>
  <si>
    <t>14-3-1929</t>
  </si>
  <si>
    <t>29-3-1929</t>
  </si>
  <si>
    <t>26-5-1929</t>
  </si>
  <si>
    <t>22-8-1929</t>
  </si>
  <si>
    <t>15-11-1929</t>
  </si>
  <si>
    <t>31-12-1930</t>
  </si>
  <si>
    <t>18-9-1930</t>
  </si>
  <si>
    <t>29-11-1930</t>
  </si>
  <si>
    <t>15-12-1930</t>
  </si>
  <si>
    <t>24-1-1931</t>
  </si>
  <si>
    <t>20-5-1931</t>
  </si>
  <si>
    <t>25-11-1932</t>
  </si>
  <si>
    <t>27-11-1932</t>
  </si>
  <si>
    <t>16-5-1932</t>
  </si>
  <si>
    <t>21-5-1932</t>
  </si>
  <si>
    <t>19-8-1932</t>
  </si>
  <si>
    <t>20-4-1932</t>
  </si>
  <si>
    <t>18-4-1932</t>
  </si>
  <si>
    <t>24-3-1933</t>
  </si>
  <si>
    <t>23-6-1933</t>
  </si>
  <si>
    <t>17-10-1933</t>
  </si>
  <si>
    <t>30-12-1934</t>
  </si>
  <si>
    <t>24-12-1934</t>
  </si>
  <si>
    <t>15-6-1934</t>
  </si>
  <si>
    <t>16-11-1934</t>
  </si>
  <si>
    <t>15-5-1935</t>
  </si>
  <si>
    <t>25-6-1935</t>
  </si>
  <si>
    <t>15-3-1935</t>
  </si>
  <si>
    <t>18-6-1935</t>
  </si>
  <si>
    <t>21-6-1935</t>
  </si>
  <si>
    <t>25-1-1935</t>
  </si>
  <si>
    <t>16-3-1935</t>
  </si>
  <si>
    <t>30-1-1935</t>
  </si>
  <si>
    <t>18-1-1936</t>
  </si>
  <si>
    <t>20-5-1936</t>
  </si>
  <si>
    <t>13-8-1936</t>
  </si>
  <si>
    <t>22-3-1936</t>
  </si>
  <si>
    <t>24-10-1936</t>
  </si>
  <si>
    <t>14-10-1936</t>
  </si>
  <si>
    <t>21-9-1936</t>
  </si>
  <si>
    <t>13-1-1937</t>
  </si>
  <si>
    <t>15-3-1937</t>
  </si>
  <si>
    <t>26-8-1937</t>
  </si>
  <si>
    <t>31-10-1938</t>
  </si>
  <si>
    <t>25-10-1855</t>
  </si>
  <si>
    <t>19-1-1831</t>
  </si>
  <si>
    <t>4-1-1829</t>
  </si>
  <si>
    <t>8-3-1830</t>
  </si>
  <si>
    <t>23-9-1828</t>
  </si>
  <si>
    <t>3-1-1830</t>
  </si>
  <si>
    <t>1-3-1827</t>
  </si>
  <si>
    <t>19-3-1822</t>
  </si>
  <si>
    <t>3-6-1823</t>
  </si>
  <si>
    <t>27-12-1827</t>
  </si>
  <si>
    <t>1-1-1825</t>
  </si>
  <si>
    <t>11-11-1826</t>
  </si>
  <si>
    <t>15-5-1830</t>
  </si>
  <si>
    <t>17-2-1831</t>
  </si>
  <si>
    <t>18-3-1822</t>
  </si>
  <si>
    <t>19-10-1830</t>
  </si>
  <si>
    <t>19-11-1826</t>
  </si>
  <si>
    <t>21-3-1829</t>
  </si>
  <si>
    <t>22-2-1826</t>
  </si>
  <si>
    <t>24-10-1825</t>
  </si>
  <si>
    <t>24-5-1826</t>
  </si>
  <si>
    <t>26-1-1822</t>
  </si>
  <si>
    <t>26-11-1824</t>
  </si>
  <si>
    <t>27-6-1827</t>
  </si>
  <si>
    <t>28-11-1828</t>
  </si>
  <si>
    <t>28-7-1829</t>
  </si>
  <si>
    <t>29-2-1831</t>
  </si>
  <si>
    <t>30-1-1823</t>
  </si>
  <si>
    <t>8-2-1826</t>
  </si>
  <si>
    <t>8-4-1823</t>
  </si>
  <si>
    <t>8-4-1829</t>
  </si>
  <si>
    <t>9-6-1828</t>
  </si>
  <si>
    <t>3-12-1821</t>
  </si>
  <si>
    <t>4-3-1822</t>
  </si>
  <si>
    <t>21-4-1823</t>
  </si>
  <si>
    <t>20-2-1822</t>
  </si>
  <si>
    <t>10-3-1826</t>
  </si>
  <si>
    <t>27-12-1829</t>
  </si>
  <si>
    <t>16-2-1824</t>
  </si>
  <si>
    <t>17-6-1824</t>
  </si>
  <si>
    <t>20-2-1829</t>
  </si>
  <si>
    <t>24-7-1829</t>
  </si>
  <si>
    <t>3-10-1823</t>
  </si>
  <si>
    <t>5-1-1831</t>
  </si>
  <si>
    <t>6-10-1825</t>
  </si>
  <si>
    <t>12-4-1828</t>
  </si>
  <si>
    <t>13-12-1826</t>
  </si>
  <si>
    <t>29-1-1831</t>
  </si>
  <si>
    <t>4-12-1828</t>
  </si>
  <si>
    <t>11-1-1830</t>
  </si>
  <si>
    <t>18-6-1824</t>
  </si>
  <si>
    <t>22-2-1831</t>
  </si>
  <si>
    <t>24-1-1826</t>
  </si>
  <si>
    <t>8-2-1829</t>
  </si>
  <si>
    <t>22-9-1827</t>
  </si>
  <si>
    <t>24-4-1829</t>
  </si>
  <si>
    <t>29-6-1826</t>
  </si>
  <si>
    <t>26-12-1825</t>
  </si>
  <si>
    <t>17-4-1829</t>
  </si>
  <si>
    <t>24-8-1823</t>
  </si>
  <si>
    <t>9-5-1827</t>
  </si>
  <si>
    <t>12-3-1823</t>
  </si>
  <si>
    <t>10-4-1822</t>
  </si>
  <si>
    <t>10-4-1824</t>
  </si>
  <si>
    <t>3-1-1827</t>
  </si>
  <si>
    <t>3-6-1828</t>
  </si>
  <si>
    <t>26-9-1830</t>
  </si>
  <si>
    <t>7-2-1830</t>
  </si>
  <si>
    <t>6-2-1831</t>
  </si>
  <si>
    <t>28-12-1829</t>
  </si>
  <si>
    <t>27-3-1830</t>
  </si>
  <si>
    <t>15-11-1828</t>
  </si>
  <si>
    <t>5-4-1823</t>
  </si>
  <si>
    <t>1-9-1828</t>
  </si>
  <si>
    <t>1-9-1827</t>
  </si>
  <si>
    <t>4-9-1830</t>
  </si>
  <si>
    <t>11-4-1822</t>
  </si>
  <si>
    <t>30-5-1824</t>
  </si>
  <si>
    <t>11-10-1827</t>
  </si>
  <si>
    <t>17-12-1827</t>
  </si>
  <si>
    <t>20-6-1828</t>
  </si>
  <si>
    <t>24-3-1829</t>
  </si>
  <si>
    <t>30-11-1821</t>
  </si>
  <si>
    <t>31-10-1829</t>
  </si>
  <si>
    <t>13-6-1829</t>
  </si>
  <si>
    <t>21-4-1830</t>
  </si>
  <si>
    <t>23-6-1828</t>
  </si>
  <si>
    <t>16-8-1827</t>
  </si>
  <si>
    <t>27-3-1825</t>
  </si>
  <si>
    <t>27-11-1830</t>
  </si>
  <si>
    <t>13-10-1828</t>
  </si>
  <si>
    <t>5-8-1821</t>
  </si>
  <si>
    <t>15-3-1830</t>
  </si>
  <si>
    <t>18-6-1823</t>
  </si>
  <si>
    <t>2-4-1822</t>
  </si>
  <si>
    <t>21-2-1824</t>
  </si>
  <si>
    <t>13-3-1825</t>
  </si>
  <si>
    <t>16-1-1828</t>
  </si>
  <si>
    <t>16-6-1823</t>
  </si>
  <si>
    <t>17-4-1830</t>
  </si>
  <si>
    <t>3-4-1827</t>
  </si>
  <si>
    <t>4-8-1830</t>
  </si>
  <si>
    <t>23-11-1830</t>
  </si>
  <si>
    <t>16-10-1829</t>
  </si>
  <si>
    <t>16-2-1829</t>
  </si>
  <si>
    <t>18-4-1824</t>
  </si>
  <si>
    <t>30-11-1826</t>
  </si>
  <si>
    <t>12-11-1821</t>
  </si>
  <si>
    <t>13-12-1821</t>
  </si>
  <si>
    <t>16-3-1825</t>
  </si>
  <si>
    <t>26-6-1826</t>
  </si>
  <si>
    <t>28-2-1828</t>
  </si>
  <si>
    <t>7-4-1823</t>
  </si>
  <si>
    <t>12-3-1829</t>
  </si>
  <si>
    <t>19-5-1824</t>
  </si>
  <si>
    <t>29-12-1822</t>
  </si>
  <si>
    <t>15-6-1823</t>
  </si>
  <si>
    <t>28-2-1831</t>
  </si>
  <si>
    <t>3-3-1824</t>
  </si>
  <si>
    <t>6-4-1828</t>
  </si>
  <si>
    <t>2-4-1831</t>
  </si>
  <si>
    <t>30-4-1826</t>
  </si>
  <si>
    <t>1-4-1826</t>
  </si>
  <si>
    <t>3-4-1826</t>
  </si>
  <si>
    <t>1-5-1829</t>
  </si>
  <si>
    <t>4-1-1823</t>
  </si>
  <si>
    <t>4-2-1829</t>
  </si>
  <si>
    <t>27-10-1830</t>
  </si>
  <si>
    <t>10-9-1824</t>
  </si>
  <si>
    <t>22-4-1822</t>
  </si>
  <si>
    <t>26-5-1823</t>
  </si>
  <si>
    <t>4-10-1825</t>
  </si>
  <si>
    <t>9-4-1830</t>
  </si>
  <si>
    <t>15-11-1821</t>
  </si>
  <si>
    <t>30-12-1821</t>
  </si>
  <si>
    <t>8-6-1824</t>
  </si>
  <si>
    <t>30-6-1827</t>
  </si>
  <si>
    <t>19-6-1828</t>
  </si>
  <si>
    <t>25-11-1826</t>
  </si>
  <si>
    <t>28-6-1830</t>
  </si>
  <si>
    <t>21-11-1828</t>
  </si>
  <si>
    <t>10-7-1828</t>
  </si>
  <si>
    <t>5-9-1829</t>
  </si>
  <si>
    <t>10-5-1830</t>
  </si>
  <si>
    <t>13-2-1828</t>
  </si>
  <si>
    <t>25-2-1825</t>
  </si>
  <si>
    <t>13-1-1822</t>
  </si>
  <si>
    <t>17-11-1828</t>
  </si>
  <si>
    <t>6-4-1823</t>
  </si>
  <si>
    <t>18-5-1829</t>
  </si>
  <si>
    <t>3-5-1829</t>
  </si>
  <si>
    <t>5-4-1824</t>
  </si>
  <si>
    <t>17-1-1829</t>
  </si>
  <si>
    <t>17-3-1822</t>
  </si>
  <si>
    <t>19-3-1824</t>
  </si>
  <si>
    <t>20-10-1830</t>
  </si>
  <si>
    <t>21-12-1822</t>
  </si>
  <si>
    <t>30-3-1830</t>
  </si>
  <si>
    <t>7-5-1823</t>
  </si>
  <si>
    <t>8-2-1825</t>
  </si>
  <si>
    <t>8-6-1823</t>
  </si>
  <si>
    <t>12-8-1823</t>
  </si>
  <si>
    <t>24-1-1824</t>
  </si>
  <si>
    <t>29-1-1830</t>
  </si>
  <si>
    <t>31-10-1822</t>
  </si>
  <si>
    <t>11-2-1828</t>
  </si>
  <si>
    <t>12-12-1826</t>
  </si>
  <si>
    <t>16-5-1829</t>
  </si>
  <si>
    <t>2-5-1829</t>
  </si>
  <si>
    <t>21-10-1829</t>
  </si>
  <si>
    <t>24-11-1828</t>
  </si>
  <si>
    <t>3-2-1831</t>
  </si>
  <si>
    <t>24-1-1831</t>
  </si>
  <si>
    <t>27-4-1826</t>
  </si>
  <si>
    <t>18-12-1828</t>
  </si>
  <si>
    <t>2-3-1828</t>
  </si>
  <si>
    <t>29-12-1826</t>
  </si>
  <si>
    <t>13-8-1823</t>
  </si>
  <si>
    <t>28-1-1829</t>
  </si>
  <si>
    <t>6-12-1821</t>
  </si>
  <si>
    <t>4-11-1822</t>
  </si>
  <si>
    <t>28-12-1824</t>
  </si>
  <si>
    <t>2-5-1823</t>
  </si>
  <si>
    <t>16-4-1828</t>
  </si>
  <si>
    <t>5-9-1830</t>
  </si>
  <si>
    <t>11-4-1825</t>
  </si>
  <si>
    <t>2-11-1828</t>
  </si>
  <si>
    <t>8-1-1830</t>
  </si>
  <si>
    <t>29-4-1823</t>
  </si>
  <si>
    <t>29-7-1828</t>
  </si>
  <si>
    <t>6-7-1825</t>
  </si>
  <si>
    <t>18-8-1825</t>
  </si>
  <si>
    <t>4-4-1829</t>
  </si>
  <si>
    <t>10-11-1824</t>
  </si>
  <si>
    <t>11-10-1828</t>
  </si>
  <si>
    <t>16-2-1825</t>
  </si>
  <si>
    <t>2-3-1826</t>
  </si>
  <si>
    <t>20-7-1828</t>
  </si>
  <si>
    <t>29-1-1823</t>
  </si>
  <si>
    <t>4-7-1828</t>
  </si>
  <si>
    <t>13-2-1822</t>
  </si>
  <si>
    <t>4-7-1821</t>
  </si>
  <si>
    <t>6-5-1823</t>
  </si>
  <si>
    <t>2-1-1826</t>
  </si>
  <si>
    <t>29-11-1821</t>
  </si>
  <si>
    <t>3-6-1827</t>
  </si>
  <si>
    <t>23-5-1826</t>
  </si>
  <si>
    <t>21-2-1830</t>
  </si>
  <si>
    <t>27-3-1829</t>
  </si>
  <si>
    <t>1-6-1830</t>
  </si>
  <si>
    <t>17-4-1827</t>
  </si>
  <si>
    <t>24-3-1826</t>
  </si>
  <si>
    <t>29-9-1828</t>
  </si>
  <si>
    <t>9-6-1823</t>
  </si>
  <si>
    <t>2-11-1824</t>
  </si>
  <si>
    <t>26-12-1824</t>
  </si>
  <si>
    <t>2-6-1829</t>
  </si>
  <si>
    <t>1-1-1826</t>
  </si>
  <si>
    <t>11-5-1828</t>
  </si>
  <si>
    <t>16-2-1828</t>
  </si>
  <si>
    <t>19-11-1829</t>
  </si>
  <si>
    <t>23-11-1828</t>
  </si>
  <si>
    <t>24-2-1822</t>
  </si>
  <si>
    <t>31-3-1822</t>
  </si>
  <si>
    <t>4-5-1823</t>
  </si>
  <si>
    <t>23-8-1830</t>
  </si>
  <si>
    <t>30-3-1823</t>
  </si>
  <si>
    <t>1-2-1823</t>
  </si>
  <si>
    <t>29-5-1821</t>
  </si>
  <si>
    <t>11-7-1827</t>
  </si>
  <si>
    <t>28-10-1821</t>
  </si>
  <si>
    <t>14-9-1827</t>
  </si>
  <si>
    <t>26-9-1829</t>
  </si>
  <si>
    <t>26-3-1829</t>
  </si>
  <si>
    <t>11-9-1828</t>
  </si>
  <si>
    <t>23-3-1829</t>
  </si>
  <si>
    <t>13-8-1821</t>
  </si>
  <si>
    <t>14-6-1828</t>
  </si>
  <si>
    <t>22-3-1830</t>
  </si>
  <si>
    <t>31-5-1830</t>
  </si>
  <si>
    <t>5-2-1829</t>
  </si>
  <si>
    <t>4-4-1826</t>
  </si>
  <si>
    <t>12-2-1830</t>
  </si>
  <si>
    <t>12-6-1822</t>
  </si>
  <si>
    <t>2-12-1821</t>
  </si>
  <si>
    <t>5-5-1827</t>
  </si>
  <si>
    <t>25-1-1790</t>
  </si>
  <si>
    <t>29-7-1790</t>
  </si>
  <si>
    <t>2-8-1791</t>
  </si>
  <si>
    <t>23-4-1789</t>
  </si>
  <si>
    <t>14-1-1790</t>
  </si>
  <si>
    <t>2-2-1790</t>
  </si>
  <si>
    <t>1-3-1790</t>
  </si>
  <si>
    <t>5-4-1791</t>
  </si>
  <si>
    <t>23-3-1789</t>
  </si>
  <si>
    <t>11-3-1790</t>
  </si>
  <si>
    <t>13--1790</t>
  </si>
  <si>
    <t>12-3-1789</t>
  </si>
  <si>
    <t>23-12-1790</t>
  </si>
  <si>
    <t>15-4-1789</t>
  </si>
  <si>
    <t>10-7-1789</t>
  </si>
  <si>
    <t>12-12-1790</t>
  </si>
  <si>
    <t>6-8-1789</t>
  </si>
  <si>
    <t>17-10-1789</t>
  </si>
  <si>
    <t>13-7-1789</t>
  </si>
  <si>
    <t>27-4-1791</t>
  </si>
  <si>
    <t>1-3-1791</t>
  </si>
  <si>
    <t>20-10-1789</t>
  </si>
  <si>
    <t>15-1-1790</t>
  </si>
  <si>
    <t>4-11-1790</t>
  </si>
  <si>
    <t>11-7-1789</t>
  </si>
  <si>
    <t>2-4-1791</t>
  </si>
  <si>
    <t>20-7-1791</t>
  </si>
  <si>
    <t>17-8-1793</t>
  </si>
  <si>
    <t>9-10-1793</t>
  </si>
  <si>
    <t>9-6-1793</t>
  </si>
  <si>
    <t>27-8-1794</t>
  </si>
  <si>
    <t>9-1-179?</t>
  </si>
  <si>
    <t>15-3-1791</t>
  </si>
  <si>
    <t>5-4-1793</t>
  </si>
  <si>
    <t>26-8-1794</t>
  </si>
  <si>
    <t>11-11-1793</t>
  </si>
  <si>
    <t>14-6-1793</t>
  </si>
  <si>
    <t>30-3-1792</t>
  </si>
  <si>
    <t>8-3-1791</t>
  </si>
  <si>
    <t>7-10-1792</t>
  </si>
  <si>
    <t>10-12-1793</t>
  </si>
  <si>
    <t>30-1-1794</t>
  </si>
  <si>
    <t>29-1-179?</t>
  </si>
  <si>
    <t>7-9-1791</t>
  </si>
  <si>
    <t>23-8-1793</t>
  </si>
  <si>
    <t>4-4-1794</t>
  </si>
  <si>
    <t>11-10-1791</t>
  </si>
  <si>
    <t>23-1-1793</t>
  </si>
  <si>
    <t>3-4-1794</t>
  </si>
  <si>
    <t>23-81793</t>
  </si>
  <si>
    <t>1-10-1792</t>
  </si>
  <si>
    <t>24-11-1794</t>
  </si>
  <si>
    <t>23-4-1793</t>
  </si>
  <si>
    <t>19-3-1793</t>
  </si>
  <si>
    <t>18-3-1793</t>
  </si>
  <si>
    <t>29-1-1794</t>
  </si>
  <si>
    <t>5-11-1793</t>
  </si>
  <si>
    <t>16-12-1793</t>
  </si>
  <si>
    <t>10-10-1793</t>
  </si>
  <si>
    <t>30-6-1794</t>
  </si>
  <si>
    <t>8-10-1792</t>
  </si>
  <si>
    <t>5-7--1796</t>
  </si>
  <si>
    <t>29-1-1796</t>
  </si>
  <si>
    <t>18-3-1795</t>
  </si>
  <si>
    <t>7-7-1795</t>
  </si>
  <si>
    <t>10-3-1795</t>
  </si>
  <si>
    <t>23-6-1796</t>
  </si>
  <si>
    <t>27-2-1796</t>
  </si>
  <si>
    <t>15-2-1795</t>
  </si>
  <si>
    <t>7-11-1794</t>
  </si>
  <si>
    <t>8-8-1795</t>
  </si>
  <si>
    <t>15-2-1796</t>
  </si>
  <si>
    <t>30-3-1795</t>
  </si>
  <si>
    <t>26-3-1795</t>
  </si>
  <si>
    <t>6-6-1795</t>
  </si>
  <si>
    <t>18-10-1795</t>
  </si>
  <si>
    <t>1-7-1795</t>
  </si>
  <si>
    <t>26-7-1795</t>
  </si>
  <si>
    <t>20-1-1796</t>
  </si>
  <si>
    <t>4-1-1796</t>
  </si>
  <si>
    <t>18-2-1796</t>
  </si>
  <si>
    <t>4-3-1794</t>
  </si>
  <si>
    <t>10-11-1794</t>
  </si>
  <si>
    <t>13-3-1795</t>
  </si>
  <si>
    <t>1-11-1795</t>
  </si>
  <si>
    <t>19-12-1796</t>
  </si>
  <si>
    <t>4-3-1797</t>
  </si>
  <si>
    <t>23-3-1797</t>
  </si>
  <si>
    <t>10-6-1797</t>
  </si>
  <si>
    <t>15-12-1797</t>
  </si>
  <si>
    <t>16-3-1797</t>
  </si>
  <si>
    <t>15-12-1796</t>
  </si>
  <si>
    <t>16-5-1797</t>
  </si>
  <si>
    <t>20-1-1798</t>
  </si>
  <si>
    <t>25-4-1797</t>
  </si>
  <si>
    <t>4-4-1798</t>
  </si>
  <si>
    <t>10-10-1796</t>
  </si>
  <si>
    <t>23-3-1798</t>
  </si>
  <si>
    <t>12-1-1798</t>
  </si>
  <si>
    <t>16-11-1796</t>
  </si>
  <si>
    <t>2-4-1798</t>
  </si>
  <si>
    <t>28-8-1799</t>
  </si>
  <si>
    <t>1-7-1796</t>
  </si>
  <si>
    <t>14-6-1798</t>
  </si>
  <si>
    <t>7-7-1797</t>
  </si>
  <si>
    <t>18-4-1796</t>
  </si>
  <si>
    <t>10-11-1797</t>
  </si>
  <si>
    <t>6-3-1798</t>
  </si>
  <si>
    <t>15-1-1799</t>
  </si>
  <si>
    <t>21-7-1796</t>
  </si>
  <si>
    <t>22-11-1797</t>
  </si>
  <si>
    <t>9-4-1796</t>
  </si>
  <si>
    <t>13-12-1800</t>
  </si>
  <si>
    <t>16-1-1801</t>
  </si>
  <si>
    <t>28-3-1800</t>
  </si>
  <si>
    <t>8-3-1801</t>
  </si>
  <si>
    <t>6-4-1800</t>
  </si>
  <si>
    <t>21-9-1798</t>
  </si>
  <si>
    <t>8-6-1800</t>
  </si>
  <si>
    <t>13-7-1798</t>
  </si>
  <si>
    <t>7-6-1800</t>
  </si>
  <si>
    <t>20-10-1799</t>
  </si>
  <si>
    <t>16-2-1801</t>
  </si>
  <si>
    <t>20-11-1800</t>
  </si>
  <si>
    <t>31-3-1800</t>
  </si>
  <si>
    <t>2-7-1800</t>
  </si>
  <si>
    <t>18-11-1800</t>
  </si>
  <si>
    <t>22-3-1800</t>
  </si>
  <si>
    <t>20-10-1800</t>
  </si>
  <si>
    <t>16-10-1800</t>
  </si>
  <si>
    <t>30-6-1800</t>
  </si>
  <si>
    <t>10-11-1800</t>
  </si>
  <si>
    <t>12-2-1800</t>
  </si>
  <si>
    <t>24-12-1798</t>
  </si>
  <si>
    <t>25-2-1801</t>
  </si>
  <si>
    <t>19-2-1800</t>
  </si>
  <si>
    <t>9-3-1800</t>
  </si>
  <si>
    <t>27-3-1800</t>
  </si>
  <si>
    <t>2-8-1800</t>
  </si>
  <si>
    <t>20-6-1804</t>
  </si>
  <si>
    <t>23--2-1802</t>
  </si>
  <si>
    <t>30-4-1805</t>
  </si>
  <si>
    <t>9-3-1803</t>
  </si>
  <si>
    <t>31-10-1801</t>
  </si>
  <si>
    <t>6-3-1802</t>
  </si>
  <si>
    <t>8-1-1804</t>
  </si>
  <si>
    <t>3-9-1801</t>
  </si>
  <si>
    <t>3-5-1805</t>
  </si>
  <si>
    <t>1-5-1804</t>
  </si>
  <si>
    <t>17-2-1802</t>
  </si>
  <si>
    <t>9-5-1806</t>
  </si>
  <si>
    <t>21-8-1802</t>
  </si>
  <si>
    <t>7-4-1801</t>
  </si>
  <si>
    <t>1-6-1803</t>
  </si>
  <si>
    <t>2-7-1801</t>
  </si>
  <si>
    <t>28-6-1806</t>
  </si>
  <si>
    <t>13-4-1803</t>
  </si>
  <si>
    <t>13-3-1801</t>
  </si>
  <si>
    <t>27-7-1802</t>
  </si>
  <si>
    <t>27-3-1801</t>
  </si>
  <si>
    <t>7-3-1804</t>
  </si>
  <si>
    <t>2-3-1802</t>
  </si>
  <si>
    <t>29-3-1803</t>
  </si>
  <si>
    <t>2-6-1803</t>
  </si>
  <si>
    <t>11-3-1801</t>
  </si>
  <si>
    <t>22-4-1802</t>
  </si>
  <si>
    <t>23-2-1801</t>
  </si>
  <si>
    <t>20-6-1801</t>
  </si>
  <si>
    <t>31-3-1801</t>
  </si>
  <si>
    <t>2-8-1805</t>
  </si>
  <si>
    <t>29-3-1807</t>
  </si>
  <si>
    <t>11-3-1805</t>
  </si>
  <si>
    <t>24-9-1806</t>
  </si>
  <si>
    <t>4-12-1805</t>
  </si>
  <si>
    <t>4-12-1807</t>
  </si>
  <si>
    <t>8-3-1807</t>
  </si>
  <si>
    <t>2-7-1807</t>
  </si>
  <si>
    <t>17-3-1806</t>
  </si>
  <si>
    <t>24-7-1806</t>
  </si>
  <si>
    <t>8-3-1806</t>
  </si>
  <si>
    <t>20-4-1806</t>
  </si>
  <si>
    <t>1-2-1806</t>
  </si>
  <si>
    <t>16-7-1805</t>
  </si>
  <si>
    <t>26-2-1807</t>
  </si>
  <si>
    <t>15-1-1806</t>
  </si>
  <si>
    <t>11-4-1807</t>
  </si>
  <si>
    <t>4-3-1806</t>
  </si>
  <si>
    <t>10-3-1807</t>
  </si>
  <si>
    <t>17-10-1806</t>
  </si>
  <si>
    <t>19-6-1806</t>
  </si>
  <si>
    <t>9-3-1806</t>
  </si>
  <si>
    <t>24-3-1806</t>
  </si>
  <si>
    <t>15-2-1806</t>
  </si>
  <si>
    <t>30-1-1810</t>
  </si>
  <si>
    <t>24-2-1808</t>
  </si>
  <si>
    <t>16-10-1810</t>
  </si>
  <si>
    <t>10-9-1807</t>
  </si>
  <si>
    <t>20-10-1809</t>
  </si>
  <si>
    <t>18-10-1809</t>
  </si>
  <si>
    <t>26-6-1809</t>
  </si>
  <si>
    <t>23-5-1808</t>
  </si>
  <si>
    <t>27-7-1907</t>
  </si>
  <si>
    <t>14-3-1810</t>
  </si>
  <si>
    <t>16-9-1807</t>
  </si>
  <si>
    <t>30-7-1810</t>
  </si>
  <si>
    <t>30-8-1808</t>
  </si>
  <si>
    <t>6-5-1810</t>
  </si>
  <si>
    <t>19-11-1808</t>
  </si>
  <si>
    <t>31-5-1810</t>
  </si>
  <si>
    <t>1-4-1809</t>
  </si>
  <si>
    <t>8-6-1810</t>
  </si>
  <si>
    <t>21-4-1810</t>
  </si>
  <si>
    <t>12-5-1809</t>
  </si>
  <si>
    <t>4-6-1807</t>
  </si>
  <si>
    <t>28-3-1810</t>
  </si>
  <si>
    <t>9-3-1809</t>
  </si>
  <si>
    <t>27-3-1810</t>
  </si>
  <si>
    <t>12-12-1807</t>
  </si>
  <si>
    <t>26-1-1810</t>
  </si>
  <si>
    <t>21-1-1812</t>
  </si>
  <si>
    <t>28-11-1811</t>
  </si>
  <si>
    <t>8-2-1813</t>
  </si>
  <si>
    <t>10-12-1811</t>
  </si>
  <si>
    <t>6-6-1810</t>
  </si>
  <si>
    <t>27-9-1811</t>
  </si>
  <si>
    <t>4-3-1811</t>
  </si>
  <si>
    <t>23-3-1812</t>
  </si>
  <si>
    <t>20-6-1810</t>
  </si>
  <si>
    <t>7-9-1810</t>
  </si>
  <si>
    <t>6-1-1813</t>
  </si>
  <si>
    <t>17-7-1811</t>
  </si>
  <si>
    <t>13-4-1813</t>
  </si>
  <si>
    <t>20-2-1813</t>
  </si>
  <si>
    <t>29-7-1812</t>
  </si>
  <si>
    <t>7-2-1812</t>
  </si>
  <si>
    <t>21-8-1812</t>
  </si>
  <si>
    <t>29-1-1813</t>
  </si>
  <si>
    <t>27-2-1812</t>
  </si>
  <si>
    <t>21-8-1810</t>
  </si>
  <si>
    <t>14-7-1812</t>
  </si>
  <si>
    <t>13-10-1810</t>
  </si>
  <si>
    <t>9-7-1812</t>
  </si>
  <si>
    <t>25-3-1811</t>
  </si>
  <si>
    <t>22-10-1811</t>
  </si>
  <si>
    <t>1-4-1810</t>
  </si>
  <si>
    <t>16-9-1810</t>
  </si>
  <si>
    <t>12-4-1813</t>
  </si>
  <si>
    <t>13-2-1813</t>
  </si>
  <si>
    <t>19-9-1812</t>
  </si>
  <si>
    <t>20-11-1811</t>
  </si>
  <si>
    <t>28-12-1810</t>
  </si>
  <si>
    <t>22-1-1814</t>
  </si>
  <si>
    <t>2-3-1814</t>
  </si>
  <si>
    <t>27-12-1813</t>
  </si>
  <si>
    <t>24-3-1815</t>
  </si>
  <si>
    <t>2-3-1813</t>
  </si>
  <si>
    <t>5-3-1813</t>
  </si>
  <si>
    <t>15-9-1815</t>
  </si>
  <si>
    <t>12-11-1813</t>
  </si>
  <si>
    <t>16-3-1813</t>
  </si>
  <si>
    <t>15-8-1814</t>
  </si>
  <si>
    <t>4-12-1815</t>
  </si>
  <si>
    <t>11-10-1813</t>
  </si>
  <si>
    <t>30-1-1816</t>
  </si>
  <si>
    <t>13-2-1815</t>
  </si>
  <si>
    <t>22-11-1815</t>
  </si>
  <si>
    <t>25-6-1815</t>
  </si>
  <si>
    <t>30-12-1814</t>
  </si>
  <si>
    <t>5-12-1814</t>
  </si>
  <si>
    <t>7-3-1813</t>
  </si>
  <si>
    <t>1-7-1815</t>
  </si>
  <si>
    <t>12-11-1814</t>
  </si>
  <si>
    <t>27-9-1814</t>
  </si>
  <si>
    <t>3-11-1815</t>
  </si>
  <si>
    <t>23-7-1814</t>
  </si>
  <si>
    <t>12-8-1814</t>
  </si>
  <si>
    <t>4-6-1815</t>
  </si>
  <si>
    <t>5-7-1813</t>
  </si>
  <si>
    <t>30-9-1818</t>
  </si>
  <si>
    <t>15-6-1816</t>
  </si>
  <si>
    <t>28-6-1816</t>
  </si>
  <si>
    <t>4-?-1816</t>
  </si>
  <si>
    <t>18-11-1816</t>
  </si>
  <si>
    <t>18-10-1818</t>
  </si>
  <si>
    <t>23-9-1817</t>
  </si>
  <si>
    <t>28-8-1818</t>
  </si>
  <si>
    <t>19-1-1818</t>
  </si>
  <si>
    <t>21-3-1817</t>
  </si>
  <si>
    <t>13-7-1818</t>
  </si>
  <si>
    <t>22-6-1818</t>
  </si>
  <si>
    <t>8-7-1816</t>
  </si>
  <si>
    <t>7-9-1818</t>
  </si>
  <si>
    <t>11-3-1818</t>
  </si>
  <si>
    <t>16-3-1817</t>
  </si>
  <si>
    <t>14-?-1817</t>
  </si>
  <si>
    <t>17-7-1817</t>
  </si>
  <si>
    <t>24-10-1815</t>
  </si>
  <si>
    <t>9-11-1818</t>
  </si>
  <si>
    <t>16-2-1818</t>
  </si>
  <si>
    <t>12-3-1817</t>
  </si>
  <si>
    <t>18-6-1819</t>
  </si>
  <si>
    <t>21-101819</t>
  </si>
  <si>
    <t>22-8-1817</t>
  </si>
  <si>
    <t>16-1-1818</t>
  </si>
  <si>
    <t>18-3-1817</t>
  </si>
  <si>
    <t>15-10-1816</t>
  </si>
  <si>
    <t>17-9-1818</t>
  </si>
  <si>
    <t>14-7-1819</t>
  </si>
  <si>
    <t>21-3-1820</t>
  </si>
  <si>
    <t>25-12-1819</t>
  </si>
  <si>
    <t>5-3-1819</t>
  </si>
  <si>
    <t>16-9-1820</t>
  </si>
  <si>
    <t>2-10-1820</t>
  </si>
  <si>
    <t>30-4-1820</t>
  </si>
  <si>
    <t>7-7-1820</t>
  </si>
  <si>
    <t>9-12-1819</t>
  </si>
  <si>
    <t>19-2-1819</t>
  </si>
  <si>
    <t>18-5-1822</t>
  </si>
  <si>
    <t>11-12-1819</t>
  </si>
  <si>
    <t>3-4-1819</t>
  </si>
  <si>
    <t>18-9-1820</t>
  </si>
  <si>
    <t>3-12-1820</t>
  </si>
  <si>
    <t>29-3-1820</t>
  </si>
  <si>
    <t>30-12-1819</t>
  </si>
  <si>
    <t>23-3-1820</t>
  </si>
  <si>
    <t>4-1-1819</t>
  </si>
  <si>
    <t>10-2-1820</t>
  </si>
  <si>
    <t>19-1-1819</t>
  </si>
  <si>
    <t>24-7-1819</t>
  </si>
  <si>
    <t>5-11-1819</t>
  </si>
  <si>
    <t>7-4-1812</t>
  </si>
  <si>
    <t>2-7-1822</t>
  </si>
  <si>
    <t>24-3-1821</t>
  </si>
  <si>
    <t>28-9-1821</t>
  </si>
  <si>
    <t>17-1-1822</t>
  </si>
  <si>
    <t>14-6-1822</t>
  </si>
  <si>
    <t>30-4-1822</t>
  </si>
  <si>
    <t>6-2-1821</t>
  </si>
  <si>
    <t>12-2-1821</t>
  </si>
  <si>
    <t>17-7-1822</t>
  </si>
  <si>
    <t>21-7-1817</t>
  </si>
  <si>
    <t>26-3-1822</t>
  </si>
  <si>
    <t>15-2-1823</t>
  </si>
  <si>
    <t>29-3-1821</t>
  </si>
  <si>
    <t>8-3-1822</t>
  </si>
  <si>
    <t>24-4-1822</t>
  </si>
  <si>
    <t>10-10-1821</t>
  </si>
  <si>
    <t>2-8-1822</t>
  </si>
  <si>
    <t>6-8-1822</t>
  </si>
  <si>
    <t>22-9-1822</t>
  </si>
  <si>
    <t>27-9-1831</t>
  </si>
  <si>
    <t>12-12-1831</t>
  </si>
  <si>
    <t>13-3-1831</t>
  </si>
  <si>
    <t>24-6-1831</t>
  </si>
  <si>
    <t>23-8-1831</t>
  </si>
  <si>
    <t>18-6-1831</t>
  </si>
  <si>
    <t>29-11-1831</t>
  </si>
  <si>
    <t>14-12-1831</t>
  </si>
  <si>
    <t>30-12-1831</t>
  </si>
  <si>
    <t>20-8-1832</t>
  </si>
  <si>
    <t>18-5-1832</t>
  </si>
  <si>
    <t>20-12-1831</t>
  </si>
  <si>
    <t>1-1-1832</t>
  </si>
  <si>
    <t>23-8-1832</t>
  </si>
  <si>
    <t>25-11-1832</t>
  </si>
  <si>
    <t>22-8-1832</t>
  </si>
  <si>
    <t>26-8-1832</t>
  </si>
  <si>
    <t>28-4-1834</t>
  </si>
  <si>
    <t>19-2-1833</t>
  </si>
  <si>
    <t>22-1-1834</t>
  </si>
  <si>
    <t>6-1-1834</t>
  </si>
  <si>
    <t>5-5-1833</t>
  </si>
  <si>
    <t>30-4-1833</t>
  </si>
  <si>
    <t>22-3-1833</t>
  </si>
  <si>
    <t>27-9-1833</t>
  </si>
  <si>
    <t>1-2-1835</t>
  </si>
  <si>
    <t>8-3-1835</t>
  </si>
  <si>
    <t>8-3-1833</t>
  </si>
  <si>
    <t>4-?-1834</t>
  </si>
  <si>
    <t>25-1-1835</t>
  </si>
  <si>
    <t>18-8-1833</t>
  </si>
  <si>
    <t>14-12-1836</t>
  </si>
  <si>
    <t>30-9-1835</t>
  </si>
  <si>
    <t>28-3-1836</t>
  </si>
  <si>
    <t>15-10-1835</t>
  </si>
  <si>
    <t>15-8-1835</t>
  </si>
  <si>
    <t>24-5-1835</t>
  </si>
  <si>
    <t>14-12-1835</t>
  </si>
  <si>
    <t>14-6-1835</t>
  </si>
  <si>
    <t>7-2-1836</t>
  </si>
  <si>
    <t>5-11-1836</t>
  </si>
  <si>
    <t>10-11-1836</t>
  </si>
  <si>
    <t>4-3-1836</t>
  </si>
  <si>
    <t>13-11-1836</t>
  </si>
  <si>
    <t>23-6-1836</t>
  </si>
  <si>
    <t>17-11-1836</t>
  </si>
  <si>
    <t>15-10-1836</t>
  </si>
  <si>
    <t>21-11-1836</t>
  </si>
  <si>
    <t>25-9-1836</t>
  </si>
  <si>
    <t>31-5-1836</t>
  </si>
  <si>
    <t>24-3-1837</t>
  </si>
  <si>
    <t>20-6-1837</t>
  </si>
  <si>
    <t>1-5-1837</t>
  </si>
  <si>
    <t>6-6-1837</t>
  </si>
  <si>
    <t>4-12-1836</t>
  </si>
  <si>
    <t>28-6-1837</t>
  </si>
  <si>
    <t>27-11-1836</t>
  </si>
  <si>
    <t>20-8-1837</t>
  </si>
  <si>
    <t>4-8-1837</t>
  </si>
  <si>
    <t>27-1-1838</t>
  </si>
  <si>
    <t>12-2-1839</t>
  </si>
  <si>
    <t>21-6-1839</t>
  </si>
  <si>
    <t>14-1-1840</t>
  </si>
  <si>
    <t>28-101839</t>
  </si>
  <si>
    <t>21-4-1840</t>
  </si>
  <si>
    <t>11-3-1839</t>
  </si>
  <si>
    <t>7-10-1838</t>
  </si>
  <si>
    <t>8-4-1840</t>
  </si>
  <si>
    <t>30-12-1838</t>
  </si>
  <si>
    <t>19-11-1836</t>
  </si>
  <si>
    <t>26-10-1838</t>
  </si>
  <si>
    <t>23-4-1840</t>
  </si>
  <si>
    <t>28-4-1839</t>
  </si>
  <si>
    <t>?-1839</t>
  </si>
  <si>
    <t>11-2-1839</t>
  </si>
  <si>
    <t>12-1-1839</t>
  </si>
  <si>
    <t>23-8-1839</t>
  </si>
  <si>
    <t>9-1-1838</t>
  </si>
  <si>
    <t>25-6-1838</t>
  </si>
  <si>
    <t>27-5-1843</t>
  </si>
  <si>
    <t>5-4-1841</t>
  </si>
  <si>
    <t>?-11-1843</t>
  </si>
  <si>
    <t>9-11-1841</t>
  </si>
  <si>
    <t>27-2-1841</t>
  </si>
  <si>
    <t>13-3-1843</t>
  </si>
  <si>
    <t>?-1841</t>
  </si>
  <si>
    <t>29-8-1840</t>
  </si>
  <si>
    <t>18-9-1840</t>
  </si>
  <si>
    <t>9-6-1842</t>
  </si>
  <si>
    <t>28-6-1842</t>
  </si>
  <si>
    <t>22-9-1841</t>
  </si>
  <si>
    <t>15-1-1841</t>
  </si>
  <si>
    <t>15-12-1841</t>
  </si>
  <si>
    <t>12-9-1842</t>
  </si>
  <si>
    <t>11-8-1846</t>
  </si>
  <si>
    <t>4-2-1847</t>
  </si>
  <si>
    <t>28-3-1844</t>
  </si>
  <si>
    <t>14-1-1846</t>
  </si>
  <si>
    <t>13-1-1844</t>
  </si>
  <si>
    <t>7-5-1844</t>
  </si>
  <si>
    <t>3-8-1845</t>
  </si>
  <si>
    <t>8-10-1845</t>
  </si>
  <si>
    <t>5-8-1846</t>
  </si>
  <si>
    <t>4-12-1843</t>
  </si>
  <si>
    <t>29-6-1846</t>
  </si>
  <si>
    <t>27-3-1846</t>
  </si>
  <si>
    <t>19-4-1845</t>
  </si>
  <si>
    <t>25-6-1844</t>
  </si>
  <si>
    <t>7-2-1847</t>
  </si>
  <si>
    <t>3-101846</t>
  </si>
  <si>
    <t>?-11-1845</t>
  </si>
  <si>
    <t>25-1-1847</t>
  </si>
  <si>
    <t>17-11-1845</t>
  </si>
  <si>
    <t>2-4-1847</t>
  </si>
  <si>
    <t>27-1-1848</t>
  </si>
  <si>
    <t>3-5-1848</t>
  </si>
  <si>
    <t>13-12-1848</t>
  </si>
  <si>
    <t>22-4-1848</t>
  </si>
  <si>
    <t>10-9-1849</t>
  </si>
  <si>
    <t>13-4-1849</t>
  </si>
  <si>
    <t>17-4-1849</t>
  </si>
  <si>
    <t>9-8-1848</t>
  </si>
  <si>
    <t>7-11-1847</t>
  </si>
  <si>
    <t>28-2-1848</t>
  </si>
  <si>
    <t>11-9-1849</t>
  </si>
  <si>
    <t>18-1-1848</t>
  </si>
  <si>
    <t>23-4-1849</t>
  </si>
  <si>
    <t>10-2-1848</t>
  </si>
  <si>
    <t>30-11-1847</t>
  </si>
  <si>
    <t>17-5-1849</t>
  </si>
  <si>
    <t>6-5-1847</t>
  </si>
  <si>
    <t>19-11-1848</t>
  </si>
  <si>
    <t>21-11-1847</t>
  </si>
  <si>
    <t>26-7-1847</t>
  </si>
  <si>
    <t>14-7-1851</t>
  </si>
  <si>
    <t>8-9-1850</t>
  </si>
  <si>
    <t>13-9-1849</t>
  </si>
  <si>
    <t>27-3-1853</t>
  </si>
  <si>
    <t>25-1-1850</t>
  </si>
  <si>
    <t>2-1-1853</t>
  </si>
  <si>
    <t>22-6-1851</t>
  </si>
  <si>
    <t>1-3-1852</t>
  </si>
  <si>
    <t>21-1-1851</t>
  </si>
  <si>
    <t>29-9-1849</t>
  </si>
  <si>
    <t>17-9-1851</t>
  </si>
  <si>
    <t>7-8-2852</t>
  </si>
  <si>
    <t>16-10-1849</t>
  </si>
  <si>
    <t>10-7-1852</t>
  </si>
  <si>
    <t>16-4-1850</t>
  </si>
  <si>
    <t>5-3-1853</t>
  </si>
  <si>
    <t>8-3-1851</t>
  </si>
  <si>
    <t>21-2-1852</t>
  </si>
  <si>
    <t>18-9-1851</t>
  </si>
  <si>
    <t>9-8-1850</t>
  </si>
  <si>
    <t>5-12-1854</t>
  </si>
  <si>
    <t>28-4-1855</t>
  </si>
  <si>
    <t>12-5-1854</t>
  </si>
  <si>
    <t>16-1-1854</t>
  </si>
  <si>
    <t>3-3-1855</t>
  </si>
  <si>
    <t>25-4-1854</t>
  </si>
  <si>
    <t>18-9-1854</t>
  </si>
  <si>
    <t>22-3-1855</t>
  </si>
  <si>
    <t>14-9-1855</t>
  </si>
  <si>
    <t>25-9-1855</t>
  </si>
  <si>
    <t>26-5-1855</t>
  </si>
  <si>
    <t>8-5-1855</t>
  </si>
  <si>
    <t>8-9-1855</t>
  </si>
  <si>
    <t>2-5-1855</t>
  </si>
  <si>
    <t>14-5--1856</t>
  </si>
  <si>
    <t>5-1-1856</t>
  </si>
  <si>
    <t>17-7-1856</t>
  </si>
  <si>
    <t>14-3-1856</t>
  </si>
  <si>
    <t>27-7-1856</t>
  </si>
  <si>
    <t>9-3-1856</t>
  </si>
  <si>
    <t>23-4-1823</t>
  </si>
  <si>
    <t>11-8-1823</t>
  </si>
  <si>
    <t>11-31791</t>
  </si>
  <si>
    <t>Keiniger</t>
  </si>
  <si>
    <t>Benarth</t>
  </si>
  <si>
    <t>Merkeser</t>
  </si>
  <si>
    <t>16-1-1831</t>
  </si>
  <si>
    <t xml:space="preserve">DATE OF DEATH (D-M-Y) </t>
  </si>
  <si>
    <t>19.12.1878</t>
  </si>
  <si>
    <t>17</t>
  </si>
  <si>
    <t>20</t>
  </si>
  <si>
    <t>27</t>
  </si>
  <si>
    <t>28</t>
  </si>
  <si>
    <t>26</t>
  </si>
  <si>
    <t>32</t>
  </si>
  <si>
    <t>33</t>
  </si>
  <si>
    <t>39</t>
  </si>
  <si>
    <t>40</t>
  </si>
  <si>
    <t>73</t>
  </si>
  <si>
    <t>60</t>
  </si>
  <si>
    <t>74</t>
  </si>
  <si>
    <t>3</t>
  </si>
  <si>
    <t>105</t>
  </si>
  <si>
    <t>112</t>
  </si>
  <si>
    <t>113</t>
  </si>
  <si>
    <t>114</t>
  </si>
  <si>
    <t>119</t>
  </si>
  <si>
    <t>30-4-1899</t>
  </si>
  <si>
    <t>2</t>
  </si>
  <si>
    <t>128</t>
  </si>
  <si>
    <t>Goldstein</t>
  </si>
  <si>
    <t>19-6-1899</t>
  </si>
  <si>
    <t>Bichler</t>
  </si>
  <si>
    <t>127</t>
  </si>
  <si>
    <t>126</t>
  </si>
  <si>
    <t>129</t>
  </si>
  <si>
    <t>130</t>
  </si>
  <si>
    <t>Walshmann</t>
  </si>
  <si>
    <t>Moravcová</t>
  </si>
  <si>
    <t>30-11-1824</t>
  </si>
  <si>
    <t>Baisler?</t>
  </si>
  <si>
    <t>15-5-1808</t>
  </si>
  <si>
    <t>8-4-1792</t>
  </si>
  <si>
    <t>Kotzmeil</t>
  </si>
  <si>
    <t>24-4-1791</t>
  </si>
  <si>
    <t>Zabulin</t>
  </si>
  <si>
    <t>Jakonim?</t>
  </si>
  <si>
    <t>Kozanda?</t>
  </si>
  <si>
    <t>Hausler</t>
  </si>
  <si>
    <t>31-10-1792</t>
  </si>
  <si>
    <t>29-1-1792</t>
  </si>
  <si>
    <t>Schlaziny?</t>
  </si>
  <si>
    <t>Lazel?</t>
  </si>
  <si>
    <t>3-12-1796</t>
  </si>
  <si>
    <t>Wagner</t>
  </si>
  <si>
    <t>Andreas</t>
  </si>
  <si>
    <t>Lipchowitz</t>
  </si>
  <si>
    <t>9-3-1798</t>
  </si>
  <si>
    <t>Pützker</t>
  </si>
  <si>
    <t>Nibulauer</t>
  </si>
  <si>
    <t>Erbman</t>
  </si>
  <si>
    <t>Hoksher</t>
  </si>
  <si>
    <t>Menkerl?</t>
  </si>
  <si>
    <t>Schrenner</t>
  </si>
  <si>
    <t>4-12-1800</t>
  </si>
  <si>
    <t>Kreslheim</t>
  </si>
  <si>
    <t>Ledowsky</t>
  </si>
  <si>
    <t>Woiditz</t>
  </si>
  <si>
    <t>Perinster?</t>
  </si>
  <si>
    <t>Weitzmann</t>
  </si>
  <si>
    <t>28-3-1809</t>
  </si>
  <si>
    <t>Germer</t>
  </si>
  <si>
    <t>Halb</t>
  </si>
  <si>
    <t>Bergman</t>
  </si>
  <si>
    <t>11-12-1812</t>
  </si>
  <si>
    <t>Habro?</t>
  </si>
  <si>
    <t>Beruk?</t>
  </si>
  <si>
    <t>J?. Markus</t>
  </si>
  <si>
    <t>Koblitzhek</t>
  </si>
  <si>
    <t>Kreslheimer</t>
  </si>
  <si>
    <t>Kognerl</t>
  </si>
  <si>
    <t>Frisscha?</t>
  </si>
  <si>
    <t>Breined?</t>
  </si>
  <si>
    <t>Rosenbloh</t>
  </si>
  <si>
    <t>Simon L</t>
  </si>
  <si>
    <t>Efraym</t>
  </si>
  <si>
    <t>Falk</t>
  </si>
  <si>
    <t>Mosler</t>
  </si>
  <si>
    <t>Wormison</t>
  </si>
  <si>
    <t>14-11-1822</t>
  </si>
  <si>
    <t>Jakob Berl</t>
  </si>
  <si>
    <t>Rekindorf</t>
  </si>
  <si>
    <t>27-8-1823</t>
  </si>
  <si>
    <t>5-10-1823</t>
  </si>
  <si>
    <t>19-7-1823</t>
  </si>
  <si>
    <t>23-8-1823</t>
  </si>
  <si>
    <t>6-10-1823</t>
  </si>
  <si>
    <t>2-2-1824</t>
  </si>
  <si>
    <t>Allexander</t>
  </si>
  <si>
    <t>2-6-1823</t>
  </si>
  <si>
    <t>12-7-1824</t>
  </si>
  <si>
    <t>26-7-1824</t>
  </si>
  <si>
    <t>18-9-1824</t>
  </si>
  <si>
    <t>31-12-1824</t>
  </si>
  <si>
    <t>5-11-1825</t>
  </si>
  <si>
    <t>28-8-1824</t>
  </si>
  <si>
    <t>6-10-1824</t>
  </si>
  <si>
    <t>30-3-1825</t>
  </si>
  <si>
    <t>11-8-1825</t>
  </si>
  <si>
    <t>11-5-1826</t>
  </si>
  <si>
    <t>Jakob Samuel</t>
  </si>
  <si>
    <t>Ishekel</t>
  </si>
  <si>
    <t>Woditz</t>
  </si>
  <si>
    <t>Konreis</t>
  </si>
  <si>
    <t>Herschl</t>
  </si>
  <si>
    <t>IsIas</t>
  </si>
  <si>
    <t>Langmann</t>
  </si>
  <si>
    <t>29</t>
  </si>
  <si>
    <t>19-6-1829</t>
  </si>
  <si>
    <t>19-11-1827</t>
  </si>
  <si>
    <t>Leurer?</t>
  </si>
  <si>
    <t>25-9-1826</t>
  </si>
  <si>
    <t>20-11-1827</t>
  </si>
  <si>
    <t>11-07-1827</t>
  </si>
  <si>
    <t>8-3-1828</t>
  </si>
  <si>
    <t>Josua Joachim</t>
  </si>
  <si>
    <t>12-3-1828</t>
  </si>
  <si>
    <t>16-3-1828</t>
  </si>
  <si>
    <t>30</t>
  </si>
  <si>
    <t>Bernath Löbl</t>
  </si>
  <si>
    <t>10-10-1828</t>
  </si>
  <si>
    <t>Kurzweil</t>
  </si>
  <si>
    <t>Isaias Wolf</t>
  </si>
  <si>
    <t>21-9-1829</t>
  </si>
  <si>
    <t>22-10-1828</t>
  </si>
  <si>
    <t>31</t>
  </si>
  <si>
    <t>INDEX IMAGE PAGE</t>
  </si>
  <si>
    <t>Jacob</t>
  </si>
  <si>
    <t>12-12-1829</t>
  </si>
  <si>
    <t>Kanthor</t>
  </si>
  <si>
    <t>19-8-1829</t>
  </si>
  <si>
    <t>23-11-1808</t>
  </si>
  <si>
    <t>19-2-1829</t>
  </si>
  <si>
    <t>?-9-1829</t>
  </si>
  <si>
    <t>21-5-1829</t>
  </si>
  <si>
    <t>8-11-1829</t>
  </si>
  <si>
    <t>Schnelky</t>
  </si>
  <si>
    <t>11-11-1829</t>
  </si>
  <si>
    <t>13-9-1829</t>
  </si>
  <si>
    <t>Deitsh</t>
  </si>
  <si>
    <t>Balthazar</t>
  </si>
  <si>
    <t>26-12-1829</t>
  </si>
  <si>
    <t>16-3-1829</t>
  </si>
  <si>
    <t>Herman, Dr.</t>
  </si>
  <si>
    <t>11-12-1829</t>
  </si>
  <si>
    <t>28-3-1829</t>
  </si>
  <si>
    <t>10-10-1829</t>
  </si>
  <si>
    <t>25-7-1829</t>
  </si>
  <si>
    <t>6-11-1829</t>
  </si>
  <si>
    <t>27-9-1830</t>
  </si>
  <si>
    <t>25-701832</t>
  </si>
  <si>
    <t>26-6-1829</t>
  </si>
  <si>
    <t>28-1-1830</t>
  </si>
  <si>
    <t>Isak Hersh</t>
  </si>
  <si>
    <t>14-4-1830</t>
  </si>
  <si>
    <t>34</t>
  </si>
  <si>
    <t>12-08-1830</t>
  </si>
  <si>
    <t>6-6-1830</t>
  </si>
  <si>
    <t>18-10-1830</t>
  </si>
  <si>
    <t>35</t>
  </si>
  <si>
    <t>8-1-1831</t>
  </si>
  <si>
    <t>Mekerl?</t>
  </si>
  <si>
    <t>Reich?</t>
  </si>
  <si>
    <t>HBM</t>
  </si>
  <si>
    <t>Golda</t>
  </si>
  <si>
    <t>Mary</t>
  </si>
  <si>
    <t>Katty</t>
  </si>
  <si>
    <t>Rosy</t>
  </si>
  <si>
    <t>Fani</t>
  </si>
  <si>
    <t>Sofi</t>
  </si>
  <si>
    <t>Heni</t>
  </si>
  <si>
    <t>Pegi</t>
  </si>
  <si>
    <t>Ruti</t>
  </si>
  <si>
    <t>Danuth</t>
  </si>
  <si>
    <t>Lenni</t>
  </si>
  <si>
    <t>Budschowitz</t>
  </si>
  <si>
    <t>?alia</t>
  </si>
  <si>
    <t>Henny</t>
  </si>
  <si>
    <t>Fromi</t>
  </si>
  <si>
    <t>Bereis</t>
  </si>
  <si>
    <t>Sabina</t>
  </si>
  <si>
    <t>J.?</t>
  </si>
  <si>
    <t>Baeck</t>
  </si>
  <si>
    <t>53a</t>
  </si>
  <si>
    <t>Bedenzky</t>
  </si>
  <si>
    <t>53b</t>
  </si>
  <si>
    <t>E. Moritz</t>
  </si>
  <si>
    <t>Dainiek</t>
  </si>
  <si>
    <t>Dirrheim</t>
  </si>
  <si>
    <t>Bebeth</t>
  </si>
  <si>
    <t>Deutschmann</t>
  </si>
  <si>
    <t>Leontine</t>
  </si>
  <si>
    <t>Karl?</t>
  </si>
  <si>
    <t>Epfraim</t>
  </si>
  <si>
    <t>Elkan</t>
  </si>
  <si>
    <t>Echsel</t>
  </si>
  <si>
    <t>Friedländer</t>
  </si>
  <si>
    <t>Mini</t>
  </si>
  <si>
    <t>Veronika</t>
  </si>
  <si>
    <t>Lisi</t>
  </si>
  <si>
    <t>Gürmer</t>
  </si>
  <si>
    <t>Grünberg</t>
  </si>
  <si>
    <t>Bettty</t>
  </si>
  <si>
    <t>Filip</t>
  </si>
  <si>
    <t>Göttlein</t>
  </si>
  <si>
    <t>Gross</t>
  </si>
  <si>
    <t>Leonard</t>
  </si>
  <si>
    <t>Rpsel</t>
  </si>
  <si>
    <t>Katharine</t>
  </si>
  <si>
    <t>Josafin</t>
  </si>
  <si>
    <t>Hessky</t>
  </si>
  <si>
    <t>E?elia</t>
  </si>
  <si>
    <t>Knopp</t>
  </si>
  <si>
    <t>Kürrein</t>
  </si>
  <si>
    <t>Julie/Judith</t>
  </si>
  <si>
    <t>Adolpf</t>
  </si>
  <si>
    <t>Kogerl</t>
  </si>
  <si>
    <t>?ilia</t>
  </si>
  <si>
    <t>Kenard</t>
  </si>
  <si>
    <t>Louis</t>
  </si>
  <si>
    <t>Ladmann</t>
  </si>
  <si>
    <t>Heny</t>
  </si>
  <si>
    <t>Lustig</t>
  </si>
  <si>
    <t>He?</t>
  </si>
  <si>
    <t>Ladman</t>
  </si>
  <si>
    <t>Löwenthatl</t>
  </si>
  <si>
    <t>Henni</t>
  </si>
  <si>
    <t>Merkesl</t>
  </si>
  <si>
    <t>Tobias</t>
  </si>
  <si>
    <t>Zirl</t>
  </si>
  <si>
    <t>Lily</t>
  </si>
  <si>
    <t>Plaschek</t>
  </si>
  <si>
    <t>Pollnauer</t>
  </si>
  <si>
    <t>Tini</t>
  </si>
  <si>
    <t>July/Judith</t>
  </si>
  <si>
    <t>Beti</t>
  </si>
  <si>
    <t>Saly</t>
  </si>
  <si>
    <t>D?</t>
  </si>
  <si>
    <t>Libusche</t>
  </si>
  <si>
    <t>Poloschek</t>
  </si>
  <si>
    <t>Abrham</t>
  </si>
  <si>
    <t>Osal</t>
  </si>
  <si>
    <t>?elia</t>
  </si>
  <si>
    <t>Mendel</t>
  </si>
  <si>
    <t>Lini?</t>
  </si>
  <si>
    <t>Leni?</t>
  </si>
  <si>
    <t>Lotty</t>
  </si>
  <si>
    <t>Rösi</t>
  </si>
  <si>
    <t>?etty</t>
  </si>
  <si>
    <t>Adolph</t>
  </si>
  <si>
    <t>Franz</t>
  </si>
  <si>
    <t>Fanni/Fegele</t>
  </si>
  <si>
    <t>?ely</t>
  </si>
  <si>
    <t>Schendel</t>
  </si>
  <si>
    <t>Zili</t>
  </si>
  <si>
    <t>Mina</t>
  </si>
  <si>
    <t>Stiastny</t>
  </si>
  <si>
    <t>Stastny</t>
  </si>
  <si>
    <t>Süss</t>
  </si>
  <si>
    <t>Nikolai</t>
  </si>
  <si>
    <t>E.</t>
  </si>
  <si>
    <t>Schlossberger</t>
  </si>
  <si>
    <t>Augustina</t>
  </si>
  <si>
    <t>Schindler</t>
  </si>
  <si>
    <t>Cäcilia</t>
  </si>
  <si>
    <t>Werner?</t>
  </si>
  <si>
    <t>Willschick</t>
  </si>
  <si>
    <t>Dine</t>
  </si>
  <si>
    <t>Wohllmuth</t>
  </si>
  <si>
    <t>Weiner</t>
  </si>
  <si>
    <t>Weltmann</t>
  </si>
  <si>
    <t>Weckler</t>
  </si>
  <si>
    <t>Kitty</t>
  </si>
  <si>
    <t>Weissel</t>
  </si>
  <si>
    <t>Theresie</t>
  </si>
  <si>
    <t>Wessenstein</t>
  </si>
  <si>
    <t>Werthimer</t>
  </si>
  <si>
    <t>Hili?er</t>
  </si>
  <si>
    <t>Weisenstein</t>
  </si>
  <si>
    <t>Henriete</t>
  </si>
  <si>
    <t>Bardie?</t>
  </si>
  <si>
    <t>Badner?</t>
  </si>
  <si>
    <t>Meli</t>
  </si>
  <si>
    <t>Danik</t>
  </si>
  <si>
    <t>Ketti</t>
  </si>
  <si>
    <t>Grossllicht</t>
  </si>
  <si>
    <t>Paulina/Sibilla</t>
  </si>
  <si>
    <t>Gefner</t>
  </si>
  <si>
    <t>Grossmann</t>
  </si>
  <si>
    <t>Toni/Tankl</t>
  </si>
  <si>
    <t>Gläser</t>
  </si>
  <si>
    <t>Rasel</t>
  </si>
  <si>
    <t>Kuzerl</t>
  </si>
  <si>
    <t>Kennerd</t>
  </si>
  <si>
    <t>Ledicky</t>
  </si>
  <si>
    <t>Pfilip</t>
  </si>
  <si>
    <t>Schneck</t>
  </si>
  <si>
    <t>Resa</t>
  </si>
  <si>
    <t>Mathilda</t>
  </si>
  <si>
    <t>Jenni</t>
  </si>
  <si>
    <t>Karharina</t>
  </si>
  <si>
    <t>Latzer</t>
  </si>
  <si>
    <t>Josefin</t>
  </si>
  <si>
    <t>Tedesko</t>
  </si>
  <si>
    <t>Waldman</t>
  </si>
  <si>
    <t>Witkowsky</t>
  </si>
  <si>
    <t>HBM(a)</t>
  </si>
  <si>
    <t>13-6-1828</t>
  </si>
  <si>
    <t>Rasher</t>
  </si>
  <si>
    <t>Elias*</t>
  </si>
  <si>
    <t>Julius*</t>
  </si>
  <si>
    <t>Jakob*</t>
  </si>
  <si>
    <t>Juli*</t>
  </si>
  <si>
    <t>Aron*</t>
  </si>
  <si>
    <t>Ochoyas*</t>
  </si>
  <si>
    <t>Netti*</t>
  </si>
  <si>
    <t>Alexander*</t>
  </si>
  <si>
    <t>Not available</t>
  </si>
  <si>
    <t>Albert (Abraham)</t>
  </si>
  <si>
    <t>53</t>
  </si>
  <si>
    <t>54</t>
  </si>
  <si>
    <t>51</t>
  </si>
  <si>
    <t>42</t>
  </si>
  <si>
    <t>Ahron</t>
  </si>
  <si>
    <t>38</t>
  </si>
  <si>
    <t>Adelheid Barth</t>
  </si>
  <si>
    <t>66</t>
  </si>
  <si>
    <t>67</t>
  </si>
  <si>
    <t>134</t>
  </si>
  <si>
    <t>135</t>
  </si>
  <si>
    <t>Stern</t>
  </si>
  <si>
    <t>161</t>
  </si>
  <si>
    <t>Brandejsová</t>
  </si>
  <si>
    <t>14-?-1939</t>
  </si>
  <si>
    <t>20-?-1939</t>
  </si>
  <si>
    <t>162</t>
  </si>
  <si>
    <t>165</t>
  </si>
  <si>
    <t>164</t>
  </si>
  <si>
    <t>166</t>
  </si>
  <si>
    <t>186</t>
  </si>
  <si>
    <t>4</t>
  </si>
  <si>
    <t xml:space="preserve"> INDEX FOLIO PAGE</t>
  </si>
  <si>
    <t>DATA FOLIO PAGE</t>
  </si>
  <si>
    <t>DATA  IMAGE PAGE</t>
  </si>
  <si>
    <t>kn.</t>
  </si>
  <si>
    <t>N?</t>
  </si>
  <si>
    <t>Konthor</t>
  </si>
  <si>
    <t>Huberl?</t>
  </si>
  <si>
    <t>Izais</t>
  </si>
  <si>
    <t>Ninich?</t>
  </si>
  <si>
    <t>Chumer?</t>
  </si>
  <si>
    <t>Stei?rer</t>
  </si>
  <si>
    <t>Kasger</t>
  </si>
  <si>
    <t>Neuner?</t>
  </si>
  <si>
    <t>also see Baeck, Bäk,</t>
  </si>
  <si>
    <t>Beck, Bek,</t>
  </si>
  <si>
    <t>also see Pauer</t>
  </si>
  <si>
    <t>also see Fuchs, Fux</t>
  </si>
  <si>
    <t>also see Fux</t>
  </si>
  <si>
    <t>also see Fürnberg</t>
  </si>
  <si>
    <t>also see Fuchs</t>
  </si>
  <si>
    <t>Gebitsch</t>
  </si>
  <si>
    <t>also see Hösky</t>
  </si>
  <si>
    <t>Jentormir</t>
  </si>
  <si>
    <t>Keblor</t>
  </si>
  <si>
    <t>also see Konrad, Konrath</t>
  </si>
  <si>
    <t>also see Konstein</t>
  </si>
  <si>
    <t>also see Kurein, Kurrein</t>
  </si>
  <si>
    <t>also see Ledrer</t>
  </si>
  <si>
    <t>also see Löwy</t>
  </si>
  <si>
    <t>also see Merkesel</t>
  </si>
  <si>
    <t>Masler?</t>
  </si>
  <si>
    <t>Peisner?</t>
  </si>
  <si>
    <t>also see Polatschek</t>
  </si>
  <si>
    <t>also see Pollak</t>
  </si>
  <si>
    <t>also see Pollatschek</t>
  </si>
  <si>
    <t>also see Potascher</t>
  </si>
  <si>
    <t>also see Rekendorf</t>
  </si>
  <si>
    <t>also see Rossner</t>
  </si>
  <si>
    <t>also see Rösel</t>
  </si>
  <si>
    <t>also see Stastny</t>
  </si>
  <si>
    <t>also see Zubak</t>
  </si>
  <si>
    <t>also see Suschny</t>
  </si>
  <si>
    <t>also see Tuchy</t>
  </si>
  <si>
    <t>also see Valentin</t>
  </si>
  <si>
    <t>also see Weiner</t>
  </si>
  <si>
    <t>also see Wärtheim, Wirtheim(er)</t>
  </si>
  <si>
    <t>21-3-1849</t>
  </si>
  <si>
    <t>Josef A.</t>
  </si>
  <si>
    <t>24-11-1827</t>
  </si>
  <si>
    <t>Joachim Wolf</t>
  </si>
  <si>
    <t>28-5-1828</t>
  </si>
  <si>
    <t>inv</t>
  </si>
  <si>
    <t>fond</t>
  </si>
  <si>
    <t>zaznamid</t>
  </si>
  <si>
    <t>reproid</t>
  </si>
  <si>
    <t>page</t>
  </si>
  <si>
    <t>http://www.badatelna.eu/reprodukce/?fondId=1073&amp;zaznamId=1108960&amp;reproId=3780225</t>
  </si>
  <si>
    <t>MTLINK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</si>
</sst>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dd/mm/yyyy;@"/>
    <numFmt numFmtId="166" formatCode="yyyy/mm/dd;@"/>
  </numFmts>
  <fonts count="12" x14ac:knownFonts="1">
    <font>
      <sz val="10"/>
      <color rgb="FF000000"/>
      <name val="Arial"/>
    </font>
    <font>
      <sz val="12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2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b/>
      <sz val="10"/>
      <color rgb="FF000000"/>
      <name val="Arial"/>
      <family val="2"/>
    </font>
    <font>
      <b/>
      <sz val="12"/>
      <color rgb="FFFF0000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22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164" fontId="5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44"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 applyAlignment="1">
      <alignment wrapText="1"/>
    </xf>
    <xf numFmtId="49" fontId="1" fillId="0" borderId="0" xfId="0" applyNumberFormat="1" applyFont="1" applyAlignment="1">
      <alignment horizontal="center" wrapText="1"/>
    </xf>
    <xf numFmtId="49" fontId="1" fillId="0" borderId="0" xfId="0" applyNumberFormat="1" applyFont="1" applyAlignment="1">
      <alignment horizontal="center"/>
    </xf>
    <xf numFmtId="49" fontId="4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14" fontId="1" fillId="0" borderId="0" xfId="317" applyNumberFormat="1" applyFont="1" applyAlignment="1">
      <alignment horizontal="center" wrapText="1"/>
    </xf>
    <xf numFmtId="165" fontId="1" fillId="0" borderId="0" xfId="0" applyNumberFormat="1" applyFont="1" applyAlignment="1">
      <alignment horizontal="center" wrapText="1"/>
    </xf>
    <xf numFmtId="166" fontId="1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14" fontId="4" fillId="0" borderId="0" xfId="0" applyNumberFormat="1" applyFont="1" applyAlignment="1">
      <alignment horizontal="center" wrapText="1"/>
    </xf>
    <xf numFmtId="14" fontId="1" fillId="0" borderId="0" xfId="0" applyNumberFormat="1" applyFont="1" applyAlignment="1">
      <alignment horizontal="left"/>
    </xf>
    <xf numFmtId="49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14" fontId="4" fillId="0" borderId="0" xfId="0" applyNumberFormat="1" applyFont="1" applyAlignment="1">
      <alignment horizontal="center" vertical="center" wrapText="1"/>
    </xf>
    <xf numFmtId="165" fontId="4" fillId="0" borderId="0" xfId="0" applyNumberFormat="1" applyFont="1" applyAlignment="1">
      <alignment horizontal="center" wrapText="1"/>
    </xf>
    <xf numFmtId="0" fontId="1" fillId="0" borderId="0" xfId="0" applyFont="1" applyAlignment="1"/>
    <xf numFmtId="1" fontId="1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9" fillId="0" borderId="0" xfId="0" applyFont="1" applyAlignment="1">
      <alignment wrapText="1"/>
    </xf>
    <xf numFmtId="49" fontId="4" fillId="0" borderId="0" xfId="0" applyNumberFormat="1" applyFont="1" applyAlignment="1">
      <alignment horizontal="center" vertical="center" wrapText="1"/>
    </xf>
    <xf numFmtId="14" fontId="7" fillId="0" borderId="0" xfId="0" applyNumberFormat="1" applyFont="1" applyAlignment="1">
      <alignment horizontal="center"/>
    </xf>
    <xf numFmtId="0" fontId="10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14" fontId="7" fillId="0" borderId="0" xfId="0" applyNumberFormat="1" applyFont="1" applyAlignment="1">
      <alignment horizontal="center" wrapText="1"/>
    </xf>
    <xf numFmtId="166" fontId="7" fillId="0" borderId="0" xfId="0" applyNumberFormat="1" applyFont="1" applyAlignment="1">
      <alignment horizontal="center" wrapText="1"/>
    </xf>
    <xf numFmtId="0" fontId="0" fillId="0" borderId="0" xfId="0" applyFont="1" applyAlignment="1">
      <alignment wrapText="1"/>
    </xf>
    <xf numFmtId="165" fontId="7" fillId="0" borderId="0" xfId="0" applyNumberFormat="1" applyFont="1" applyAlignment="1">
      <alignment horizontal="center" wrapText="1"/>
    </xf>
    <xf numFmtId="0" fontId="7" fillId="0" borderId="0" xfId="0" applyFont="1" applyAlignment="1">
      <alignment horizontal="left" wrapText="1"/>
    </xf>
    <xf numFmtId="0" fontId="11" fillId="0" borderId="0" xfId="1222" applyAlignment="1">
      <alignment wrapText="1"/>
    </xf>
  </cellXfs>
  <cellStyles count="1223">
    <cellStyle name="Comma" xfId="31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Followed Hyperlink" xfId="661" builtinId="9" hidden="1"/>
    <cellStyle name="Followed Hyperlink" xfId="663" builtinId="9" hidden="1"/>
    <cellStyle name="Followed Hyperlink" xfId="665" builtinId="9" hidden="1"/>
    <cellStyle name="Followed Hyperlink" xfId="667" builtinId="9" hidden="1"/>
    <cellStyle name="Followed Hyperlink" xfId="669" builtinId="9" hidden="1"/>
    <cellStyle name="Followed Hyperlink" xfId="671" builtinId="9" hidden="1"/>
    <cellStyle name="Followed Hyperlink" xfId="673" builtinId="9" hidden="1"/>
    <cellStyle name="Followed Hyperlink" xfId="675" builtinId="9" hidden="1"/>
    <cellStyle name="Followed Hyperlink" xfId="677" builtinId="9" hidden="1"/>
    <cellStyle name="Followed Hyperlink" xfId="679" builtinId="9" hidden="1"/>
    <cellStyle name="Followed Hyperlink" xfId="681" builtinId="9" hidden="1"/>
    <cellStyle name="Followed Hyperlink" xfId="683" builtinId="9" hidden="1"/>
    <cellStyle name="Followed Hyperlink" xfId="685" builtinId="9" hidden="1"/>
    <cellStyle name="Followed Hyperlink" xfId="687" builtinId="9" hidden="1"/>
    <cellStyle name="Followed Hyperlink" xfId="689" builtinId="9" hidden="1"/>
    <cellStyle name="Followed Hyperlink" xfId="691" builtinId="9" hidden="1"/>
    <cellStyle name="Followed Hyperlink" xfId="693" builtinId="9" hidden="1"/>
    <cellStyle name="Followed Hyperlink" xfId="695" builtinId="9" hidden="1"/>
    <cellStyle name="Followed Hyperlink" xfId="697" builtinId="9" hidden="1"/>
    <cellStyle name="Followed Hyperlink" xfId="699" builtinId="9" hidden="1"/>
    <cellStyle name="Followed Hyperlink" xfId="701" builtinId="9" hidden="1"/>
    <cellStyle name="Followed Hyperlink" xfId="703" builtinId="9" hidden="1"/>
    <cellStyle name="Followed Hyperlink" xfId="705" builtinId="9" hidden="1"/>
    <cellStyle name="Followed Hyperlink" xfId="707" builtinId="9" hidden="1"/>
    <cellStyle name="Followed Hyperlink" xfId="709" builtinId="9" hidden="1"/>
    <cellStyle name="Followed Hyperlink" xfId="711" builtinId="9" hidden="1"/>
    <cellStyle name="Followed Hyperlink" xfId="713" builtinId="9" hidden="1"/>
    <cellStyle name="Followed Hyperlink" xfId="715" builtinId="9" hidden="1"/>
    <cellStyle name="Followed Hyperlink" xfId="717" builtinId="9" hidden="1"/>
    <cellStyle name="Followed Hyperlink" xfId="719" builtinId="9" hidden="1"/>
    <cellStyle name="Followed Hyperlink" xfId="721" builtinId="9" hidden="1"/>
    <cellStyle name="Followed Hyperlink" xfId="723" builtinId="9" hidden="1"/>
    <cellStyle name="Followed Hyperlink" xfId="725" builtinId="9" hidden="1"/>
    <cellStyle name="Followed Hyperlink" xfId="727" builtinId="9" hidden="1"/>
    <cellStyle name="Followed Hyperlink" xfId="729" builtinId="9" hidden="1"/>
    <cellStyle name="Followed Hyperlink" xfId="731" builtinId="9" hidden="1"/>
    <cellStyle name="Followed Hyperlink" xfId="733" builtinId="9" hidden="1"/>
    <cellStyle name="Followed Hyperlink" xfId="735" builtinId="9" hidden="1"/>
    <cellStyle name="Followed Hyperlink" xfId="737" builtinId="9" hidden="1"/>
    <cellStyle name="Followed Hyperlink" xfId="739" builtinId="9" hidden="1"/>
    <cellStyle name="Followed Hyperlink" xfId="741" builtinId="9" hidden="1"/>
    <cellStyle name="Followed Hyperlink" xfId="743" builtinId="9" hidden="1"/>
    <cellStyle name="Followed Hyperlink" xfId="745" builtinId="9" hidden="1"/>
    <cellStyle name="Followed Hyperlink" xfId="747" builtinId="9" hidden="1"/>
    <cellStyle name="Followed Hyperlink" xfId="749" builtinId="9" hidden="1"/>
    <cellStyle name="Followed Hyperlink" xfId="751" builtinId="9" hidden="1"/>
    <cellStyle name="Followed Hyperlink" xfId="753" builtinId="9" hidden="1"/>
    <cellStyle name="Followed Hyperlink" xfId="755" builtinId="9" hidden="1"/>
    <cellStyle name="Followed Hyperlink" xfId="757" builtinId="9" hidden="1"/>
    <cellStyle name="Followed Hyperlink" xfId="759" builtinId="9" hidden="1"/>
    <cellStyle name="Followed Hyperlink" xfId="761" builtinId="9" hidden="1"/>
    <cellStyle name="Followed Hyperlink" xfId="763" builtinId="9" hidden="1"/>
    <cellStyle name="Followed Hyperlink" xfId="765" builtinId="9" hidden="1"/>
    <cellStyle name="Followed Hyperlink" xfId="767" builtinId="9" hidden="1"/>
    <cellStyle name="Followed Hyperlink" xfId="769" builtinId="9" hidden="1"/>
    <cellStyle name="Followed Hyperlink" xfId="771" builtinId="9" hidden="1"/>
    <cellStyle name="Followed Hyperlink" xfId="773" builtinId="9" hidden="1"/>
    <cellStyle name="Followed Hyperlink" xfId="775" builtinId="9" hidden="1"/>
    <cellStyle name="Followed Hyperlink" xfId="777" builtinId="9" hidden="1"/>
    <cellStyle name="Followed Hyperlink" xfId="779" builtinId="9" hidden="1"/>
    <cellStyle name="Followed Hyperlink" xfId="781" builtinId="9" hidden="1"/>
    <cellStyle name="Followed Hyperlink" xfId="783" builtinId="9" hidden="1"/>
    <cellStyle name="Followed Hyperlink" xfId="785" builtinId="9" hidden="1"/>
    <cellStyle name="Followed Hyperlink" xfId="787" builtinId="9" hidden="1"/>
    <cellStyle name="Followed Hyperlink" xfId="789" builtinId="9" hidden="1"/>
    <cellStyle name="Followed Hyperlink" xfId="791" builtinId="9" hidden="1"/>
    <cellStyle name="Followed Hyperlink" xfId="793" builtinId="9" hidden="1"/>
    <cellStyle name="Followed Hyperlink" xfId="795" builtinId="9" hidden="1"/>
    <cellStyle name="Followed Hyperlink" xfId="797" builtinId="9" hidden="1"/>
    <cellStyle name="Followed Hyperlink" xfId="799" builtinId="9" hidden="1"/>
    <cellStyle name="Followed Hyperlink" xfId="801" builtinId="9" hidden="1"/>
    <cellStyle name="Followed Hyperlink" xfId="803" builtinId="9" hidden="1"/>
    <cellStyle name="Followed Hyperlink" xfId="805" builtinId="9" hidden="1"/>
    <cellStyle name="Followed Hyperlink" xfId="807" builtinId="9" hidden="1"/>
    <cellStyle name="Followed Hyperlink" xfId="809" builtinId="9" hidden="1"/>
    <cellStyle name="Followed Hyperlink" xfId="811" builtinId="9" hidden="1"/>
    <cellStyle name="Followed Hyperlink" xfId="813" builtinId="9" hidden="1"/>
    <cellStyle name="Followed Hyperlink" xfId="815" builtinId="9" hidden="1"/>
    <cellStyle name="Followed Hyperlink" xfId="817" builtinId="9" hidden="1"/>
    <cellStyle name="Followed Hyperlink" xfId="819" builtinId="9" hidden="1"/>
    <cellStyle name="Followed Hyperlink" xfId="821" builtinId="9" hidden="1"/>
    <cellStyle name="Followed Hyperlink" xfId="823" builtinId="9" hidden="1"/>
    <cellStyle name="Followed Hyperlink" xfId="825" builtinId="9" hidden="1"/>
    <cellStyle name="Followed Hyperlink" xfId="827" builtinId="9" hidden="1"/>
    <cellStyle name="Followed Hyperlink" xfId="829" builtinId="9" hidden="1"/>
    <cellStyle name="Followed Hyperlink" xfId="831" builtinId="9" hidden="1"/>
    <cellStyle name="Followed Hyperlink" xfId="833" builtinId="9" hidden="1"/>
    <cellStyle name="Followed Hyperlink" xfId="835" builtinId="9" hidden="1"/>
    <cellStyle name="Followed Hyperlink" xfId="837" builtinId="9" hidden="1"/>
    <cellStyle name="Followed Hyperlink" xfId="839" builtinId="9" hidden="1"/>
    <cellStyle name="Followed Hyperlink" xfId="841" builtinId="9" hidden="1"/>
    <cellStyle name="Followed Hyperlink" xfId="843" builtinId="9" hidden="1"/>
    <cellStyle name="Followed Hyperlink" xfId="845" builtinId="9" hidden="1"/>
    <cellStyle name="Followed Hyperlink" xfId="847" builtinId="9" hidden="1"/>
    <cellStyle name="Followed Hyperlink" xfId="849" builtinId="9" hidden="1"/>
    <cellStyle name="Followed Hyperlink" xfId="851" builtinId="9" hidden="1"/>
    <cellStyle name="Followed Hyperlink" xfId="853" builtinId="9" hidden="1"/>
    <cellStyle name="Followed Hyperlink" xfId="855" builtinId="9" hidden="1"/>
    <cellStyle name="Followed Hyperlink" xfId="857" builtinId="9" hidden="1"/>
    <cellStyle name="Followed Hyperlink" xfId="859" builtinId="9" hidden="1"/>
    <cellStyle name="Followed Hyperlink" xfId="861" builtinId="9" hidden="1"/>
    <cellStyle name="Followed Hyperlink" xfId="863" builtinId="9" hidden="1"/>
    <cellStyle name="Followed Hyperlink" xfId="865" builtinId="9" hidden="1"/>
    <cellStyle name="Followed Hyperlink" xfId="867" builtinId="9" hidden="1"/>
    <cellStyle name="Followed Hyperlink" xfId="869" builtinId="9" hidden="1"/>
    <cellStyle name="Followed Hyperlink" xfId="871" builtinId="9" hidden="1"/>
    <cellStyle name="Followed Hyperlink" xfId="873" builtinId="9" hidden="1"/>
    <cellStyle name="Followed Hyperlink" xfId="875" builtinId="9" hidden="1"/>
    <cellStyle name="Followed Hyperlink" xfId="877" builtinId="9" hidden="1"/>
    <cellStyle name="Followed Hyperlink" xfId="879" builtinId="9" hidden="1"/>
    <cellStyle name="Followed Hyperlink" xfId="881" builtinId="9" hidden="1"/>
    <cellStyle name="Followed Hyperlink" xfId="883" builtinId="9" hidden="1"/>
    <cellStyle name="Followed Hyperlink" xfId="885" builtinId="9" hidden="1"/>
    <cellStyle name="Followed Hyperlink" xfId="887" builtinId="9" hidden="1"/>
    <cellStyle name="Followed Hyperlink" xfId="889" builtinId="9" hidden="1"/>
    <cellStyle name="Followed Hyperlink" xfId="891" builtinId="9" hidden="1"/>
    <cellStyle name="Followed Hyperlink" xfId="893" builtinId="9" hidden="1"/>
    <cellStyle name="Followed Hyperlink" xfId="895" builtinId="9" hidden="1"/>
    <cellStyle name="Followed Hyperlink" xfId="897" builtinId="9" hidden="1"/>
    <cellStyle name="Followed Hyperlink" xfId="899" builtinId="9" hidden="1"/>
    <cellStyle name="Followed Hyperlink" xfId="901" builtinId="9" hidden="1"/>
    <cellStyle name="Followed Hyperlink" xfId="903" builtinId="9" hidden="1"/>
    <cellStyle name="Followed Hyperlink" xfId="905" builtinId="9" hidden="1"/>
    <cellStyle name="Followed Hyperlink" xfId="907" builtinId="9" hidden="1"/>
    <cellStyle name="Followed Hyperlink" xfId="909" builtinId="9" hidden="1"/>
    <cellStyle name="Followed Hyperlink" xfId="911" builtinId="9" hidden="1"/>
    <cellStyle name="Followed Hyperlink" xfId="913" builtinId="9" hidden="1"/>
    <cellStyle name="Followed Hyperlink" xfId="915" builtinId="9" hidden="1"/>
    <cellStyle name="Followed Hyperlink" xfId="917" builtinId="9" hidden="1"/>
    <cellStyle name="Followed Hyperlink" xfId="919" builtinId="9" hidden="1"/>
    <cellStyle name="Followed Hyperlink" xfId="921" builtinId="9" hidden="1"/>
    <cellStyle name="Followed Hyperlink" xfId="923" builtinId="9" hidden="1"/>
    <cellStyle name="Followed Hyperlink" xfId="925" builtinId="9" hidden="1"/>
    <cellStyle name="Followed Hyperlink" xfId="927" builtinId="9" hidden="1"/>
    <cellStyle name="Followed Hyperlink" xfId="929" builtinId="9" hidden="1"/>
    <cellStyle name="Followed Hyperlink" xfId="931" builtinId="9" hidden="1"/>
    <cellStyle name="Followed Hyperlink" xfId="933" builtinId="9" hidden="1"/>
    <cellStyle name="Followed Hyperlink" xfId="935" builtinId="9" hidden="1"/>
    <cellStyle name="Followed Hyperlink" xfId="937" builtinId="9" hidden="1"/>
    <cellStyle name="Followed Hyperlink" xfId="939" builtinId="9" hidden="1"/>
    <cellStyle name="Followed Hyperlink" xfId="941" builtinId="9" hidden="1"/>
    <cellStyle name="Followed Hyperlink" xfId="943" builtinId="9" hidden="1"/>
    <cellStyle name="Followed Hyperlink" xfId="945" builtinId="9" hidden="1"/>
    <cellStyle name="Followed Hyperlink" xfId="947" builtinId="9" hidden="1"/>
    <cellStyle name="Followed Hyperlink" xfId="949" builtinId="9" hidden="1"/>
    <cellStyle name="Followed Hyperlink" xfId="951" builtinId="9" hidden="1"/>
    <cellStyle name="Followed Hyperlink" xfId="953" builtinId="9" hidden="1"/>
    <cellStyle name="Followed Hyperlink" xfId="955" builtinId="9" hidden="1"/>
    <cellStyle name="Followed Hyperlink" xfId="957" builtinId="9" hidden="1"/>
    <cellStyle name="Followed Hyperlink" xfId="959" builtinId="9" hidden="1"/>
    <cellStyle name="Followed Hyperlink" xfId="961" builtinId="9" hidden="1"/>
    <cellStyle name="Followed Hyperlink" xfId="963" builtinId="9" hidden="1"/>
    <cellStyle name="Followed Hyperlink" xfId="965" builtinId="9" hidden="1"/>
    <cellStyle name="Followed Hyperlink" xfId="967" builtinId="9" hidden="1"/>
    <cellStyle name="Followed Hyperlink" xfId="969" builtinId="9" hidden="1"/>
    <cellStyle name="Followed Hyperlink" xfId="971" builtinId="9" hidden="1"/>
    <cellStyle name="Followed Hyperlink" xfId="973" builtinId="9" hidden="1"/>
    <cellStyle name="Followed Hyperlink" xfId="975" builtinId="9" hidden="1"/>
    <cellStyle name="Followed Hyperlink" xfId="977" builtinId="9" hidden="1"/>
    <cellStyle name="Followed Hyperlink" xfId="979" builtinId="9" hidden="1"/>
    <cellStyle name="Followed Hyperlink" xfId="981" builtinId="9" hidden="1"/>
    <cellStyle name="Followed Hyperlink" xfId="983" builtinId="9" hidden="1"/>
    <cellStyle name="Followed Hyperlink" xfId="985" builtinId="9" hidden="1"/>
    <cellStyle name="Followed Hyperlink" xfId="987" builtinId="9" hidden="1"/>
    <cellStyle name="Followed Hyperlink" xfId="989" builtinId="9" hidden="1"/>
    <cellStyle name="Followed Hyperlink" xfId="991" builtinId="9" hidden="1"/>
    <cellStyle name="Followed Hyperlink" xfId="993" builtinId="9" hidden="1"/>
    <cellStyle name="Followed Hyperlink" xfId="995" builtinId="9" hidden="1"/>
    <cellStyle name="Followed Hyperlink" xfId="997" builtinId="9" hidden="1"/>
    <cellStyle name="Followed Hyperlink" xfId="999" builtinId="9" hidden="1"/>
    <cellStyle name="Followed Hyperlink" xfId="1001" builtinId="9" hidden="1"/>
    <cellStyle name="Followed Hyperlink" xfId="1003" builtinId="9" hidden="1"/>
    <cellStyle name="Followed Hyperlink" xfId="1005" builtinId="9" hidden="1"/>
    <cellStyle name="Followed Hyperlink" xfId="1007" builtinId="9" hidden="1"/>
    <cellStyle name="Followed Hyperlink" xfId="1009" builtinId="9" hidden="1"/>
    <cellStyle name="Followed Hyperlink" xfId="1011" builtinId="9" hidden="1"/>
    <cellStyle name="Followed Hyperlink" xfId="1013" builtinId="9" hidden="1"/>
    <cellStyle name="Followed Hyperlink" xfId="1015" builtinId="9" hidden="1"/>
    <cellStyle name="Followed Hyperlink" xfId="1017" builtinId="9" hidden="1"/>
    <cellStyle name="Followed Hyperlink" xfId="1019" builtinId="9" hidden="1"/>
    <cellStyle name="Followed Hyperlink" xfId="1021" builtinId="9" hidden="1"/>
    <cellStyle name="Followed Hyperlink" xfId="1023" builtinId="9" hidden="1"/>
    <cellStyle name="Followed Hyperlink" xfId="1025" builtinId="9" hidden="1"/>
    <cellStyle name="Followed Hyperlink" xfId="1027" builtinId="9" hidden="1"/>
    <cellStyle name="Followed Hyperlink" xfId="1029" builtinId="9" hidden="1"/>
    <cellStyle name="Followed Hyperlink" xfId="1031" builtinId="9" hidden="1"/>
    <cellStyle name="Followed Hyperlink" xfId="1033" builtinId="9" hidden="1"/>
    <cellStyle name="Followed Hyperlink" xfId="1035" builtinId="9" hidden="1"/>
    <cellStyle name="Followed Hyperlink" xfId="1037" builtinId="9" hidden="1"/>
    <cellStyle name="Followed Hyperlink" xfId="1039" builtinId="9" hidden="1"/>
    <cellStyle name="Followed Hyperlink" xfId="1041" builtinId="9" hidden="1"/>
    <cellStyle name="Followed Hyperlink" xfId="1043" builtinId="9" hidden="1"/>
    <cellStyle name="Followed Hyperlink" xfId="1045" builtinId="9" hidden="1"/>
    <cellStyle name="Followed Hyperlink" xfId="1047" builtinId="9" hidden="1"/>
    <cellStyle name="Followed Hyperlink" xfId="1049" builtinId="9" hidden="1"/>
    <cellStyle name="Followed Hyperlink" xfId="1051" builtinId="9" hidden="1"/>
    <cellStyle name="Followed Hyperlink" xfId="1053" builtinId="9" hidden="1"/>
    <cellStyle name="Followed Hyperlink" xfId="1055" builtinId="9" hidden="1"/>
    <cellStyle name="Followed Hyperlink" xfId="1057" builtinId="9" hidden="1"/>
    <cellStyle name="Followed Hyperlink" xfId="1059" builtinId="9" hidden="1"/>
    <cellStyle name="Followed Hyperlink" xfId="1061" builtinId="9" hidden="1"/>
    <cellStyle name="Followed Hyperlink" xfId="1063" builtinId="9" hidden="1"/>
    <cellStyle name="Followed Hyperlink" xfId="1065" builtinId="9" hidden="1"/>
    <cellStyle name="Followed Hyperlink" xfId="1067" builtinId="9" hidden="1"/>
    <cellStyle name="Followed Hyperlink" xfId="1069" builtinId="9" hidden="1"/>
    <cellStyle name="Followed Hyperlink" xfId="1071" builtinId="9" hidden="1"/>
    <cellStyle name="Followed Hyperlink" xfId="1073" builtinId="9" hidden="1"/>
    <cellStyle name="Followed Hyperlink" xfId="1075" builtinId="9" hidden="1"/>
    <cellStyle name="Followed Hyperlink" xfId="1077" builtinId="9" hidden="1"/>
    <cellStyle name="Followed Hyperlink" xfId="1079" builtinId="9" hidden="1"/>
    <cellStyle name="Followed Hyperlink" xfId="1081" builtinId="9" hidden="1"/>
    <cellStyle name="Followed Hyperlink" xfId="1083" builtinId="9" hidden="1"/>
    <cellStyle name="Followed Hyperlink" xfId="1085" builtinId="9" hidden="1"/>
    <cellStyle name="Followed Hyperlink" xfId="1087" builtinId="9" hidden="1"/>
    <cellStyle name="Followed Hyperlink" xfId="1089" builtinId="9" hidden="1"/>
    <cellStyle name="Followed Hyperlink" xfId="1091" builtinId="9" hidden="1"/>
    <cellStyle name="Followed Hyperlink" xfId="1093" builtinId="9" hidden="1"/>
    <cellStyle name="Followed Hyperlink" xfId="1095" builtinId="9" hidden="1"/>
    <cellStyle name="Followed Hyperlink" xfId="1097" builtinId="9" hidden="1"/>
    <cellStyle name="Followed Hyperlink" xfId="1099" builtinId="9" hidden="1"/>
    <cellStyle name="Followed Hyperlink" xfId="1101" builtinId="9" hidden="1"/>
    <cellStyle name="Followed Hyperlink" xfId="1103" builtinId="9" hidden="1"/>
    <cellStyle name="Followed Hyperlink" xfId="1105" builtinId="9" hidden="1"/>
    <cellStyle name="Followed Hyperlink" xfId="1107" builtinId="9" hidden="1"/>
    <cellStyle name="Followed Hyperlink" xfId="1109" builtinId="9" hidden="1"/>
    <cellStyle name="Followed Hyperlink" xfId="1111" builtinId="9" hidden="1"/>
    <cellStyle name="Followed Hyperlink" xfId="1113" builtinId="9" hidden="1"/>
    <cellStyle name="Followed Hyperlink" xfId="1115" builtinId="9" hidden="1"/>
    <cellStyle name="Followed Hyperlink" xfId="1117" builtinId="9" hidden="1"/>
    <cellStyle name="Followed Hyperlink" xfId="1119" builtinId="9" hidden="1"/>
    <cellStyle name="Followed Hyperlink" xfId="1121" builtinId="9" hidden="1"/>
    <cellStyle name="Followed Hyperlink" xfId="1123" builtinId="9" hidden="1"/>
    <cellStyle name="Followed Hyperlink" xfId="1125" builtinId="9" hidden="1"/>
    <cellStyle name="Followed Hyperlink" xfId="1127" builtinId="9" hidden="1"/>
    <cellStyle name="Followed Hyperlink" xfId="1129" builtinId="9" hidden="1"/>
    <cellStyle name="Followed Hyperlink" xfId="1131" builtinId="9" hidden="1"/>
    <cellStyle name="Followed Hyperlink" xfId="1133" builtinId="9" hidden="1"/>
    <cellStyle name="Followed Hyperlink" xfId="1135" builtinId="9" hidden="1"/>
    <cellStyle name="Followed Hyperlink" xfId="1137" builtinId="9" hidden="1"/>
    <cellStyle name="Followed Hyperlink" xfId="1139" builtinId="9" hidden="1"/>
    <cellStyle name="Followed Hyperlink" xfId="1141" builtinId="9" hidden="1"/>
    <cellStyle name="Followed Hyperlink" xfId="1143" builtinId="9" hidden="1"/>
    <cellStyle name="Followed Hyperlink" xfId="1145" builtinId="9" hidden="1"/>
    <cellStyle name="Followed Hyperlink" xfId="1147" builtinId="9" hidden="1"/>
    <cellStyle name="Followed Hyperlink" xfId="1149" builtinId="9" hidden="1"/>
    <cellStyle name="Followed Hyperlink" xfId="1151" builtinId="9" hidden="1"/>
    <cellStyle name="Followed Hyperlink" xfId="1153" builtinId="9" hidden="1"/>
    <cellStyle name="Followed Hyperlink" xfId="1155" builtinId="9" hidden="1"/>
    <cellStyle name="Followed Hyperlink" xfId="1157" builtinId="9" hidden="1"/>
    <cellStyle name="Followed Hyperlink" xfId="1159" builtinId="9" hidden="1"/>
    <cellStyle name="Followed Hyperlink" xfId="1161" builtinId="9" hidden="1"/>
    <cellStyle name="Followed Hyperlink" xfId="1163" builtinId="9" hidden="1"/>
    <cellStyle name="Followed Hyperlink" xfId="1165" builtinId="9" hidden="1"/>
    <cellStyle name="Followed Hyperlink" xfId="1167" builtinId="9" hidden="1"/>
    <cellStyle name="Followed Hyperlink" xfId="1169" builtinId="9" hidden="1"/>
    <cellStyle name="Followed Hyperlink" xfId="1171" builtinId="9" hidden="1"/>
    <cellStyle name="Followed Hyperlink" xfId="1173" builtinId="9" hidden="1"/>
    <cellStyle name="Followed Hyperlink" xfId="1175" builtinId="9" hidden="1"/>
    <cellStyle name="Followed Hyperlink" xfId="1177" builtinId="9" hidden="1"/>
    <cellStyle name="Followed Hyperlink" xfId="1179" builtinId="9" hidden="1"/>
    <cellStyle name="Followed Hyperlink" xfId="1181" builtinId="9" hidden="1"/>
    <cellStyle name="Followed Hyperlink" xfId="1183" builtinId="9" hidden="1"/>
    <cellStyle name="Followed Hyperlink" xfId="1185" builtinId="9" hidden="1"/>
    <cellStyle name="Followed Hyperlink" xfId="1187" builtinId="9" hidden="1"/>
    <cellStyle name="Followed Hyperlink" xfId="1189" builtinId="9" hidden="1"/>
    <cellStyle name="Followed Hyperlink" xfId="1191" builtinId="9" hidden="1"/>
    <cellStyle name="Followed Hyperlink" xfId="1193" builtinId="9" hidden="1"/>
    <cellStyle name="Followed Hyperlink" xfId="1195" builtinId="9" hidden="1"/>
    <cellStyle name="Followed Hyperlink" xfId="1197" builtinId="9" hidden="1"/>
    <cellStyle name="Followed Hyperlink" xfId="1199" builtinId="9" hidden="1"/>
    <cellStyle name="Followed Hyperlink" xfId="1201" builtinId="9" hidden="1"/>
    <cellStyle name="Followed Hyperlink" xfId="1203" builtinId="9" hidden="1"/>
    <cellStyle name="Followed Hyperlink" xfId="1205" builtinId="9" hidden="1"/>
    <cellStyle name="Followed Hyperlink" xfId="1207" builtinId="9" hidden="1"/>
    <cellStyle name="Followed Hyperlink" xfId="1209" builtinId="9" hidden="1"/>
    <cellStyle name="Followed Hyperlink" xfId="1211" builtinId="9" hidden="1"/>
    <cellStyle name="Followed Hyperlink" xfId="1213" builtinId="9" hidden="1"/>
    <cellStyle name="Followed Hyperlink" xfId="1215" builtinId="9" hidden="1"/>
    <cellStyle name="Followed Hyperlink" xfId="1217" builtinId="9" hidden="1"/>
    <cellStyle name="Followed Hyperlink" xfId="1219" builtinId="9" hidden="1"/>
    <cellStyle name="Followed Hyperlink" xfId="1221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Hyperlink" xfId="660" builtinId="8" hidden="1"/>
    <cellStyle name="Hyperlink" xfId="662" builtinId="8" hidden="1"/>
    <cellStyle name="Hyperlink" xfId="664" builtinId="8" hidden="1"/>
    <cellStyle name="Hyperlink" xfId="666" builtinId="8" hidden="1"/>
    <cellStyle name="Hyperlink" xfId="668" builtinId="8" hidden="1"/>
    <cellStyle name="Hyperlink" xfId="670" builtinId="8" hidden="1"/>
    <cellStyle name="Hyperlink" xfId="672" builtinId="8" hidden="1"/>
    <cellStyle name="Hyperlink" xfId="674" builtinId="8" hidden="1"/>
    <cellStyle name="Hyperlink" xfId="676" builtinId="8" hidden="1"/>
    <cellStyle name="Hyperlink" xfId="678" builtinId="8" hidden="1"/>
    <cellStyle name="Hyperlink" xfId="680" builtinId="8" hidden="1"/>
    <cellStyle name="Hyperlink" xfId="682" builtinId="8" hidden="1"/>
    <cellStyle name="Hyperlink" xfId="684" builtinId="8" hidden="1"/>
    <cellStyle name="Hyperlink" xfId="686" builtinId="8" hidden="1"/>
    <cellStyle name="Hyperlink" xfId="688" builtinId="8" hidden="1"/>
    <cellStyle name="Hyperlink" xfId="690" builtinId="8" hidden="1"/>
    <cellStyle name="Hyperlink" xfId="692" builtinId="8" hidden="1"/>
    <cellStyle name="Hyperlink" xfId="694" builtinId="8" hidden="1"/>
    <cellStyle name="Hyperlink" xfId="696" builtinId="8" hidden="1"/>
    <cellStyle name="Hyperlink" xfId="698" builtinId="8" hidden="1"/>
    <cellStyle name="Hyperlink" xfId="700" builtinId="8" hidden="1"/>
    <cellStyle name="Hyperlink" xfId="702" builtinId="8" hidden="1"/>
    <cellStyle name="Hyperlink" xfId="704" builtinId="8" hidden="1"/>
    <cellStyle name="Hyperlink" xfId="706" builtinId="8" hidden="1"/>
    <cellStyle name="Hyperlink" xfId="708" builtinId="8" hidden="1"/>
    <cellStyle name="Hyperlink" xfId="710" builtinId="8" hidden="1"/>
    <cellStyle name="Hyperlink" xfId="712" builtinId="8" hidden="1"/>
    <cellStyle name="Hyperlink" xfId="714" builtinId="8" hidden="1"/>
    <cellStyle name="Hyperlink" xfId="716" builtinId="8" hidden="1"/>
    <cellStyle name="Hyperlink" xfId="718" builtinId="8" hidden="1"/>
    <cellStyle name="Hyperlink" xfId="720" builtinId="8" hidden="1"/>
    <cellStyle name="Hyperlink" xfId="722" builtinId="8" hidden="1"/>
    <cellStyle name="Hyperlink" xfId="724" builtinId="8" hidden="1"/>
    <cellStyle name="Hyperlink" xfId="726" builtinId="8" hidden="1"/>
    <cellStyle name="Hyperlink" xfId="728" builtinId="8" hidden="1"/>
    <cellStyle name="Hyperlink" xfId="730" builtinId="8" hidden="1"/>
    <cellStyle name="Hyperlink" xfId="732" builtinId="8" hidden="1"/>
    <cellStyle name="Hyperlink" xfId="734" builtinId="8" hidden="1"/>
    <cellStyle name="Hyperlink" xfId="736" builtinId="8" hidden="1"/>
    <cellStyle name="Hyperlink" xfId="738" builtinId="8" hidden="1"/>
    <cellStyle name="Hyperlink" xfId="740" builtinId="8" hidden="1"/>
    <cellStyle name="Hyperlink" xfId="742" builtinId="8" hidden="1"/>
    <cellStyle name="Hyperlink" xfId="744" builtinId="8" hidden="1"/>
    <cellStyle name="Hyperlink" xfId="746" builtinId="8" hidden="1"/>
    <cellStyle name="Hyperlink" xfId="748" builtinId="8" hidden="1"/>
    <cellStyle name="Hyperlink" xfId="750" builtinId="8" hidden="1"/>
    <cellStyle name="Hyperlink" xfId="752" builtinId="8" hidden="1"/>
    <cellStyle name="Hyperlink" xfId="754" builtinId="8" hidden="1"/>
    <cellStyle name="Hyperlink" xfId="756" builtinId="8" hidden="1"/>
    <cellStyle name="Hyperlink" xfId="758" builtinId="8" hidden="1"/>
    <cellStyle name="Hyperlink" xfId="760" builtinId="8" hidden="1"/>
    <cellStyle name="Hyperlink" xfId="762" builtinId="8" hidden="1"/>
    <cellStyle name="Hyperlink" xfId="764" builtinId="8" hidden="1"/>
    <cellStyle name="Hyperlink" xfId="766" builtinId="8" hidden="1"/>
    <cellStyle name="Hyperlink" xfId="768" builtinId="8" hidden="1"/>
    <cellStyle name="Hyperlink" xfId="770" builtinId="8" hidden="1"/>
    <cellStyle name="Hyperlink" xfId="772" builtinId="8" hidden="1"/>
    <cellStyle name="Hyperlink" xfId="774" builtinId="8" hidden="1"/>
    <cellStyle name="Hyperlink" xfId="776" builtinId="8" hidden="1"/>
    <cellStyle name="Hyperlink" xfId="778" builtinId="8" hidden="1"/>
    <cellStyle name="Hyperlink" xfId="780" builtinId="8" hidden="1"/>
    <cellStyle name="Hyperlink" xfId="782" builtinId="8" hidden="1"/>
    <cellStyle name="Hyperlink" xfId="784" builtinId="8" hidden="1"/>
    <cellStyle name="Hyperlink" xfId="786" builtinId="8" hidden="1"/>
    <cellStyle name="Hyperlink" xfId="788" builtinId="8" hidden="1"/>
    <cellStyle name="Hyperlink" xfId="790" builtinId="8" hidden="1"/>
    <cellStyle name="Hyperlink" xfId="792" builtinId="8" hidden="1"/>
    <cellStyle name="Hyperlink" xfId="794" builtinId="8" hidden="1"/>
    <cellStyle name="Hyperlink" xfId="796" builtinId="8" hidden="1"/>
    <cellStyle name="Hyperlink" xfId="798" builtinId="8" hidden="1"/>
    <cellStyle name="Hyperlink" xfId="800" builtinId="8" hidden="1"/>
    <cellStyle name="Hyperlink" xfId="802" builtinId="8" hidden="1"/>
    <cellStyle name="Hyperlink" xfId="804" builtinId="8" hidden="1"/>
    <cellStyle name="Hyperlink" xfId="806" builtinId="8" hidden="1"/>
    <cellStyle name="Hyperlink" xfId="808" builtinId="8" hidden="1"/>
    <cellStyle name="Hyperlink" xfId="810" builtinId="8" hidden="1"/>
    <cellStyle name="Hyperlink" xfId="812" builtinId="8" hidden="1"/>
    <cellStyle name="Hyperlink" xfId="814" builtinId="8" hidden="1"/>
    <cellStyle name="Hyperlink" xfId="816" builtinId="8" hidden="1"/>
    <cellStyle name="Hyperlink" xfId="818" builtinId="8" hidden="1"/>
    <cellStyle name="Hyperlink" xfId="820" builtinId="8" hidden="1"/>
    <cellStyle name="Hyperlink" xfId="822" builtinId="8" hidden="1"/>
    <cellStyle name="Hyperlink" xfId="824" builtinId="8" hidden="1"/>
    <cellStyle name="Hyperlink" xfId="826" builtinId="8" hidden="1"/>
    <cellStyle name="Hyperlink" xfId="828" builtinId="8" hidden="1"/>
    <cellStyle name="Hyperlink" xfId="830" builtinId="8" hidden="1"/>
    <cellStyle name="Hyperlink" xfId="832" builtinId="8" hidden="1"/>
    <cellStyle name="Hyperlink" xfId="834" builtinId="8" hidden="1"/>
    <cellStyle name="Hyperlink" xfId="836" builtinId="8" hidden="1"/>
    <cellStyle name="Hyperlink" xfId="838" builtinId="8" hidden="1"/>
    <cellStyle name="Hyperlink" xfId="840" builtinId="8" hidden="1"/>
    <cellStyle name="Hyperlink" xfId="842" builtinId="8" hidden="1"/>
    <cellStyle name="Hyperlink" xfId="844" builtinId="8" hidden="1"/>
    <cellStyle name="Hyperlink" xfId="846" builtinId="8" hidden="1"/>
    <cellStyle name="Hyperlink" xfId="848" builtinId="8" hidden="1"/>
    <cellStyle name="Hyperlink" xfId="850" builtinId="8" hidden="1"/>
    <cellStyle name="Hyperlink" xfId="852" builtinId="8" hidden="1"/>
    <cellStyle name="Hyperlink" xfId="854" builtinId="8" hidden="1"/>
    <cellStyle name="Hyperlink" xfId="856" builtinId="8" hidden="1"/>
    <cellStyle name="Hyperlink" xfId="858" builtinId="8" hidden="1"/>
    <cellStyle name="Hyperlink" xfId="860" builtinId="8" hidden="1"/>
    <cellStyle name="Hyperlink" xfId="862" builtinId="8" hidden="1"/>
    <cellStyle name="Hyperlink" xfId="864" builtinId="8" hidden="1"/>
    <cellStyle name="Hyperlink" xfId="866" builtinId="8" hidden="1"/>
    <cellStyle name="Hyperlink" xfId="868" builtinId="8" hidden="1"/>
    <cellStyle name="Hyperlink" xfId="870" builtinId="8" hidden="1"/>
    <cellStyle name="Hyperlink" xfId="872" builtinId="8" hidden="1"/>
    <cellStyle name="Hyperlink" xfId="874" builtinId="8" hidden="1"/>
    <cellStyle name="Hyperlink" xfId="876" builtinId="8" hidden="1"/>
    <cellStyle name="Hyperlink" xfId="878" builtinId="8" hidden="1"/>
    <cellStyle name="Hyperlink" xfId="880" builtinId="8" hidden="1"/>
    <cellStyle name="Hyperlink" xfId="882" builtinId="8" hidden="1"/>
    <cellStyle name="Hyperlink" xfId="884" builtinId="8" hidden="1"/>
    <cellStyle name="Hyperlink" xfId="886" builtinId="8" hidden="1"/>
    <cellStyle name="Hyperlink" xfId="888" builtinId="8" hidden="1"/>
    <cellStyle name="Hyperlink" xfId="890" builtinId="8" hidden="1"/>
    <cellStyle name="Hyperlink" xfId="892" builtinId="8" hidden="1"/>
    <cellStyle name="Hyperlink" xfId="894" builtinId="8" hidden="1"/>
    <cellStyle name="Hyperlink" xfId="896" builtinId="8" hidden="1"/>
    <cellStyle name="Hyperlink" xfId="898" builtinId="8" hidden="1"/>
    <cellStyle name="Hyperlink" xfId="900" builtinId="8" hidden="1"/>
    <cellStyle name="Hyperlink" xfId="902" builtinId="8" hidden="1"/>
    <cellStyle name="Hyperlink" xfId="904" builtinId="8" hidden="1"/>
    <cellStyle name="Hyperlink" xfId="906" builtinId="8" hidden="1"/>
    <cellStyle name="Hyperlink" xfId="908" builtinId="8" hidden="1"/>
    <cellStyle name="Hyperlink" xfId="910" builtinId="8" hidden="1"/>
    <cellStyle name="Hyperlink" xfId="912" builtinId="8" hidden="1"/>
    <cellStyle name="Hyperlink" xfId="914" builtinId="8" hidden="1"/>
    <cellStyle name="Hyperlink" xfId="916" builtinId="8" hidden="1"/>
    <cellStyle name="Hyperlink" xfId="918" builtinId="8" hidden="1"/>
    <cellStyle name="Hyperlink" xfId="920" builtinId="8" hidden="1"/>
    <cellStyle name="Hyperlink" xfId="922" builtinId="8" hidden="1"/>
    <cellStyle name="Hyperlink" xfId="924" builtinId="8" hidden="1"/>
    <cellStyle name="Hyperlink" xfId="926" builtinId="8" hidden="1"/>
    <cellStyle name="Hyperlink" xfId="928" builtinId="8" hidden="1"/>
    <cellStyle name="Hyperlink" xfId="930" builtinId="8" hidden="1"/>
    <cellStyle name="Hyperlink" xfId="932" builtinId="8" hidden="1"/>
    <cellStyle name="Hyperlink" xfId="934" builtinId="8" hidden="1"/>
    <cellStyle name="Hyperlink" xfId="936" builtinId="8" hidden="1"/>
    <cellStyle name="Hyperlink" xfId="938" builtinId="8" hidden="1"/>
    <cellStyle name="Hyperlink" xfId="940" builtinId="8" hidden="1"/>
    <cellStyle name="Hyperlink" xfId="942" builtinId="8" hidden="1"/>
    <cellStyle name="Hyperlink" xfId="944" builtinId="8" hidden="1"/>
    <cellStyle name="Hyperlink" xfId="946" builtinId="8" hidden="1"/>
    <cellStyle name="Hyperlink" xfId="948" builtinId="8" hidden="1"/>
    <cellStyle name="Hyperlink" xfId="950" builtinId="8" hidden="1"/>
    <cellStyle name="Hyperlink" xfId="952" builtinId="8" hidden="1"/>
    <cellStyle name="Hyperlink" xfId="954" builtinId="8" hidden="1"/>
    <cellStyle name="Hyperlink" xfId="956" builtinId="8" hidden="1"/>
    <cellStyle name="Hyperlink" xfId="958" builtinId="8" hidden="1"/>
    <cellStyle name="Hyperlink" xfId="960" builtinId="8" hidden="1"/>
    <cellStyle name="Hyperlink" xfId="962" builtinId="8" hidden="1"/>
    <cellStyle name="Hyperlink" xfId="964" builtinId="8" hidden="1"/>
    <cellStyle name="Hyperlink" xfId="966" builtinId="8" hidden="1"/>
    <cellStyle name="Hyperlink" xfId="968" builtinId="8" hidden="1"/>
    <cellStyle name="Hyperlink" xfId="970" builtinId="8" hidden="1"/>
    <cellStyle name="Hyperlink" xfId="972" builtinId="8" hidden="1"/>
    <cellStyle name="Hyperlink" xfId="974" builtinId="8" hidden="1"/>
    <cellStyle name="Hyperlink" xfId="976" builtinId="8" hidden="1"/>
    <cellStyle name="Hyperlink" xfId="978" builtinId="8" hidden="1"/>
    <cellStyle name="Hyperlink" xfId="980" builtinId="8" hidden="1"/>
    <cellStyle name="Hyperlink" xfId="982" builtinId="8" hidden="1"/>
    <cellStyle name="Hyperlink" xfId="984" builtinId="8" hidden="1"/>
    <cellStyle name="Hyperlink" xfId="986" builtinId="8" hidden="1"/>
    <cellStyle name="Hyperlink" xfId="988" builtinId="8" hidden="1"/>
    <cellStyle name="Hyperlink" xfId="990" builtinId="8" hidden="1"/>
    <cellStyle name="Hyperlink" xfId="992" builtinId="8" hidden="1"/>
    <cellStyle name="Hyperlink" xfId="994" builtinId="8" hidden="1"/>
    <cellStyle name="Hyperlink" xfId="996" builtinId="8" hidden="1"/>
    <cellStyle name="Hyperlink" xfId="998" builtinId="8" hidden="1"/>
    <cellStyle name="Hyperlink" xfId="1000" builtinId="8" hidden="1"/>
    <cellStyle name="Hyperlink" xfId="1002" builtinId="8" hidden="1"/>
    <cellStyle name="Hyperlink" xfId="1004" builtinId="8" hidden="1"/>
    <cellStyle name="Hyperlink" xfId="1006" builtinId="8" hidden="1"/>
    <cellStyle name="Hyperlink" xfId="1008" builtinId="8" hidden="1"/>
    <cellStyle name="Hyperlink" xfId="1010" builtinId="8" hidden="1"/>
    <cellStyle name="Hyperlink" xfId="1012" builtinId="8" hidden="1"/>
    <cellStyle name="Hyperlink" xfId="1014" builtinId="8" hidden="1"/>
    <cellStyle name="Hyperlink" xfId="1016" builtinId="8" hidden="1"/>
    <cellStyle name="Hyperlink" xfId="1018" builtinId="8" hidden="1"/>
    <cellStyle name="Hyperlink" xfId="1020" builtinId="8" hidden="1"/>
    <cellStyle name="Hyperlink" xfId="1022" builtinId="8" hidden="1"/>
    <cellStyle name="Hyperlink" xfId="1024" builtinId="8" hidden="1"/>
    <cellStyle name="Hyperlink" xfId="1026" builtinId="8" hidden="1"/>
    <cellStyle name="Hyperlink" xfId="1028" builtinId="8" hidden="1"/>
    <cellStyle name="Hyperlink" xfId="1030" builtinId="8" hidden="1"/>
    <cellStyle name="Hyperlink" xfId="1032" builtinId="8" hidden="1"/>
    <cellStyle name="Hyperlink" xfId="1034" builtinId="8" hidden="1"/>
    <cellStyle name="Hyperlink" xfId="1036" builtinId="8" hidden="1"/>
    <cellStyle name="Hyperlink" xfId="1038" builtinId="8" hidden="1"/>
    <cellStyle name="Hyperlink" xfId="1040" builtinId="8" hidden="1"/>
    <cellStyle name="Hyperlink" xfId="1042" builtinId="8" hidden="1"/>
    <cellStyle name="Hyperlink" xfId="1044" builtinId="8" hidden="1"/>
    <cellStyle name="Hyperlink" xfId="1046" builtinId="8" hidden="1"/>
    <cellStyle name="Hyperlink" xfId="1048" builtinId="8" hidden="1"/>
    <cellStyle name="Hyperlink" xfId="1050" builtinId="8" hidden="1"/>
    <cellStyle name="Hyperlink" xfId="1052" builtinId="8" hidden="1"/>
    <cellStyle name="Hyperlink" xfId="1054" builtinId="8" hidden="1"/>
    <cellStyle name="Hyperlink" xfId="1056" builtinId="8" hidden="1"/>
    <cellStyle name="Hyperlink" xfId="1058" builtinId="8" hidden="1"/>
    <cellStyle name="Hyperlink" xfId="1060" builtinId="8" hidden="1"/>
    <cellStyle name="Hyperlink" xfId="1062" builtinId="8" hidden="1"/>
    <cellStyle name="Hyperlink" xfId="1064" builtinId="8" hidden="1"/>
    <cellStyle name="Hyperlink" xfId="1066" builtinId="8" hidden="1"/>
    <cellStyle name="Hyperlink" xfId="1068" builtinId="8" hidden="1"/>
    <cellStyle name="Hyperlink" xfId="1070" builtinId="8" hidden="1"/>
    <cellStyle name="Hyperlink" xfId="1072" builtinId="8" hidden="1"/>
    <cellStyle name="Hyperlink" xfId="1074" builtinId="8" hidden="1"/>
    <cellStyle name="Hyperlink" xfId="1076" builtinId="8" hidden="1"/>
    <cellStyle name="Hyperlink" xfId="1078" builtinId="8" hidden="1"/>
    <cellStyle name="Hyperlink" xfId="1080" builtinId="8" hidden="1"/>
    <cellStyle name="Hyperlink" xfId="1082" builtinId="8" hidden="1"/>
    <cellStyle name="Hyperlink" xfId="1084" builtinId="8" hidden="1"/>
    <cellStyle name="Hyperlink" xfId="1086" builtinId="8" hidden="1"/>
    <cellStyle name="Hyperlink" xfId="1088" builtinId="8" hidden="1"/>
    <cellStyle name="Hyperlink" xfId="1090" builtinId="8" hidden="1"/>
    <cellStyle name="Hyperlink" xfId="1092" builtinId="8" hidden="1"/>
    <cellStyle name="Hyperlink" xfId="1094" builtinId="8" hidden="1"/>
    <cellStyle name="Hyperlink" xfId="1096" builtinId="8" hidden="1"/>
    <cellStyle name="Hyperlink" xfId="1098" builtinId="8" hidden="1"/>
    <cellStyle name="Hyperlink" xfId="1100" builtinId="8" hidden="1"/>
    <cellStyle name="Hyperlink" xfId="1102" builtinId="8" hidden="1"/>
    <cellStyle name="Hyperlink" xfId="1104" builtinId="8" hidden="1"/>
    <cellStyle name="Hyperlink" xfId="1106" builtinId="8" hidden="1"/>
    <cellStyle name="Hyperlink" xfId="1108" builtinId="8" hidden="1"/>
    <cellStyle name="Hyperlink" xfId="1110" builtinId="8" hidden="1"/>
    <cellStyle name="Hyperlink" xfId="1112" builtinId="8" hidden="1"/>
    <cellStyle name="Hyperlink" xfId="1114" builtinId="8" hidden="1"/>
    <cellStyle name="Hyperlink" xfId="1116" builtinId="8" hidden="1"/>
    <cellStyle name="Hyperlink" xfId="1118" builtinId="8" hidden="1"/>
    <cellStyle name="Hyperlink" xfId="1120" builtinId="8" hidden="1"/>
    <cellStyle name="Hyperlink" xfId="1122" builtinId="8" hidden="1"/>
    <cellStyle name="Hyperlink" xfId="1124" builtinId="8" hidden="1"/>
    <cellStyle name="Hyperlink" xfId="1126" builtinId="8" hidden="1"/>
    <cellStyle name="Hyperlink" xfId="1128" builtinId="8" hidden="1"/>
    <cellStyle name="Hyperlink" xfId="1130" builtinId="8" hidden="1"/>
    <cellStyle name="Hyperlink" xfId="1132" builtinId="8" hidden="1"/>
    <cellStyle name="Hyperlink" xfId="1134" builtinId="8" hidden="1"/>
    <cellStyle name="Hyperlink" xfId="1136" builtinId="8" hidden="1"/>
    <cellStyle name="Hyperlink" xfId="1138" builtinId="8" hidden="1"/>
    <cellStyle name="Hyperlink" xfId="1140" builtinId="8" hidden="1"/>
    <cellStyle name="Hyperlink" xfId="1142" builtinId="8" hidden="1"/>
    <cellStyle name="Hyperlink" xfId="1144" builtinId="8" hidden="1"/>
    <cellStyle name="Hyperlink" xfId="1146" builtinId="8" hidden="1"/>
    <cellStyle name="Hyperlink" xfId="1148" builtinId="8" hidden="1"/>
    <cellStyle name="Hyperlink" xfId="1150" builtinId="8" hidden="1"/>
    <cellStyle name="Hyperlink" xfId="1152" builtinId="8" hidden="1"/>
    <cellStyle name="Hyperlink" xfId="1154" builtinId="8" hidden="1"/>
    <cellStyle name="Hyperlink" xfId="1156" builtinId="8" hidden="1"/>
    <cellStyle name="Hyperlink" xfId="1158" builtinId="8" hidden="1"/>
    <cellStyle name="Hyperlink" xfId="1160" builtinId="8" hidden="1"/>
    <cellStyle name="Hyperlink" xfId="1162" builtinId="8" hidden="1"/>
    <cellStyle name="Hyperlink" xfId="1164" builtinId="8" hidden="1"/>
    <cellStyle name="Hyperlink" xfId="1166" builtinId="8" hidden="1"/>
    <cellStyle name="Hyperlink" xfId="1168" builtinId="8" hidden="1"/>
    <cellStyle name="Hyperlink" xfId="1170" builtinId="8" hidden="1"/>
    <cellStyle name="Hyperlink" xfId="1172" builtinId="8" hidden="1"/>
    <cellStyle name="Hyperlink" xfId="1174" builtinId="8" hidden="1"/>
    <cellStyle name="Hyperlink" xfId="1176" builtinId="8" hidden="1"/>
    <cellStyle name="Hyperlink" xfId="1178" builtinId="8" hidden="1"/>
    <cellStyle name="Hyperlink" xfId="1180" builtinId="8" hidden="1"/>
    <cellStyle name="Hyperlink" xfId="1182" builtinId="8" hidden="1"/>
    <cellStyle name="Hyperlink" xfId="1184" builtinId="8" hidden="1"/>
    <cellStyle name="Hyperlink" xfId="1186" builtinId="8" hidden="1"/>
    <cellStyle name="Hyperlink" xfId="1188" builtinId="8" hidden="1"/>
    <cellStyle name="Hyperlink" xfId="1190" builtinId="8" hidden="1"/>
    <cellStyle name="Hyperlink" xfId="1192" builtinId="8" hidden="1"/>
    <cellStyle name="Hyperlink" xfId="1194" builtinId="8" hidden="1"/>
    <cellStyle name="Hyperlink" xfId="1196" builtinId="8" hidden="1"/>
    <cellStyle name="Hyperlink" xfId="1198" builtinId="8" hidden="1"/>
    <cellStyle name="Hyperlink" xfId="1200" builtinId="8" hidden="1"/>
    <cellStyle name="Hyperlink" xfId="1202" builtinId="8" hidden="1"/>
    <cellStyle name="Hyperlink" xfId="1204" builtinId="8" hidden="1"/>
    <cellStyle name="Hyperlink" xfId="1206" builtinId="8" hidden="1"/>
    <cellStyle name="Hyperlink" xfId="1208" builtinId="8" hidden="1"/>
    <cellStyle name="Hyperlink" xfId="1210" builtinId="8" hidden="1"/>
    <cellStyle name="Hyperlink" xfId="1212" builtinId="8" hidden="1"/>
    <cellStyle name="Hyperlink" xfId="1214" builtinId="8" hidden="1"/>
    <cellStyle name="Hyperlink" xfId="1216" builtinId="8" hidden="1"/>
    <cellStyle name="Hyperlink" xfId="1218" builtinId="8" hidden="1"/>
    <cellStyle name="Hyperlink" xfId="1220" builtinId="8" hidden="1"/>
    <cellStyle name="Hyperlink" xfId="1222" builtinId="8"/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datelna.eu/reprodukce/?fondId=1073&amp;zaznamId=1108960&amp;reproId=37802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978"/>
  <sheetViews>
    <sheetView tabSelected="1" topLeftCell="E1" workbookViewId="0">
      <pane ySplit="1" topLeftCell="A2" activePane="bottomLeft" state="frozen"/>
      <selection pane="bottomLeft" activeCell="J1751" sqref="J1751"/>
    </sheetView>
  </sheetViews>
  <sheetFormatPr defaultColWidth="13.42578125" defaultRowHeight="15" customHeight="1" x14ac:dyDescent="0.2"/>
  <cols>
    <col min="1" max="1" width="25" style="33" customWidth="1"/>
    <col min="2" max="2" width="19.7109375" style="33" customWidth="1"/>
    <col min="3" max="3" width="32.140625" style="8" customWidth="1"/>
    <col min="5" max="5" width="12" customWidth="1"/>
    <col min="6" max="6" width="13.42578125" style="37"/>
    <col min="7" max="7" width="20.42578125" style="13" customWidth="1"/>
    <col min="8" max="8" width="19.7109375" customWidth="1"/>
    <col min="9" max="9" width="21.28515625" customWidth="1"/>
    <col min="10" max="10" width="76.85546875" bestFit="1" customWidth="1"/>
  </cols>
  <sheetData>
    <row r="1" spans="1:13" s="4" customFormat="1" ht="29.1" customHeight="1" x14ac:dyDescent="0.25">
      <c r="A1" s="27" t="s">
        <v>452</v>
      </c>
      <c r="B1" s="27" t="s">
        <v>453</v>
      </c>
      <c r="C1" s="19" t="s">
        <v>2753</v>
      </c>
      <c r="D1" s="3" t="s">
        <v>3062</v>
      </c>
      <c r="E1" s="3" t="s">
        <v>451</v>
      </c>
      <c r="F1" s="28" t="s">
        <v>3099</v>
      </c>
      <c r="G1" s="10" t="s">
        <v>3098</v>
      </c>
      <c r="H1" s="25" t="s">
        <v>2882</v>
      </c>
      <c r="I1" s="3" t="s">
        <v>3097</v>
      </c>
      <c r="J1" t="s">
        <v>3154</v>
      </c>
      <c r="K1" t="s">
        <v>3149</v>
      </c>
      <c r="L1" t="s">
        <v>3150</v>
      </c>
      <c r="M1" t="s">
        <v>3151</v>
      </c>
    </row>
    <row r="2" spans="1:13" s="1" customFormat="1" ht="15" customHeight="1" x14ac:dyDescent="0.25">
      <c r="A2" s="29" t="s">
        <v>24</v>
      </c>
      <c r="B2" s="28" t="s">
        <v>31</v>
      </c>
      <c r="C2" s="6" t="s">
        <v>2244</v>
      </c>
      <c r="D2" s="1" t="s">
        <v>454</v>
      </c>
      <c r="E2" s="1">
        <v>2173</v>
      </c>
      <c r="F2" s="28">
        <v>196</v>
      </c>
      <c r="G2" s="9">
        <v>2</v>
      </c>
      <c r="H2" s="1" t="s">
        <v>3073</v>
      </c>
      <c r="I2" s="1" t="s">
        <v>3073</v>
      </c>
      <c r="J2" t="str">
        <f>IF(LEN(TRIM(E2))=0,"","http://www.badatelna.eu/reprodukce/?fondId="&amp;K2&amp;"&amp;zaznamId="&amp;L2&amp;"&amp;reproId="&amp;M2)</f>
        <v>http://www.badatelna.eu/reprodukce/?fondId=1073&amp;zaznamId=1108959&amp;reproId=3780189</v>
      </c>
      <c r="K2">
        <f>IF(LEN(TRIM(E2))=0,"",VLOOKUP(E2,Sheet2!$B$1:$E$19,2,FALSE))</f>
        <v>1073</v>
      </c>
      <c r="L2">
        <f>IF(LEN(TRIM(E2))=0,"",VLOOKUP(E2,Sheet2!$B$1:$E$19,3,FALSE))</f>
        <v>1108959</v>
      </c>
      <c r="M2">
        <f>IF(LEN(TRIM(E2))=0,"",VLOOKUP(E2,Sheet2!$B$1:$E$19,4,FALSE))+(F2-1)</f>
        <v>3780189</v>
      </c>
    </row>
    <row r="3" spans="1:13" s="1" customFormat="1" ht="15" customHeight="1" x14ac:dyDescent="0.25">
      <c r="A3" s="29" t="s">
        <v>24</v>
      </c>
      <c r="B3" s="28" t="s">
        <v>49</v>
      </c>
      <c r="C3" s="6" t="s">
        <v>2201</v>
      </c>
      <c r="D3" s="1" t="s">
        <v>454</v>
      </c>
      <c r="E3" s="1">
        <v>2173</v>
      </c>
      <c r="F3" s="28">
        <v>212</v>
      </c>
      <c r="G3" s="9" t="s">
        <v>2911</v>
      </c>
      <c r="H3" s="1" t="s">
        <v>3073</v>
      </c>
      <c r="I3" s="1" t="s">
        <v>3073</v>
      </c>
      <c r="J3" t="str">
        <f t="shared" ref="J3:J66" si="0">IF(LEN(TRIM(E3))=0,"","http://www.badatelna.eu/reprodukce/?fondId="&amp;K3&amp;"&amp;zaznamId="&amp;L3&amp;"&amp;reproId="&amp;M3)</f>
        <v>http://www.badatelna.eu/reprodukce/?fondId=1073&amp;zaznamId=1108959&amp;reproId=3780205</v>
      </c>
      <c r="K3">
        <f>IF(LEN(TRIM(E3))=0,"",VLOOKUP(E3,Sheet2!$B$1:$E$19,2,FALSE))</f>
        <v>1073</v>
      </c>
      <c r="L3">
        <f>IF(LEN(TRIM(E3))=0,"",VLOOKUP(E3,Sheet2!$B$1:$E$19,3,FALSE))</f>
        <v>1108959</v>
      </c>
      <c r="M3">
        <f>IF(LEN(TRIM(E3))=0,"",VLOOKUP(E3,Sheet2!$B$1:$E$19,4,FALSE))+(F3-1)</f>
        <v>3780205</v>
      </c>
    </row>
    <row r="4" spans="1:13" s="1" customFormat="1" ht="15" customHeight="1" x14ac:dyDescent="0.25">
      <c r="A4" s="28" t="s">
        <v>757</v>
      </c>
      <c r="B4" s="28" t="s">
        <v>514</v>
      </c>
      <c r="C4" s="15">
        <v>5155</v>
      </c>
      <c r="D4" s="1" t="s">
        <v>454</v>
      </c>
      <c r="E4" s="1">
        <v>2172</v>
      </c>
      <c r="F4" s="28">
        <v>184</v>
      </c>
      <c r="G4" s="9">
        <v>175</v>
      </c>
      <c r="H4" s="1" t="s">
        <v>3073</v>
      </c>
      <c r="I4" s="1" t="s">
        <v>3073</v>
      </c>
      <c r="J4" t="str">
        <f t="shared" si="0"/>
        <v>http://www.badatelna.eu/reprodukce/?fondId=1073&amp;zaznamId=1108958&amp;reproId=3779925</v>
      </c>
      <c r="K4">
        <f>IF(LEN(TRIM(E4))=0,"",VLOOKUP(E4,Sheet2!$B$1:$E$19,2,FALSE))</f>
        <v>1073</v>
      </c>
      <c r="L4">
        <f>IF(LEN(TRIM(E4))=0,"",VLOOKUP(E4,Sheet2!$B$1:$E$19,3,FALSE))</f>
        <v>1108958</v>
      </c>
      <c r="M4">
        <f>IF(LEN(TRIM(E4))=0,"",VLOOKUP(E4,Sheet2!$B$1:$E$19,4,FALSE))+(F4-1)</f>
        <v>3779925</v>
      </c>
    </row>
    <row r="5" spans="1:13" s="1" customFormat="1" ht="15" customHeight="1" x14ac:dyDescent="0.25">
      <c r="A5" s="28" t="s">
        <v>758</v>
      </c>
      <c r="B5" s="28" t="s">
        <v>522</v>
      </c>
      <c r="C5" s="6" t="s">
        <v>1585</v>
      </c>
      <c r="D5" s="1" t="s">
        <v>454</v>
      </c>
      <c r="E5" s="1">
        <v>2172</v>
      </c>
      <c r="F5" s="28">
        <v>64</v>
      </c>
      <c r="G5" s="9">
        <v>63</v>
      </c>
      <c r="H5" s="1" t="s">
        <v>3073</v>
      </c>
      <c r="I5" s="1" t="s">
        <v>3073</v>
      </c>
      <c r="J5" t="str">
        <f t="shared" si="0"/>
        <v>http://www.badatelna.eu/reprodukce/?fondId=1073&amp;zaznamId=1108958&amp;reproId=3779805</v>
      </c>
      <c r="K5">
        <f>IF(LEN(TRIM(E5))=0,"",VLOOKUP(E5,Sheet2!$B$1:$E$19,2,FALSE))</f>
        <v>1073</v>
      </c>
      <c r="L5">
        <f>IF(LEN(TRIM(E5))=0,"",VLOOKUP(E5,Sheet2!$B$1:$E$19,3,FALSE))</f>
        <v>1108958</v>
      </c>
      <c r="M5">
        <f>IF(LEN(TRIM(E5))=0,"",VLOOKUP(E5,Sheet2!$B$1:$E$19,4,FALSE))+(F5-1)</f>
        <v>3779805</v>
      </c>
    </row>
    <row r="6" spans="1:13" s="1" customFormat="1" ht="15" customHeight="1" x14ac:dyDescent="0.25">
      <c r="A6" s="28" t="s">
        <v>232</v>
      </c>
      <c r="B6" s="28" t="s">
        <v>290</v>
      </c>
      <c r="C6" s="6" t="s">
        <v>1550</v>
      </c>
      <c r="D6" s="1" t="s">
        <v>454</v>
      </c>
      <c r="E6" s="1">
        <v>2172</v>
      </c>
      <c r="F6" s="28">
        <v>18</v>
      </c>
      <c r="G6" s="9">
        <v>17</v>
      </c>
      <c r="H6" s="1" t="s">
        <v>3073</v>
      </c>
      <c r="I6" s="1" t="s">
        <v>3073</v>
      </c>
      <c r="J6" t="str">
        <f t="shared" si="0"/>
        <v>http://www.badatelna.eu/reprodukce/?fondId=1073&amp;zaznamId=1108958&amp;reproId=3779759</v>
      </c>
      <c r="K6">
        <f>IF(LEN(TRIM(E6))=0,"",VLOOKUP(E6,Sheet2!$B$1:$E$19,2,FALSE))</f>
        <v>1073</v>
      </c>
      <c r="L6">
        <f>IF(LEN(TRIM(E6))=0,"",VLOOKUP(E6,Sheet2!$B$1:$E$19,3,FALSE))</f>
        <v>1108958</v>
      </c>
      <c r="M6">
        <f>IF(LEN(TRIM(E6))=0,"",VLOOKUP(E6,Sheet2!$B$1:$E$19,4,FALSE))+(F6-1)</f>
        <v>3779759</v>
      </c>
    </row>
    <row r="7" spans="1:13" s="1" customFormat="1" ht="15" customHeight="1" x14ac:dyDescent="0.25">
      <c r="A7" s="28" t="s">
        <v>232</v>
      </c>
      <c r="B7" s="28" t="s">
        <v>335</v>
      </c>
      <c r="C7" s="6" t="s">
        <v>1559</v>
      </c>
      <c r="D7" s="1" t="s">
        <v>454</v>
      </c>
      <c r="E7" s="1">
        <v>2172</v>
      </c>
      <c r="F7" s="28">
        <v>19</v>
      </c>
      <c r="G7" s="9" t="s">
        <v>1041</v>
      </c>
      <c r="H7" s="1">
        <v>24</v>
      </c>
      <c r="I7" s="1">
        <v>23</v>
      </c>
      <c r="J7" t="str">
        <f t="shared" si="0"/>
        <v>http://www.badatelna.eu/reprodukce/?fondId=1073&amp;zaznamId=1108958&amp;reproId=3779760</v>
      </c>
      <c r="K7">
        <f>IF(LEN(TRIM(E7))=0,"",VLOOKUP(E7,Sheet2!$B$1:$E$19,2,FALSE))</f>
        <v>1073</v>
      </c>
      <c r="L7">
        <f>IF(LEN(TRIM(E7))=0,"",VLOOKUP(E7,Sheet2!$B$1:$E$19,3,FALSE))</f>
        <v>1108958</v>
      </c>
      <c r="M7">
        <f>IF(LEN(TRIM(E7))=0,"",VLOOKUP(E7,Sheet2!$B$1:$E$19,4,FALSE))+(F7-1)</f>
        <v>3779760</v>
      </c>
    </row>
    <row r="8" spans="1:13" s="1" customFormat="1" ht="15" customHeight="1" x14ac:dyDescent="0.25">
      <c r="A8" s="28" t="s">
        <v>232</v>
      </c>
      <c r="B8" s="28" t="s">
        <v>493</v>
      </c>
      <c r="C8" s="6" t="s">
        <v>1494</v>
      </c>
      <c r="D8" s="1" t="s">
        <v>454</v>
      </c>
      <c r="E8" s="1">
        <v>2172</v>
      </c>
      <c r="F8" s="28">
        <v>6</v>
      </c>
      <c r="G8" s="9">
        <v>3</v>
      </c>
      <c r="H8" s="1">
        <v>8</v>
      </c>
      <c r="I8" s="1">
        <v>1</v>
      </c>
      <c r="J8" t="str">
        <f t="shared" si="0"/>
        <v>http://www.badatelna.eu/reprodukce/?fondId=1073&amp;zaznamId=1108958&amp;reproId=3779747</v>
      </c>
      <c r="K8">
        <f>IF(LEN(TRIM(E8))=0,"",VLOOKUP(E8,Sheet2!$B$1:$E$19,2,FALSE))</f>
        <v>1073</v>
      </c>
      <c r="L8">
        <f>IF(LEN(TRIM(E8))=0,"",VLOOKUP(E8,Sheet2!$B$1:$E$19,3,FALSE))</f>
        <v>1108958</v>
      </c>
      <c r="M8">
        <f>IF(LEN(TRIM(E8))=0,"",VLOOKUP(E8,Sheet2!$B$1:$E$19,4,FALSE))+(F8-1)</f>
        <v>3779747</v>
      </c>
    </row>
    <row r="9" spans="1:13" s="1" customFormat="1" ht="15" customHeight="1" x14ac:dyDescent="0.25">
      <c r="A9" s="28" t="s">
        <v>232</v>
      </c>
      <c r="B9" s="28" t="s">
        <v>40</v>
      </c>
      <c r="C9" s="6" t="s">
        <v>2529</v>
      </c>
      <c r="D9" s="1" t="s">
        <v>454</v>
      </c>
      <c r="E9" s="1">
        <v>2173</v>
      </c>
      <c r="F9" s="28">
        <v>207</v>
      </c>
      <c r="G9" s="17">
        <v>23</v>
      </c>
      <c r="H9" s="1" t="s">
        <v>3073</v>
      </c>
      <c r="I9" s="1" t="s">
        <v>3073</v>
      </c>
      <c r="J9" t="str">
        <f t="shared" si="0"/>
        <v>http://www.badatelna.eu/reprodukce/?fondId=1073&amp;zaznamId=1108959&amp;reproId=3780200</v>
      </c>
      <c r="K9">
        <f>IF(LEN(TRIM(E9))=0,"",VLOOKUP(E9,Sheet2!$B$1:$E$19,2,FALSE))</f>
        <v>1073</v>
      </c>
      <c r="L9">
        <f>IF(LEN(TRIM(E9))=0,"",VLOOKUP(E9,Sheet2!$B$1:$E$19,3,FALSE))</f>
        <v>1108959</v>
      </c>
      <c r="M9">
        <f>IF(LEN(TRIM(E9))=0,"",VLOOKUP(E9,Sheet2!$B$1:$E$19,4,FALSE))+(F9-1)</f>
        <v>3780200</v>
      </c>
    </row>
    <row r="10" spans="1:13" s="1" customFormat="1" ht="15" customHeight="1" x14ac:dyDescent="0.25">
      <c r="A10" s="27" t="s">
        <v>232</v>
      </c>
      <c r="B10" s="27" t="s">
        <v>40</v>
      </c>
      <c r="C10" s="5" t="s">
        <v>1045</v>
      </c>
      <c r="D10" s="3" t="s">
        <v>454</v>
      </c>
      <c r="E10" s="3">
        <v>2170</v>
      </c>
      <c r="F10" s="28">
        <v>29</v>
      </c>
      <c r="G10" s="10">
        <v>25</v>
      </c>
      <c r="H10" s="3">
        <v>60</v>
      </c>
      <c r="I10" s="3">
        <v>56</v>
      </c>
      <c r="J10" t="str">
        <f t="shared" si="0"/>
        <v>http://www.badatelna.eu/reprodukce/?fondId=1073&amp;zaznamId=1108956&amp;reproId=3779621</v>
      </c>
      <c r="K10">
        <f>IF(LEN(TRIM(E10))=0,"",VLOOKUP(E10,Sheet2!$B$1:$E$19,2,FALSE))</f>
        <v>1073</v>
      </c>
      <c r="L10">
        <f>IF(LEN(TRIM(E10))=0,"",VLOOKUP(E10,Sheet2!$B$1:$E$19,3,FALSE))</f>
        <v>1108956</v>
      </c>
      <c r="M10">
        <f>IF(LEN(TRIM(E10))=0,"",VLOOKUP(E10,Sheet2!$B$1:$E$19,4,FALSE))+(F10-1)</f>
        <v>3779621</v>
      </c>
    </row>
    <row r="11" spans="1:13" s="1" customFormat="1" ht="15" customHeight="1" x14ac:dyDescent="0.25">
      <c r="A11" s="28" t="s">
        <v>232</v>
      </c>
      <c r="B11" s="28" t="s">
        <v>155</v>
      </c>
      <c r="C11" s="6" t="s">
        <v>2706</v>
      </c>
      <c r="D11" s="1" t="s">
        <v>454</v>
      </c>
      <c r="E11" s="1">
        <v>2173</v>
      </c>
      <c r="F11" s="28">
        <v>225</v>
      </c>
      <c r="G11" s="9">
        <v>55</v>
      </c>
      <c r="H11" s="1" t="s">
        <v>3073</v>
      </c>
      <c r="I11" s="1" t="s">
        <v>3073</v>
      </c>
      <c r="J11" t="str">
        <f t="shared" si="0"/>
        <v>http://www.badatelna.eu/reprodukce/?fondId=1073&amp;zaznamId=1108959&amp;reproId=3780218</v>
      </c>
      <c r="K11">
        <f>IF(LEN(TRIM(E11))=0,"",VLOOKUP(E11,Sheet2!$B$1:$E$19,2,FALSE))</f>
        <v>1073</v>
      </c>
      <c r="L11">
        <f>IF(LEN(TRIM(E11))=0,"",VLOOKUP(E11,Sheet2!$B$1:$E$19,3,FALSE))</f>
        <v>1108959</v>
      </c>
      <c r="M11">
        <f>IF(LEN(TRIM(E11))=0,"",VLOOKUP(E11,Sheet2!$B$1:$E$19,4,FALSE))+(F11-1)</f>
        <v>3780218</v>
      </c>
    </row>
    <row r="12" spans="1:13" s="1" customFormat="1" ht="15" customHeight="1" x14ac:dyDescent="0.25">
      <c r="A12" s="28" t="s">
        <v>232</v>
      </c>
      <c r="B12" s="28" t="s">
        <v>3065</v>
      </c>
      <c r="C12" s="1">
        <v>1851</v>
      </c>
      <c r="D12" s="1" t="s">
        <v>2919</v>
      </c>
      <c r="E12" s="1">
        <v>998</v>
      </c>
      <c r="F12" s="28">
        <v>33</v>
      </c>
      <c r="G12" s="1">
        <v>31</v>
      </c>
      <c r="H12" s="1">
        <v>62</v>
      </c>
      <c r="I12" s="1">
        <v>59</v>
      </c>
      <c r="J12" t="str">
        <f t="shared" si="0"/>
        <v>http://www.badatelna.eu/reprodukce/?fondId=241&amp;zaznamId=1133738&amp;reproId=3885679</v>
      </c>
      <c r="K12">
        <f>IF(LEN(TRIM(E12))=0,"",VLOOKUP(E12,Sheet2!$B$1:$E$19,2,FALSE))</f>
        <v>241</v>
      </c>
      <c r="L12">
        <f>IF(LEN(TRIM(E12))=0,"",VLOOKUP(E12,Sheet2!$B$1:$E$19,3,FALSE))</f>
        <v>1133738</v>
      </c>
      <c r="M12">
        <f>IF(LEN(TRIM(E12))=0,"",VLOOKUP(E12,Sheet2!$B$1:$E$19,4,FALSE))+(F12-1)</f>
        <v>3885679</v>
      </c>
    </row>
    <row r="13" spans="1:13" s="1" customFormat="1" ht="15" customHeight="1" x14ac:dyDescent="0.25">
      <c r="A13" s="27" t="s">
        <v>232</v>
      </c>
      <c r="B13" s="27" t="s">
        <v>460</v>
      </c>
      <c r="C13" s="5" t="s">
        <v>1048</v>
      </c>
      <c r="D13" s="3" t="s">
        <v>454</v>
      </c>
      <c r="E13" s="3">
        <v>2170</v>
      </c>
      <c r="F13" s="28">
        <v>44</v>
      </c>
      <c r="G13" s="10">
        <v>40</v>
      </c>
      <c r="H13" s="3">
        <v>60</v>
      </c>
      <c r="I13" s="3">
        <v>56</v>
      </c>
      <c r="J13" t="str">
        <f t="shared" si="0"/>
        <v>http://www.badatelna.eu/reprodukce/?fondId=1073&amp;zaznamId=1108956&amp;reproId=3779636</v>
      </c>
      <c r="K13">
        <f>IF(LEN(TRIM(E13))=0,"",VLOOKUP(E13,Sheet2!$B$1:$E$19,2,FALSE))</f>
        <v>1073</v>
      </c>
      <c r="L13">
        <f>IF(LEN(TRIM(E13))=0,"",VLOOKUP(E13,Sheet2!$B$1:$E$19,3,FALSE))</f>
        <v>1108956</v>
      </c>
      <c r="M13">
        <f>IF(LEN(TRIM(E13))=0,"",VLOOKUP(E13,Sheet2!$B$1:$E$19,4,FALSE))+(F13-1)</f>
        <v>3779636</v>
      </c>
    </row>
    <row r="14" spans="1:13" s="1" customFormat="1" ht="15" customHeight="1" x14ac:dyDescent="0.25">
      <c r="A14" s="28" t="s">
        <v>232</v>
      </c>
      <c r="B14" s="28" t="s">
        <v>970</v>
      </c>
      <c r="C14" s="1">
        <v>1847</v>
      </c>
      <c r="D14" s="1" t="s">
        <v>2919</v>
      </c>
      <c r="E14" s="1">
        <v>998</v>
      </c>
      <c r="F14" s="28">
        <v>5</v>
      </c>
      <c r="G14" s="1">
        <v>3</v>
      </c>
      <c r="H14" s="1">
        <v>62</v>
      </c>
      <c r="I14" s="1">
        <v>59</v>
      </c>
      <c r="J14" t="str">
        <f t="shared" si="0"/>
        <v>http://www.badatelna.eu/reprodukce/?fondId=241&amp;zaznamId=1133738&amp;reproId=3885651</v>
      </c>
      <c r="K14">
        <f>IF(LEN(TRIM(E14))=0,"",VLOOKUP(E14,Sheet2!$B$1:$E$19,2,FALSE))</f>
        <v>241</v>
      </c>
      <c r="L14">
        <f>IF(LEN(TRIM(E14))=0,"",VLOOKUP(E14,Sheet2!$B$1:$E$19,3,FALSE))</f>
        <v>1133738</v>
      </c>
      <c r="M14">
        <f>IF(LEN(TRIM(E14))=0,"",VLOOKUP(E14,Sheet2!$B$1:$E$19,4,FALSE))+(F14-1)</f>
        <v>3885651</v>
      </c>
    </row>
    <row r="15" spans="1:13" s="1" customFormat="1" ht="15" customHeight="1" x14ac:dyDescent="0.25">
      <c r="A15" s="28" t="s">
        <v>232</v>
      </c>
      <c r="B15" s="28" t="s">
        <v>2920</v>
      </c>
      <c r="C15" s="1">
        <v>1847</v>
      </c>
      <c r="D15" s="1" t="s">
        <v>2919</v>
      </c>
      <c r="E15" s="1">
        <v>998</v>
      </c>
      <c r="F15" s="28">
        <v>4</v>
      </c>
      <c r="G15" s="1">
        <v>2</v>
      </c>
      <c r="H15" s="1">
        <v>62</v>
      </c>
      <c r="I15" s="1">
        <v>59</v>
      </c>
      <c r="J15" t="str">
        <f t="shared" si="0"/>
        <v>http://www.badatelna.eu/reprodukce/?fondId=241&amp;zaznamId=1133738&amp;reproId=3885650</v>
      </c>
      <c r="K15">
        <f>IF(LEN(TRIM(E15))=0,"",VLOOKUP(E15,Sheet2!$B$1:$E$19,2,FALSE))</f>
        <v>241</v>
      </c>
      <c r="L15">
        <f>IF(LEN(TRIM(E15))=0,"",VLOOKUP(E15,Sheet2!$B$1:$E$19,3,FALSE))</f>
        <v>1133738</v>
      </c>
      <c r="M15">
        <f>IF(LEN(TRIM(E15))=0,"",VLOOKUP(E15,Sheet2!$B$1:$E$19,4,FALSE))+(F15-1)</f>
        <v>3885650</v>
      </c>
    </row>
    <row r="16" spans="1:13" s="1" customFormat="1" ht="15" customHeight="1" x14ac:dyDescent="0.25">
      <c r="A16" s="28" t="s">
        <v>232</v>
      </c>
      <c r="B16" s="28" t="s">
        <v>443</v>
      </c>
      <c r="C16" s="1">
        <v>1863</v>
      </c>
      <c r="D16" s="1" t="s">
        <v>2919</v>
      </c>
      <c r="E16" s="1">
        <v>999</v>
      </c>
      <c r="F16" s="28">
        <v>83</v>
      </c>
      <c r="G16" s="1">
        <v>4</v>
      </c>
      <c r="H16" s="1">
        <v>94</v>
      </c>
      <c r="I16" s="1">
        <v>152</v>
      </c>
      <c r="J16" t="str">
        <f t="shared" si="0"/>
        <v>http://www.badatelna.eu/reprodukce/?fondId=241&amp;zaznamId=1133739&amp;reproId=3885812</v>
      </c>
      <c r="K16">
        <f>IF(LEN(TRIM(E16))=0,"",VLOOKUP(E16,Sheet2!$B$1:$E$19,2,FALSE))</f>
        <v>241</v>
      </c>
      <c r="L16">
        <f>IF(LEN(TRIM(E16))=0,"",VLOOKUP(E16,Sheet2!$B$1:$E$19,3,FALSE))</f>
        <v>1133739</v>
      </c>
      <c r="M16">
        <f>IF(LEN(TRIM(E16))=0,"",VLOOKUP(E16,Sheet2!$B$1:$E$19,4,FALSE))+(F16-1)</f>
        <v>3885812</v>
      </c>
    </row>
    <row r="17" spans="1:17" s="1" customFormat="1" ht="15" customHeight="1" x14ac:dyDescent="0.25">
      <c r="A17" s="27" t="s">
        <v>232</v>
      </c>
      <c r="B17" s="27" t="s">
        <v>461</v>
      </c>
      <c r="C17" s="5" t="s">
        <v>1047</v>
      </c>
      <c r="D17" s="3" t="s">
        <v>454</v>
      </c>
      <c r="E17" s="3">
        <v>2170</v>
      </c>
      <c r="F17" s="28">
        <v>7</v>
      </c>
      <c r="G17" s="10">
        <v>3</v>
      </c>
      <c r="H17" s="3">
        <v>60</v>
      </c>
      <c r="I17" s="3">
        <v>56</v>
      </c>
      <c r="J17" t="str">
        <f t="shared" si="0"/>
        <v>http://www.badatelna.eu/reprodukce/?fondId=1073&amp;zaznamId=1108956&amp;reproId=3779599</v>
      </c>
      <c r="K17">
        <f>IF(LEN(TRIM(E17))=0,"",VLOOKUP(E17,Sheet2!$B$1:$E$19,2,FALSE))</f>
        <v>1073</v>
      </c>
      <c r="L17">
        <f>IF(LEN(TRIM(E17))=0,"",VLOOKUP(E17,Sheet2!$B$1:$E$19,3,FALSE))</f>
        <v>1108956</v>
      </c>
      <c r="M17">
        <f>IF(LEN(TRIM(E17))=0,"",VLOOKUP(E17,Sheet2!$B$1:$E$19,4,FALSE))+(F17-1)</f>
        <v>3779599</v>
      </c>
    </row>
    <row r="18" spans="1:17" s="1" customFormat="1" ht="15" customHeight="1" x14ac:dyDescent="0.25">
      <c r="A18" s="28" t="s">
        <v>232</v>
      </c>
      <c r="B18" s="28" t="s">
        <v>340</v>
      </c>
      <c r="C18" s="1">
        <v>1854</v>
      </c>
      <c r="D18" s="1" t="s">
        <v>2919</v>
      </c>
      <c r="E18" s="1">
        <v>998</v>
      </c>
      <c r="F18" s="28">
        <v>41</v>
      </c>
      <c r="G18" s="1">
        <v>39</v>
      </c>
      <c r="H18" s="1">
        <v>62</v>
      </c>
      <c r="I18" s="1">
        <v>59</v>
      </c>
      <c r="J18" t="str">
        <f t="shared" si="0"/>
        <v>http://www.badatelna.eu/reprodukce/?fondId=241&amp;zaznamId=1133738&amp;reproId=3885687</v>
      </c>
      <c r="K18">
        <f>IF(LEN(TRIM(E18))=0,"",VLOOKUP(E18,Sheet2!$B$1:$E$19,2,FALSE))</f>
        <v>241</v>
      </c>
      <c r="L18">
        <f>IF(LEN(TRIM(E18))=0,"",VLOOKUP(E18,Sheet2!$B$1:$E$19,3,FALSE))</f>
        <v>1133738</v>
      </c>
      <c r="M18">
        <f>IF(LEN(TRIM(E18))=0,"",VLOOKUP(E18,Sheet2!$B$1:$E$19,4,FALSE))+(F18-1)</f>
        <v>3885687</v>
      </c>
    </row>
    <row r="19" spans="1:17" s="1" customFormat="1" ht="15" customHeight="1" x14ac:dyDescent="0.25">
      <c r="A19" s="28" t="s">
        <v>232</v>
      </c>
      <c r="B19" s="28" t="s">
        <v>16</v>
      </c>
      <c r="C19" s="6" t="s">
        <v>1979</v>
      </c>
      <c r="D19" s="1" t="s">
        <v>454</v>
      </c>
      <c r="E19" s="1">
        <v>2173</v>
      </c>
      <c r="F19" s="37">
        <v>182</v>
      </c>
      <c r="G19" s="9">
        <v>11</v>
      </c>
      <c r="H19" s="1">
        <v>184</v>
      </c>
      <c r="I19" s="1">
        <v>411</v>
      </c>
      <c r="J19" t="str">
        <f t="shared" si="0"/>
        <v>http://www.badatelna.eu/reprodukce/?fondId=1073&amp;zaznamId=1108959&amp;reproId=3780175</v>
      </c>
      <c r="K19">
        <f>IF(LEN(TRIM(E19))=0,"",VLOOKUP(E19,Sheet2!$B$1:$E$19,2,FALSE))</f>
        <v>1073</v>
      </c>
      <c r="L19">
        <f>IF(LEN(TRIM(E19))=0,"",VLOOKUP(E19,Sheet2!$B$1:$E$19,3,FALSE))</f>
        <v>1108959</v>
      </c>
      <c r="M19">
        <f>IF(LEN(TRIM(E19))=0,"",VLOOKUP(E19,Sheet2!$B$1:$E$19,4,FALSE))+(F19-1)</f>
        <v>3780175</v>
      </c>
    </row>
    <row r="20" spans="1:17" s="1" customFormat="1" ht="15" customHeight="1" x14ac:dyDescent="0.25">
      <c r="A20" s="28" t="s">
        <v>232</v>
      </c>
      <c r="B20" s="28" t="s">
        <v>49</v>
      </c>
      <c r="C20" s="6" t="s">
        <v>2631</v>
      </c>
      <c r="D20" s="1" t="s">
        <v>454</v>
      </c>
      <c r="E20" s="1">
        <v>2173</v>
      </c>
      <c r="F20" s="28">
        <v>221</v>
      </c>
      <c r="G20" s="9">
        <v>48</v>
      </c>
      <c r="H20" s="1" t="s">
        <v>3073</v>
      </c>
      <c r="I20" s="1" t="s">
        <v>3073</v>
      </c>
      <c r="J20" t="str">
        <f t="shared" si="0"/>
        <v>http://www.badatelna.eu/reprodukce/?fondId=1073&amp;zaznamId=1108959&amp;reproId=3780214</v>
      </c>
      <c r="K20">
        <f>IF(LEN(TRIM(E20))=0,"",VLOOKUP(E20,Sheet2!$B$1:$E$19,2,FALSE))</f>
        <v>1073</v>
      </c>
      <c r="L20">
        <f>IF(LEN(TRIM(E20))=0,"",VLOOKUP(E20,Sheet2!$B$1:$E$19,3,FALSE))</f>
        <v>1108959</v>
      </c>
      <c r="M20">
        <f>IF(LEN(TRIM(E20))=0,"",VLOOKUP(E20,Sheet2!$B$1:$E$19,4,FALSE))+(F20-1)</f>
        <v>3780214</v>
      </c>
    </row>
    <row r="21" spans="1:17" s="1" customFormat="1" ht="15" customHeight="1" x14ac:dyDescent="0.25">
      <c r="A21" s="28" t="s">
        <v>232</v>
      </c>
      <c r="B21" s="28" t="s">
        <v>462</v>
      </c>
      <c r="C21" s="1">
        <v>1863</v>
      </c>
      <c r="D21" s="1" t="s">
        <v>2919</v>
      </c>
      <c r="E21" s="1">
        <v>999</v>
      </c>
      <c r="F21" s="28">
        <v>82</v>
      </c>
      <c r="G21" s="1">
        <v>3</v>
      </c>
      <c r="H21" s="1">
        <v>94</v>
      </c>
      <c r="I21" s="1">
        <v>152</v>
      </c>
      <c r="J21" t="str">
        <f t="shared" si="0"/>
        <v>http://www.badatelna.eu/reprodukce/?fondId=241&amp;zaznamId=1133739&amp;reproId=3885811</v>
      </c>
      <c r="K21">
        <f>IF(LEN(TRIM(E21))=0,"",VLOOKUP(E21,Sheet2!$B$1:$E$19,2,FALSE))</f>
        <v>241</v>
      </c>
      <c r="L21">
        <f>IF(LEN(TRIM(E21))=0,"",VLOOKUP(E21,Sheet2!$B$1:$E$19,3,FALSE))</f>
        <v>1133739</v>
      </c>
      <c r="M21">
        <f>IF(LEN(TRIM(E21))=0,"",VLOOKUP(E21,Sheet2!$B$1:$E$19,4,FALSE))+(F21-1)</f>
        <v>3885811</v>
      </c>
    </row>
    <row r="22" spans="1:17" s="1" customFormat="1" ht="15" customHeight="1" x14ac:dyDescent="0.25">
      <c r="A22" s="28" t="s">
        <v>232</v>
      </c>
      <c r="B22" s="28" t="s">
        <v>462</v>
      </c>
      <c r="C22" s="6" t="s">
        <v>1953</v>
      </c>
      <c r="D22" s="1" t="s">
        <v>454</v>
      </c>
      <c r="E22" s="1">
        <v>2172</v>
      </c>
      <c r="F22" s="28">
        <v>231</v>
      </c>
      <c r="G22" s="9">
        <v>211</v>
      </c>
      <c r="H22" s="1" t="s">
        <v>3073</v>
      </c>
      <c r="I22" s="1" t="s">
        <v>3073</v>
      </c>
      <c r="J22" t="str">
        <f t="shared" si="0"/>
        <v>http://www.badatelna.eu/reprodukce/?fondId=1073&amp;zaznamId=1108958&amp;reproId=3779972</v>
      </c>
      <c r="K22">
        <f>IF(LEN(TRIM(E22))=0,"",VLOOKUP(E22,Sheet2!$B$1:$E$19,2,FALSE))</f>
        <v>1073</v>
      </c>
      <c r="L22">
        <f>IF(LEN(TRIM(E22))=0,"",VLOOKUP(E22,Sheet2!$B$1:$E$19,3,FALSE))</f>
        <v>1108958</v>
      </c>
      <c r="M22">
        <f>IF(LEN(TRIM(E22))=0,"",VLOOKUP(E22,Sheet2!$B$1:$E$19,4,FALSE))+(F22-1)</f>
        <v>3779972</v>
      </c>
    </row>
    <row r="23" spans="1:17" s="1" customFormat="1" ht="15" customHeight="1" x14ac:dyDescent="0.25">
      <c r="A23" s="27" t="s">
        <v>232</v>
      </c>
      <c r="B23" s="27" t="s">
        <v>3066</v>
      </c>
      <c r="C23" s="5" t="s">
        <v>1046</v>
      </c>
      <c r="D23" s="3" t="s">
        <v>454</v>
      </c>
      <c r="E23" s="3">
        <v>2170</v>
      </c>
      <c r="F23" s="28">
        <v>7</v>
      </c>
      <c r="G23" s="10">
        <v>3</v>
      </c>
      <c r="H23" s="3">
        <v>60</v>
      </c>
      <c r="I23" s="3">
        <v>56</v>
      </c>
      <c r="J23" t="str">
        <f t="shared" si="0"/>
        <v>http://www.badatelna.eu/reprodukce/?fondId=1073&amp;zaznamId=1108956&amp;reproId=3779599</v>
      </c>
      <c r="K23">
        <f>IF(LEN(TRIM(E23))=0,"",VLOOKUP(E23,Sheet2!$B$1:$E$19,2,FALSE))</f>
        <v>1073</v>
      </c>
      <c r="L23">
        <f>IF(LEN(TRIM(E23))=0,"",VLOOKUP(E23,Sheet2!$B$1:$E$19,3,FALSE))</f>
        <v>1108956</v>
      </c>
      <c r="M23">
        <f>IF(LEN(TRIM(E23))=0,"",VLOOKUP(E23,Sheet2!$B$1:$E$19,4,FALSE))+(F23-1)</f>
        <v>3779599</v>
      </c>
    </row>
    <row r="24" spans="1:17" s="1" customFormat="1" ht="15" customHeight="1" x14ac:dyDescent="0.25">
      <c r="A24" s="28" t="s">
        <v>232</v>
      </c>
      <c r="B24" s="28" t="s">
        <v>39</v>
      </c>
      <c r="C24" s="1">
        <v>1848</v>
      </c>
      <c r="D24" s="1" t="s">
        <v>2919</v>
      </c>
      <c r="E24" s="1">
        <v>998</v>
      </c>
      <c r="F24" s="28">
        <v>12</v>
      </c>
      <c r="G24" s="1">
        <v>10</v>
      </c>
      <c r="H24" s="1">
        <v>62</v>
      </c>
      <c r="I24" s="1">
        <v>59</v>
      </c>
      <c r="J24" t="str">
        <f t="shared" si="0"/>
        <v>http://www.badatelna.eu/reprodukce/?fondId=241&amp;zaznamId=1133738&amp;reproId=3885658</v>
      </c>
      <c r="K24">
        <f>IF(LEN(TRIM(E24))=0,"",VLOOKUP(E24,Sheet2!$B$1:$E$19,2,FALSE))</f>
        <v>241</v>
      </c>
      <c r="L24">
        <f>IF(LEN(TRIM(E24))=0,"",VLOOKUP(E24,Sheet2!$B$1:$E$19,3,FALSE))</f>
        <v>1133738</v>
      </c>
      <c r="M24">
        <f>IF(LEN(TRIM(E24))=0,"",VLOOKUP(E24,Sheet2!$B$1:$E$19,4,FALSE))+(F24-1)</f>
        <v>3885658</v>
      </c>
    </row>
    <row r="25" spans="1:17" s="1" customFormat="1" ht="15" customHeight="1" x14ac:dyDescent="0.25">
      <c r="A25" s="28" t="s">
        <v>232</v>
      </c>
      <c r="B25" s="28" t="s">
        <v>21</v>
      </c>
      <c r="C25" s="6" t="s">
        <v>1978</v>
      </c>
      <c r="D25" s="1" t="s">
        <v>454</v>
      </c>
      <c r="E25" s="1">
        <v>2173</v>
      </c>
      <c r="F25" s="28">
        <v>181</v>
      </c>
      <c r="G25" s="9">
        <v>9</v>
      </c>
      <c r="H25" s="1">
        <v>184</v>
      </c>
      <c r="I25" s="1">
        <v>411</v>
      </c>
      <c r="J25" t="str">
        <f t="shared" si="0"/>
        <v>http://www.badatelna.eu/reprodukce/?fondId=1073&amp;zaznamId=1108959&amp;reproId=3780174</v>
      </c>
      <c r="K25">
        <f>IF(LEN(TRIM(E25))=0,"",VLOOKUP(E25,Sheet2!$B$1:$E$19,2,FALSE))</f>
        <v>1073</v>
      </c>
      <c r="L25">
        <f>IF(LEN(TRIM(E25))=0,"",VLOOKUP(E25,Sheet2!$B$1:$E$19,3,FALSE))</f>
        <v>1108959</v>
      </c>
      <c r="M25">
        <f>IF(LEN(TRIM(E25))=0,"",VLOOKUP(E25,Sheet2!$B$1:$E$19,4,FALSE))+(F25-1)</f>
        <v>3780174</v>
      </c>
    </row>
    <row r="26" spans="1:17" s="1" customFormat="1" ht="15" customHeight="1" x14ac:dyDescent="0.25">
      <c r="A26" s="28" t="s">
        <v>232</v>
      </c>
      <c r="B26" s="28" t="s">
        <v>247</v>
      </c>
      <c r="C26" s="6" t="s">
        <v>1977</v>
      </c>
      <c r="D26" s="1" t="s">
        <v>454</v>
      </c>
      <c r="E26" s="1">
        <v>2173</v>
      </c>
      <c r="F26" s="28">
        <v>183</v>
      </c>
      <c r="G26" s="9">
        <v>13</v>
      </c>
      <c r="H26" s="1">
        <v>184</v>
      </c>
      <c r="I26" s="1">
        <v>411</v>
      </c>
      <c r="J26" t="str">
        <f t="shared" si="0"/>
        <v>http://www.badatelna.eu/reprodukce/?fondId=1073&amp;zaznamId=1108959&amp;reproId=3780176</v>
      </c>
      <c r="K26">
        <f>IF(LEN(TRIM(E26))=0,"",VLOOKUP(E26,Sheet2!$B$1:$E$19,2,FALSE))</f>
        <v>1073</v>
      </c>
      <c r="L26">
        <f>IF(LEN(TRIM(E26))=0,"",VLOOKUP(E26,Sheet2!$B$1:$E$19,3,FALSE))</f>
        <v>1108959</v>
      </c>
      <c r="M26">
        <f>IF(LEN(TRIM(E26))=0,"",VLOOKUP(E26,Sheet2!$B$1:$E$19,4,FALSE))+(F26-1)</f>
        <v>3780176</v>
      </c>
    </row>
    <row r="27" spans="1:17" s="1" customFormat="1" ht="15" customHeight="1" x14ac:dyDescent="0.25">
      <c r="A27" s="28" t="s">
        <v>232</v>
      </c>
      <c r="B27" s="28" t="s">
        <v>91</v>
      </c>
      <c r="C27" s="15">
        <v>13338</v>
      </c>
      <c r="D27" s="1" t="s">
        <v>454</v>
      </c>
      <c r="E27" s="1">
        <v>2172</v>
      </c>
      <c r="F27" s="28">
        <v>237</v>
      </c>
      <c r="G27" s="9">
        <v>217</v>
      </c>
      <c r="H27" s="1" t="s">
        <v>3073</v>
      </c>
      <c r="I27" s="1" t="s">
        <v>3073</v>
      </c>
      <c r="J27" t="str">
        <f t="shared" si="0"/>
        <v>http://www.badatelna.eu/reprodukce/?fondId=1073&amp;zaznamId=1108958&amp;reproId=3779978</v>
      </c>
      <c r="K27">
        <f>IF(LEN(TRIM(E27))=0,"",VLOOKUP(E27,Sheet2!$B$1:$E$19,2,FALSE))</f>
        <v>1073</v>
      </c>
      <c r="L27">
        <f>IF(LEN(TRIM(E27))=0,"",VLOOKUP(E27,Sheet2!$B$1:$E$19,3,FALSE))</f>
        <v>1108958</v>
      </c>
      <c r="M27">
        <f>IF(LEN(TRIM(E27))=0,"",VLOOKUP(E27,Sheet2!$B$1:$E$19,4,FALSE))+(F27-1)</f>
        <v>3779978</v>
      </c>
    </row>
    <row r="28" spans="1:17" s="1" customFormat="1" ht="15" customHeight="1" x14ac:dyDescent="0.25">
      <c r="A28" s="28" t="s">
        <v>759</v>
      </c>
      <c r="B28" s="28" t="s">
        <v>760</v>
      </c>
      <c r="C28" s="6" t="s">
        <v>1935</v>
      </c>
      <c r="D28" s="1" t="s">
        <v>454</v>
      </c>
      <c r="E28" s="1">
        <v>2172</v>
      </c>
      <c r="F28" s="28">
        <v>218</v>
      </c>
      <c r="G28" s="9">
        <v>202</v>
      </c>
      <c r="H28" s="1" t="s">
        <v>3073</v>
      </c>
      <c r="I28" s="1" t="s">
        <v>3073</v>
      </c>
      <c r="J28" t="str">
        <f t="shared" si="0"/>
        <v>http://www.badatelna.eu/reprodukce/?fondId=1073&amp;zaznamId=1108958&amp;reproId=3779959</v>
      </c>
      <c r="K28">
        <f>IF(LEN(TRIM(E28))=0,"",VLOOKUP(E28,Sheet2!$B$1:$E$19,2,FALSE))</f>
        <v>1073</v>
      </c>
      <c r="L28">
        <f>IF(LEN(TRIM(E28))=0,"",VLOOKUP(E28,Sheet2!$B$1:$E$19,3,FALSE))</f>
        <v>1108958</v>
      </c>
      <c r="M28">
        <f>IF(LEN(TRIM(E28))=0,"",VLOOKUP(E28,Sheet2!$B$1:$E$19,4,FALSE))+(F28-1)</f>
        <v>3779959</v>
      </c>
    </row>
    <row r="29" spans="1:17" s="1" customFormat="1" ht="15" customHeight="1" x14ac:dyDescent="0.25">
      <c r="A29" s="28" t="s">
        <v>761</v>
      </c>
      <c r="B29" s="28" t="s">
        <v>359</v>
      </c>
      <c r="C29" s="6" t="s">
        <v>1876</v>
      </c>
      <c r="D29" s="1" t="s">
        <v>454</v>
      </c>
      <c r="E29" s="1">
        <v>2172</v>
      </c>
      <c r="F29" s="28">
        <v>191</v>
      </c>
      <c r="G29" s="9">
        <v>181</v>
      </c>
      <c r="H29" s="1" t="s">
        <v>3073</v>
      </c>
      <c r="I29" s="1" t="s">
        <v>3073</v>
      </c>
      <c r="J29" t="str">
        <f t="shared" si="0"/>
        <v>http://www.badatelna.eu/reprodukce/?fondId=1073&amp;zaznamId=1108958&amp;reproId=3779932</v>
      </c>
      <c r="K29">
        <f>IF(LEN(TRIM(E29))=0,"",VLOOKUP(E29,Sheet2!$B$1:$E$19,2,FALSE))</f>
        <v>1073</v>
      </c>
      <c r="L29">
        <f>IF(LEN(TRIM(E29))=0,"",VLOOKUP(E29,Sheet2!$B$1:$E$19,3,FALSE))</f>
        <v>1108958</v>
      </c>
      <c r="M29">
        <f>IF(LEN(TRIM(E29))=0,"",VLOOKUP(E29,Sheet2!$B$1:$E$19,4,FALSE))+(F29-1)</f>
        <v>3779932</v>
      </c>
      <c r="N29"/>
      <c r="O29"/>
      <c r="P29"/>
      <c r="Q29"/>
    </row>
    <row r="30" spans="1:17" s="2" customFormat="1" ht="15" customHeight="1" x14ac:dyDescent="0.25">
      <c r="A30" s="28" t="s">
        <v>762</v>
      </c>
      <c r="B30" s="28" t="s">
        <v>763</v>
      </c>
      <c r="C30" s="6" t="s">
        <v>1632</v>
      </c>
      <c r="D30" s="1" t="s">
        <v>454</v>
      </c>
      <c r="E30" s="1">
        <v>2172</v>
      </c>
      <c r="F30" s="28">
        <v>95</v>
      </c>
      <c r="G30" s="9">
        <v>94</v>
      </c>
      <c r="H30" s="1">
        <v>96</v>
      </c>
      <c r="I30" s="1">
        <v>95</v>
      </c>
      <c r="J30" t="str">
        <f t="shared" si="0"/>
        <v>http://www.badatelna.eu/reprodukce/?fondId=1073&amp;zaznamId=1108958&amp;reproId=3779836</v>
      </c>
      <c r="K30">
        <f>IF(LEN(TRIM(E30))=0,"",VLOOKUP(E30,Sheet2!$B$1:$E$19,2,FALSE))</f>
        <v>1073</v>
      </c>
      <c r="L30">
        <f>IF(LEN(TRIM(E30))=0,"",VLOOKUP(E30,Sheet2!$B$1:$E$19,3,FALSE))</f>
        <v>1108958</v>
      </c>
      <c r="M30">
        <f>IF(LEN(TRIM(E30))=0,"",VLOOKUP(E30,Sheet2!$B$1:$E$19,4,FALSE))+(F30-1)</f>
        <v>3779836</v>
      </c>
      <c r="N30" s="1"/>
      <c r="O30" s="1"/>
      <c r="P30" s="1"/>
      <c r="Q30" s="1"/>
    </row>
    <row r="31" spans="1:17" s="2" customFormat="1" ht="15" customHeight="1" x14ac:dyDescent="0.25">
      <c r="A31" s="28" t="s">
        <v>764</v>
      </c>
      <c r="B31" s="28" t="s">
        <v>590</v>
      </c>
      <c r="C31" s="6" t="s">
        <v>1854</v>
      </c>
      <c r="D31" s="1" t="s">
        <v>454</v>
      </c>
      <c r="E31" s="1">
        <v>2172</v>
      </c>
      <c r="F31" s="28">
        <v>183</v>
      </c>
      <c r="G31" s="9">
        <v>174</v>
      </c>
      <c r="H31" s="1" t="s">
        <v>3073</v>
      </c>
      <c r="I31" s="1" t="s">
        <v>3073</v>
      </c>
      <c r="J31" t="str">
        <f t="shared" si="0"/>
        <v>http://www.badatelna.eu/reprodukce/?fondId=1073&amp;zaznamId=1108958&amp;reproId=3779924</v>
      </c>
      <c r="K31">
        <f>IF(LEN(TRIM(E31))=0,"",VLOOKUP(E31,Sheet2!$B$1:$E$19,2,FALSE))</f>
        <v>1073</v>
      </c>
      <c r="L31">
        <f>IF(LEN(TRIM(E31))=0,"",VLOOKUP(E31,Sheet2!$B$1:$E$19,3,FALSE))</f>
        <v>1108958</v>
      </c>
      <c r="M31">
        <f>IF(LEN(TRIM(E31))=0,"",VLOOKUP(E31,Sheet2!$B$1:$E$19,4,FALSE))+(F31-1)</f>
        <v>3779924</v>
      </c>
      <c r="N31" s="1"/>
      <c r="O31" s="1"/>
      <c r="P31" s="1"/>
      <c r="Q31" s="1"/>
    </row>
    <row r="32" spans="1:17" s="2" customFormat="1" ht="15" customHeight="1" x14ac:dyDescent="0.25">
      <c r="A32" s="27" t="s">
        <v>463</v>
      </c>
      <c r="B32" s="27" t="s">
        <v>420</v>
      </c>
      <c r="C32" s="5" t="s">
        <v>1049</v>
      </c>
      <c r="D32" s="3" t="s">
        <v>454</v>
      </c>
      <c r="E32" s="3">
        <v>2170</v>
      </c>
      <c r="F32" s="28">
        <v>36</v>
      </c>
      <c r="G32" s="10">
        <v>32</v>
      </c>
      <c r="H32" s="3">
        <v>60</v>
      </c>
      <c r="I32" s="3">
        <v>56</v>
      </c>
      <c r="J32" t="str">
        <f t="shared" si="0"/>
        <v>http://www.badatelna.eu/reprodukce/?fondId=1073&amp;zaznamId=1108956&amp;reproId=3779628</v>
      </c>
      <c r="K32">
        <f>IF(LEN(TRIM(E32))=0,"",VLOOKUP(E32,Sheet2!$B$1:$E$19,2,FALSE))</f>
        <v>1073</v>
      </c>
      <c r="L32">
        <f>IF(LEN(TRIM(E32))=0,"",VLOOKUP(E32,Sheet2!$B$1:$E$19,3,FALSE))</f>
        <v>1108956</v>
      </c>
      <c r="M32">
        <f>IF(LEN(TRIM(E32))=0,"",VLOOKUP(E32,Sheet2!$B$1:$E$19,4,FALSE))+(F32-1)</f>
        <v>3779628</v>
      </c>
      <c r="N32"/>
      <c r="O32"/>
      <c r="P32"/>
      <c r="Q32"/>
    </row>
    <row r="33" spans="1:17" s="2" customFormat="1" ht="15" customHeight="1" x14ac:dyDescent="0.25">
      <c r="A33" s="28" t="s">
        <v>110</v>
      </c>
      <c r="B33" s="28" t="s">
        <v>137</v>
      </c>
      <c r="C33" s="6" t="s">
        <v>2501</v>
      </c>
      <c r="D33" s="1" t="s">
        <v>454</v>
      </c>
      <c r="E33" s="1">
        <v>2173</v>
      </c>
      <c r="F33" s="28">
        <v>206</v>
      </c>
      <c r="G33" s="1">
        <v>21</v>
      </c>
      <c r="H33" s="1" t="s">
        <v>3073</v>
      </c>
      <c r="I33" s="1" t="s">
        <v>3073</v>
      </c>
      <c r="J33" t="str">
        <f t="shared" si="0"/>
        <v>http://www.badatelna.eu/reprodukce/?fondId=1073&amp;zaznamId=1108959&amp;reproId=3780199</v>
      </c>
      <c r="K33">
        <f>IF(LEN(TRIM(E33))=0,"",VLOOKUP(E33,Sheet2!$B$1:$E$19,2,FALSE))</f>
        <v>1073</v>
      </c>
      <c r="L33">
        <f>IF(LEN(TRIM(E33))=0,"",VLOOKUP(E33,Sheet2!$B$1:$E$19,3,FALSE))</f>
        <v>1108959</v>
      </c>
      <c r="M33">
        <f>IF(LEN(TRIM(E33))=0,"",VLOOKUP(E33,Sheet2!$B$1:$E$19,4,FALSE))+(F33-1)</f>
        <v>3780199</v>
      </c>
      <c r="N33" s="1"/>
      <c r="O33" s="1"/>
      <c r="P33" s="1"/>
      <c r="Q33" s="1"/>
    </row>
    <row r="34" spans="1:17" s="2" customFormat="1" ht="15" customHeight="1" x14ac:dyDescent="0.25">
      <c r="A34" s="28" t="s">
        <v>110</v>
      </c>
      <c r="B34" s="28" t="s">
        <v>40</v>
      </c>
      <c r="C34" s="6" t="s">
        <v>2307</v>
      </c>
      <c r="D34" s="1" t="s">
        <v>454</v>
      </c>
      <c r="E34" s="1">
        <v>2173</v>
      </c>
      <c r="F34" s="31">
        <v>199</v>
      </c>
      <c r="G34" s="9">
        <v>7</v>
      </c>
      <c r="H34" s="1" t="s">
        <v>3073</v>
      </c>
      <c r="I34" s="1" t="s">
        <v>3073</v>
      </c>
      <c r="J34" t="str">
        <f t="shared" si="0"/>
        <v>http://www.badatelna.eu/reprodukce/?fondId=1073&amp;zaznamId=1108959&amp;reproId=3780192</v>
      </c>
      <c r="K34">
        <f>IF(LEN(TRIM(E34))=0,"",VLOOKUP(E34,Sheet2!$B$1:$E$19,2,FALSE))</f>
        <v>1073</v>
      </c>
      <c r="L34">
        <f>IF(LEN(TRIM(E34))=0,"",VLOOKUP(E34,Sheet2!$B$1:$E$19,3,FALSE))</f>
        <v>1108959</v>
      </c>
      <c r="M34">
        <f>IF(LEN(TRIM(E34))=0,"",VLOOKUP(E34,Sheet2!$B$1:$E$19,4,FALSE))+(F34-1)</f>
        <v>3780192</v>
      </c>
      <c r="N34"/>
      <c r="O34"/>
      <c r="P34"/>
      <c r="Q34"/>
    </row>
    <row r="35" spans="1:17" s="2" customFormat="1" ht="15" customHeight="1" x14ac:dyDescent="0.25">
      <c r="A35" s="28" t="s">
        <v>110</v>
      </c>
      <c r="B35" s="28" t="s">
        <v>367</v>
      </c>
      <c r="C35" s="1">
        <v>1847</v>
      </c>
      <c r="D35" s="1" t="s">
        <v>2919</v>
      </c>
      <c r="E35" s="1">
        <v>998</v>
      </c>
      <c r="F35" s="28">
        <v>7</v>
      </c>
      <c r="G35" s="1">
        <v>5</v>
      </c>
      <c r="H35" s="1">
        <v>62</v>
      </c>
      <c r="I35" s="1">
        <v>59</v>
      </c>
      <c r="J35" t="str">
        <f t="shared" si="0"/>
        <v>http://www.badatelna.eu/reprodukce/?fondId=241&amp;zaznamId=1133738&amp;reproId=3885653</v>
      </c>
      <c r="K35">
        <f>IF(LEN(TRIM(E35))=0,"",VLOOKUP(E35,Sheet2!$B$1:$E$19,2,FALSE))</f>
        <v>241</v>
      </c>
      <c r="L35">
        <f>IF(LEN(TRIM(E35))=0,"",VLOOKUP(E35,Sheet2!$B$1:$E$19,3,FALSE))</f>
        <v>1133738</v>
      </c>
      <c r="M35">
        <f>IF(LEN(TRIM(E35))=0,"",VLOOKUP(E35,Sheet2!$B$1:$E$19,4,FALSE))+(F35-1)</f>
        <v>3885653</v>
      </c>
      <c r="N35" s="1"/>
      <c r="O35" s="1"/>
      <c r="P35" s="1"/>
      <c r="Q35" s="1"/>
    </row>
    <row r="36" spans="1:17" s="2" customFormat="1" ht="15" customHeight="1" x14ac:dyDescent="0.25">
      <c r="A36" s="28" t="s">
        <v>110</v>
      </c>
      <c r="B36" s="28" t="s">
        <v>247</v>
      </c>
      <c r="C36" s="6" t="s">
        <v>1980</v>
      </c>
      <c r="D36" s="1" t="s">
        <v>454</v>
      </c>
      <c r="E36" s="1">
        <v>2173</v>
      </c>
      <c r="F36" s="28">
        <v>181</v>
      </c>
      <c r="G36" s="9">
        <v>9</v>
      </c>
      <c r="H36" s="1">
        <v>184</v>
      </c>
      <c r="I36" s="1">
        <v>411</v>
      </c>
      <c r="J36" t="str">
        <f t="shared" si="0"/>
        <v>http://www.badatelna.eu/reprodukce/?fondId=1073&amp;zaznamId=1108959&amp;reproId=3780174</v>
      </c>
      <c r="K36">
        <f>IF(LEN(TRIM(E36))=0,"",VLOOKUP(E36,Sheet2!$B$1:$E$19,2,FALSE))</f>
        <v>1073</v>
      </c>
      <c r="L36">
        <f>IF(LEN(TRIM(E36))=0,"",VLOOKUP(E36,Sheet2!$B$1:$E$19,3,FALSE))</f>
        <v>1108959</v>
      </c>
      <c r="M36">
        <f>IF(LEN(TRIM(E36))=0,"",VLOOKUP(E36,Sheet2!$B$1:$E$19,4,FALSE))+(F36-1)</f>
        <v>3780174</v>
      </c>
      <c r="N36" s="1"/>
      <c r="O36" s="1"/>
      <c r="P36" s="1"/>
      <c r="Q36" s="1"/>
    </row>
    <row r="37" spans="1:17" s="2" customFormat="1" ht="15" customHeight="1" x14ac:dyDescent="0.25">
      <c r="A37" s="29" t="s">
        <v>176</v>
      </c>
      <c r="B37" s="28" t="s">
        <v>44</v>
      </c>
      <c r="C37" s="6" t="s">
        <v>2632</v>
      </c>
      <c r="D37" s="1" t="s">
        <v>454</v>
      </c>
      <c r="E37" s="1">
        <v>2173</v>
      </c>
      <c r="F37" s="28">
        <v>221</v>
      </c>
      <c r="G37" s="9">
        <v>49</v>
      </c>
      <c r="H37" s="1" t="s">
        <v>3073</v>
      </c>
      <c r="I37" s="1" t="s">
        <v>3073</v>
      </c>
      <c r="J37" t="str">
        <f t="shared" si="0"/>
        <v>http://www.badatelna.eu/reprodukce/?fondId=1073&amp;zaznamId=1108959&amp;reproId=3780214</v>
      </c>
      <c r="K37">
        <f>IF(LEN(TRIM(E37))=0,"",VLOOKUP(E37,Sheet2!$B$1:$E$19,2,FALSE))</f>
        <v>1073</v>
      </c>
      <c r="L37">
        <f>IF(LEN(TRIM(E37))=0,"",VLOOKUP(E37,Sheet2!$B$1:$E$19,3,FALSE))</f>
        <v>1108959</v>
      </c>
      <c r="M37">
        <f>IF(LEN(TRIM(E37))=0,"",VLOOKUP(E37,Sheet2!$B$1:$E$19,4,FALSE))+(F37-1)</f>
        <v>3780214</v>
      </c>
      <c r="N37" s="1"/>
      <c r="O37" s="1"/>
      <c r="P37" s="1"/>
      <c r="Q37" s="1"/>
    </row>
    <row r="38" spans="1:17" s="2" customFormat="1" ht="15" customHeight="1" x14ac:dyDescent="0.25">
      <c r="A38" s="28" t="s">
        <v>153</v>
      </c>
      <c r="B38" s="28" t="s">
        <v>137</v>
      </c>
      <c r="C38" s="6" t="s">
        <v>2364</v>
      </c>
      <c r="D38" s="1" t="s">
        <v>454</v>
      </c>
      <c r="E38" s="1">
        <v>2173</v>
      </c>
      <c r="F38" s="28">
        <v>201</v>
      </c>
      <c r="G38" s="9">
        <v>12</v>
      </c>
      <c r="H38" s="1" t="s">
        <v>3073</v>
      </c>
      <c r="I38" s="1" t="s">
        <v>3073</v>
      </c>
      <c r="J38" t="str">
        <f t="shared" si="0"/>
        <v>http://www.badatelna.eu/reprodukce/?fondId=1073&amp;zaznamId=1108959&amp;reproId=3780194</v>
      </c>
      <c r="K38">
        <f>IF(LEN(TRIM(E38))=0,"",VLOOKUP(E38,Sheet2!$B$1:$E$19,2,FALSE))</f>
        <v>1073</v>
      </c>
      <c r="L38">
        <f>IF(LEN(TRIM(E38))=0,"",VLOOKUP(E38,Sheet2!$B$1:$E$19,3,FALSE))</f>
        <v>1108959</v>
      </c>
      <c r="M38">
        <f>IF(LEN(TRIM(E38))=0,"",VLOOKUP(E38,Sheet2!$B$1:$E$19,4,FALSE))+(F38-1)</f>
        <v>3780194</v>
      </c>
      <c r="N38" s="1"/>
      <c r="O38" s="1"/>
      <c r="P38" s="1"/>
      <c r="Q38" s="1"/>
    </row>
    <row r="39" spans="1:17" s="2" customFormat="1" ht="15" customHeight="1" x14ac:dyDescent="0.25">
      <c r="A39" s="28" t="s">
        <v>252</v>
      </c>
      <c r="B39" s="28" t="s">
        <v>137</v>
      </c>
      <c r="C39" s="6" t="s">
        <v>2622</v>
      </c>
      <c r="D39" s="1" t="s">
        <v>454</v>
      </c>
      <c r="E39" s="1">
        <v>2173</v>
      </c>
      <c r="F39" s="28">
        <v>220</v>
      </c>
      <c r="G39" s="9">
        <v>48</v>
      </c>
      <c r="H39" s="1" t="s">
        <v>3073</v>
      </c>
      <c r="I39" s="1" t="s">
        <v>3073</v>
      </c>
      <c r="J39" t="str">
        <f t="shared" si="0"/>
        <v>http://www.badatelna.eu/reprodukce/?fondId=1073&amp;zaznamId=1108959&amp;reproId=3780213</v>
      </c>
      <c r="K39">
        <f>IF(LEN(TRIM(E39))=0,"",VLOOKUP(E39,Sheet2!$B$1:$E$19,2,FALSE))</f>
        <v>1073</v>
      </c>
      <c r="L39">
        <f>IF(LEN(TRIM(E39))=0,"",VLOOKUP(E39,Sheet2!$B$1:$E$19,3,FALSE))</f>
        <v>1108959</v>
      </c>
      <c r="M39">
        <f>IF(LEN(TRIM(E39))=0,"",VLOOKUP(E39,Sheet2!$B$1:$E$19,4,FALSE))+(F39-1)</f>
        <v>3780213</v>
      </c>
      <c r="N39" s="1"/>
      <c r="O39" s="1"/>
      <c r="P39" s="1"/>
      <c r="Q39" s="1"/>
    </row>
    <row r="40" spans="1:17" s="2" customFormat="1" ht="15" customHeight="1" x14ac:dyDescent="0.25">
      <c r="A40" s="28" t="s">
        <v>252</v>
      </c>
      <c r="B40" s="28" t="s">
        <v>2875</v>
      </c>
      <c r="C40" s="6" t="s">
        <v>2587</v>
      </c>
      <c r="D40" s="1" t="s">
        <v>454</v>
      </c>
      <c r="E40" s="1">
        <v>2173</v>
      </c>
      <c r="F40" s="28">
        <v>210</v>
      </c>
      <c r="G40" s="9" t="s">
        <v>2874</v>
      </c>
      <c r="H40" s="1" t="s">
        <v>3073</v>
      </c>
      <c r="I40" s="1" t="s">
        <v>3073</v>
      </c>
      <c r="J40" t="str">
        <f t="shared" si="0"/>
        <v>http://www.badatelna.eu/reprodukce/?fondId=1073&amp;zaznamId=1108959&amp;reproId=3780203</v>
      </c>
      <c r="K40">
        <f>IF(LEN(TRIM(E40))=0,"",VLOOKUP(E40,Sheet2!$B$1:$E$19,2,FALSE))</f>
        <v>1073</v>
      </c>
      <c r="L40">
        <f>IF(LEN(TRIM(E40))=0,"",VLOOKUP(E40,Sheet2!$B$1:$E$19,3,FALSE))</f>
        <v>1108959</v>
      </c>
      <c r="M40">
        <f>IF(LEN(TRIM(E40))=0,"",VLOOKUP(E40,Sheet2!$B$1:$E$19,4,FALSE))+(F40-1)</f>
        <v>3780203</v>
      </c>
      <c r="N40" s="1"/>
      <c r="O40" s="1"/>
      <c r="P40" s="1"/>
      <c r="Q40" s="1"/>
    </row>
    <row r="41" spans="1:17" s="2" customFormat="1" ht="15" customHeight="1" x14ac:dyDescent="0.25">
      <c r="A41" s="28" t="s">
        <v>252</v>
      </c>
      <c r="B41" s="28" t="s">
        <v>373</v>
      </c>
      <c r="C41" s="15">
        <v>4512</v>
      </c>
      <c r="D41" s="1" t="s">
        <v>454</v>
      </c>
      <c r="E41" s="1">
        <v>2172</v>
      </c>
      <c r="F41" s="28">
        <v>181</v>
      </c>
      <c r="G41" s="9">
        <v>173</v>
      </c>
      <c r="H41" s="1" t="s">
        <v>3073</v>
      </c>
      <c r="I41" s="1" t="s">
        <v>3073</v>
      </c>
      <c r="J41" t="str">
        <f t="shared" si="0"/>
        <v>http://www.badatelna.eu/reprodukce/?fondId=1073&amp;zaznamId=1108958&amp;reproId=3779922</v>
      </c>
      <c r="K41">
        <f>IF(LEN(TRIM(E41))=0,"",VLOOKUP(E41,Sheet2!$B$1:$E$19,2,FALSE))</f>
        <v>1073</v>
      </c>
      <c r="L41">
        <f>IF(LEN(TRIM(E41))=0,"",VLOOKUP(E41,Sheet2!$B$1:$E$19,3,FALSE))</f>
        <v>1108958</v>
      </c>
      <c r="M41">
        <f>IF(LEN(TRIM(E41))=0,"",VLOOKUP(E41,Sheet2!$B$1:$E$19,4,FALSE))+(F41-1)</f>
        <v>3779922</v>
      </c>
      <c r="N41" s="1"/>
      <c r="O41" s="1"/>
      <c r="P41" s="1"/>
      <c r="Q41" s="1"/>
    </row>
    <row r="42" spans="1:17" s="2" customFormat="1" ht="15" customHeight="1" x14ac:dyDescent="0.25">
      <c r="A42" s="28" t="s">
        <v>252</v>
      </c>
      <c r="B42" s="28" t="s">
        <v>172</v>
      </c>
      <c r="C42" s="6" t="s">
        <v>2581</v>
      </c>
      <c r="D42" s="1" t="s">
        <v>454</v>
      </c>
      <c r="E42" s="1">
        <v>2173</v>
      </c>
      <c r="F42" s="28">
        <v>215</v>
      </c>
      <c r="G42" s="9">
        <v>39</v>
      </c>
      <c r="H42" s="1" t="s">
        <v>3073</v>
      </c>
      <c r="I42" s="1" t="s">
        <v>3073</v>
      </c>
      <c r="J42" t="str">
        <f t="shared" si="0"/>
        <v>http://www.badatelna.eu/reprodukce/?fondId=1073&amp;zaznamId=1108959&amp;reproId=3780208</v>
      </c>
      <c r="K42">
        <f>IF(LEN(TRIM(E42))=0,"",VLOOKUP(E42,Sheet2!$B$1:$E$19,2,FALSE))</f>
        <v>1073</v>
      </c>
      <c r="L42">
        <f>IF(LEN(TRIM(E42))=0,"",VLOOKUP(E42,Sheet2!$B$1:$E$19,3,FALSE))</f>
        <v>1108959</v>
      </c>
      <c r="M42">
        <f>IF(LEN(TRIM(E42))=0,"",VLOOKUP(E42,Sheet2!$B$1:$E$19,4,FALSE))+(F42-1)</f>
        <v>3780208</v>
      </c>
      <c r="N42" s="1"/>
      <c r="O42" s="1"/>
      <c r="P42" s="1"/>
      <c r="Q42" s="1"/>
    </row>
    <row r="43" spans="1:17" s="2" customFormat="1" ht="15" customHeight="1" x14ac:dyDescent="0.25">
      <c r="A43" s="28" t="s">
        <v>252</v>
      </c>
      <c r="B43" s="28" t="s">
        <v>2924</v>
      </c>
      <c r="C43" s="1">
        <v>1849</v>
      </c>
      <c r="D43" s="1" t="s">
        <v>2919</v>
      </c>
      <c r="E43" s="1">
        <v>998</v>
      </c>
      <c r="F43" s="28">
        <v>26</v>
      </c>
      <c r="G43" s="1">
        <v>24</v>
      </c>
      <c r="H43" s="1">
        <v>63</v>
      </c>
      <c r="I43" s="1">
        <v>60</v>
      </c>
      <c r="J43" t="str">
        <f t="shared" si="0"/>
        <v>http://www.badatelna.eu/reprodukce/?fondId=241&amp;zaznamId=1133738&amp;reproId=3885672</v>
      </c>
      <c r="K43">
        <f>IF(LEN(TRIM(E43))=0,"",VLOOKUP(E43,Sheet2!$B$1:$E$19,2,FALSE))</f>
        <v>241</v>
      </c>
      <c r="L43">
        <f>IF(LEN(TRIM(E43))=0,"",VLOOKUP(E43,Sheet2!$B$1:$E$19,3,FALSE))</f>
        <v>1133738</v>
      </c>
      <c r="M43">
        <f>IF(LEN(TRIM(E43))=0,"",VLOOKUP(E43,Sheet2!$B$1:$E$19,4,FALSE))+(F43-1)</f>
        <v>3885672</v>
      </c>
      <c r="N43" s="1"/>
      <c r="O43" s="1"/>
      <c r="P43" s="1"/>
      <c r="Q43" s="1"/>
    </row>
    <row r="44" spans="1:17" s="2" customFormat="1" ht="15" customHeight="1" x14ac:dyDescent="0.25">
      <c r="A44" s="28" t="s">
        <v>252</v>
      </c>
      <c r="B44" s="28" t="s">
        <v>274</v>
      </c>
      <c r="C44" s="1">
        <v>1853</v>
      </c>
      <c r="D44" s="1" t="s">
        <v>2919</v>
      </c>
      <c r="E44" s="1">
        <v>998</v>
      </c>
      <c r="F44" s="28">
        <v>38</v>
      </c>
      <c r="G44" s="1">
        <v>36</v>
      </c>
      <c r="H44" s="1">
        <v>63</v>
      </c>
      <c r="I44" s="1">
        <v>60</v>
      </c>
      <c r="J44" t="str">
        <f t="shared" si="0"/>
        <v>http://www.badatelna.eu/reprodukce/?fondId=241&amp;zaznamId=1133738&amp;reproId=3885684</v>
      </c>
      <c r="K44">
        <f>IF(LEN(TRIM(E44))=0,"",VLOOKUP(E44,Sheet2!$B$1:$E$19,2,FALSE))</f>
        <v>241</v>
      </c>
      <c r="L44">
        <f>IF(LEN(TRIM(E44))=0,"",VLOOKUP(E44,Sheet2!$B$1:$E$19,3,FALSE))</f>
        <v>1133738</v>
      </c>
      <c r="M44">
        <f>IF(LEN(TRIM(E44))=0,"",VLOOKUP(E44,Sheet2!$B$1:$E$19,4,FALSE))+(F44-1)</f>
        <v>3885684</v>
      </c>
      <c r="N44"/>
      <c r="O44"/>
      <c r="P44"/>
      <c r="Q44"/>
    </row>
    <row r="45" spans="1:17" s="2" customFormat="1" ht="15" customHeight="1" x14ac:dyDescent="0.25">
      <c r="A45" s="28" t="s">
        <v>252</v>
      </c>
      <c r="B45" s="28" t="s">
        <v>314</v>
      </c>
      <c r="C45" s="6" t="s">
        <v>1633</v>
      </c>
      <c r="D45" s="1" t="s">
        <v>454</v>
      </c>
      <c r="E45" s="1">
        <v>2172</v>
      </c>
      <c r="F45" s="28">
        <v>93</v>
      </c>
      <c r="G45" s="9">
        <v>92</v>
      </c>
      <c r="H45" s="1">
        <v>96</v>
      </c>
      <c r="I45" s="1">
        <v>95</v>
      </c>
      <c r="J45" t="str">
        <f t="shared" si="0"/>
        <v>http://www.badatelna.eu/reprodukce/?fondId=1073&amp;zaznamId=1108958&amp;reproId=3779834</v>
      </c>
      <c r="K45">
        <f>IF(LEN(TRIM(E45))=0,"",VLOOKUP(E45,Sheet2!$B$1:$E$19,2,FALSE))</f>
        <v>1073</v>
      </c>
      <c r="L45">
        <f>IF(LEN(TRIM(E45))=0,"",VLOOKUP(E45,Sheet2!$B$1:$E$19,3,FALSE))</f>
        <v>1108958</v>
      </c>
      <c r="M45">
        <f>IF(LEN(TRIM(E45))=0,"",VLOOKUP(E45,Sheet2!$B$1:$E$19,4,FALSE))+(F45-1)</f>
        <v>3779834</v>
      </c>
      <c r="N45" s="1"/>
      <c r="O45" s="1"/>
      <c r="P45" s="1"/>
      <c r="Q45" s="1"/>
    </row>
    <row r="46" spans="1:17" s="2" customFormat="1" ht="15" customHeight="1" x14ac:dyDescent="0.25">
      <c r="A46" s="28" t="s">
        <v>252</v>
      </c>
      <c r="B46" s="28" t="s">
        <v>48</v>
      </c>
      <c r="C46" s="6" t="s">
        <v>1983</v>
      </c>
      <c r="D46" s="1" t="s">
        <v>454</v>
      </c>
      <c r="E46" s="1">
        <v>2173</v>
      </c>
      <c r="F46" s="28">
        <v>178</v>
      </c>
      <c r="G46" s="9" t="s">
        <v>2774</v>
      </c>
      <c r="H46" s="1">
        <v>185</v>
      </c>
      <c r="I46" s="1">
        <v>412</v>
      </c>
      <c r="J46" t="str">
        <f t="shared" si="0"/>
        <v>http://www.badatelna.eu/reprodukce/?fondId=1073&amp;zaznamId=1108959&amp;reproId=3780171</v>
      </c>
      <c r="K46">
        <f>IF(LEN(TRIM(E46))=0,"",VLOOKUP(E46,Sheet2!$B$1:$E$19,2,FALSE))</f>
        <v>1073</v>
      </c>
      <c r="L46">
        <f>IF(LEN(TRIM(E46))=0,"",VLOOKUP(E46,Sheet2!$B$1:$E$19,3,FALSE))</f>
        <v>1108959</v>
      </c>
      <c r="M46">
        <f>IF(LEN(TRIM(E46))=0,"",VLOOKUP(E46,Sheet2!$B$1:$E$19,4,FALSE))+(F46-1)</f>
        <v>3780171</v>
      </c>
    </row>
    <row r="47" spans="1:17" s="2" customFormat="1" ht="15" customHeight="1" x14ac:dyDescent="0.25">
      <c r="A47" s="28" t="s">
        <v>252</v>
      </c>
      <c r="B47" s="28" t="s">
        <v>265</v>
      </c>
      <c r="C47" s="6" t="s">
        <v>1982</v>
      </c>
      <c r="D47" s="1" t="s">
        <v>454</v>
      </c>
      <c r="E47" s="1">
        <v>2173</v>
      </c>
      <c r="F47" s="28">
        <v>180</v>
      </c>
      <c r="G47" s="9">
        <v>7</v>
      </c>
      <c r="H47" s="1">
        <v>185</v>
      </c>
      <c r="I47" s="1">
        <v>412</v>
      </c>
      <c r="J47" t="str">
        <f t="shared" si="0"/>
        <v>http://www.badatelna.eu/reprodukce/?fondId=1073&amp;zaznamId=1108959&amp;reproId=3780173</v>
      </c>
      <c r="K47">
        <f>IF(LEN(TRIM(E47))=0,"",VLOOKUP(E47,Sheet2!$B$1:$E$19,2,FALSE))</f>
        <v>1073</v>
      </c>
      <c r="L47">
        <f>IF(LEN(TRIM(E47))=0,"",VLOOKUP(E47,Sheet2!$B$1:$E$19,3,FALSE))</f>
        <v>1108959</v>
      </c>
      <c r="M47">
        <f>IF(LEN(TRIM(E47))=0,"",VLOOKUP(E47,Sheet2!$B$1:$E$19,4,FALSE))+(F47-1)</f>
        <v>3780173</v>
      </c>
    </row>
    <row r="48" spans="1:17" s="2" customFormat="1" ht="15" customHeight="1" x14ac:dyDescent="0.25">
      <c r="A48" s="28" t="s">
        <v>252</v>
      </c>
      <c r="B48" s="28" t="s">
        <v>254</v>
      </c>
      <c r="C48" s="6" t="s">
        <v>1984</v>
      </c>
      <c r="D48" s="1" t="s">
        <v>454</v>
      </c>
      <c r="E48" s="1">
        <v>2173</v>
      </c>
      <c r="F48" s="28">
        <v>178</v>
      </c>
      <c r="G48" s="9">
        <v>3</v>
      </c>
      <c r="H48" s="1">
        <v>185</v>
      </c>
      <c r="I48" s="1">
        <v>412</v>
      </c>
      <c r="J48" t="str">
        <f t="shared" si="0"/>
        <v>http://www.badatelna.eu/reprodukce/?fondId=1073&amp;zaznamId=1108959&amp;reproId=3780171</v>
      </c>
      <c r="K48">
        <f>IF(LEN(TRIM(E48))=0,"",VLOOKUP(E48,Sheet2!$B$1:$E$19,2,FALSE))</f>
        <v>1073</v>
      </c>
      <c r="L48">
        <f>IF(LEN(TRIM(E48))=0,"",VLOOKUP(E48,Sheet2!$B$1:$E$19,3,FALSE))</f>
        <v>1108959</v>
      </c>
      <c r="M48">
        <f>IF(LEN(TRIM(E48))=0,"",VLOOKUP(E48,Sheet2!$B$1:$E$19,4,FALSE))+(F48-1)</f>
        <v>3780171</v>
      </c>
    </row>
    <row r="49" spans="1:17" s="2" customFormat="1" ht="15" customHeight="1" x14ac:dyDescent="0.25">
      <c r="A49" s="28" t="s">
        <v>252</v>
      </c>
      <c r="B49" s="28" t="s">
        <v>13</v>
      </c>
      <c r="C49" s="6" t="s">
        <v>2835</v>
      </c>
      <c r="D49" s="1" t="s">
        <v>454</v>
      </c>
      <c r="E49" s="1">
        <v>2173</v>
      </c>
      <c r="F49" s="28">
        <v>209</v>
      </c>
      <c r="G49" s="9" t="s">
        <v>2757</v>
      </c>
      <c r="H49" s="1" t="s">
        <v>3073</v>
      </c>
      <c r="I49" s="1" t="s">
        <v>3073</v>
      </c>
      <c r="J49" t="str">
        <f t="shared" si="0"/>
        <v>http://www.badatelna.eu/reprodukce/?fondId=1073&amp;zaznamId=1108959&amp;reproId=3780202</v>
      </c>
      <c r="K49">
        <f>IF(LEN(TRIM(E49))=0,"",VLOOKUP(E49,Sheet2!$B$1:$E$19,2,FALSE))</f>
        <v>1073</v>
      </c>
      <c r="L49">
        <f>IF(LEN(TRIM(E49))=0,"",VLOOKUP(E49,Sheet2!$B$1:$E$19,3,FALSE))</f>
        <v>1108959</v>
      </c>
      <c r="M49">
        <f>IF(LEN(TRIM(E49))=0,"",VLOOKUP(E49,Sheet2!$B$1:$E$19,4,FALSE))+(F49-1)</f>
        <v>3780202</v>
      </c>
    </row>
    <row r="50" spans="1:17" s="2" customFormat="1" ht="15" customHeight="1" x14ac:dyDescent="0.25">
      <c r="A50" s="27" t="s">
        <v>1036</v>
      </c>
      <c r="B50" s="27" t="s">
        <v>1037</v>
      </c>
      <c r="C50" s="5" t="s">
        <v>1258</v>
      </c>
      <c r="D50" s="3" t="s">
        <v>454</v>
      </c>
      <c r="E50" s="3">
        <v>2170</v>
      </c>
      <c r="F50" s="28">
        <v>58</v>
      </c>
      <c r="G50" s="10">
        <v>54</v>
      </c>
      <c r="H50" s="3">
        <v>67</v>
      </c>
      <c r="I50" s="3">
        <v>63</v>
      </c>
      <c r="J50" t="str">
        <f t="shared" si="0"/>
        <v>http://www.badatelna.eu/reprodukce/?fondId=1073&amp;zaznamId=1108956&amp;reproId=3779650</v>
      </c>
      <c r="K50">
        <f>IF(LEN(TRIM(E50))=0,"",VLOOKUP(E50,Sheet2!$B$1:$E$19,2,FALSE))</f>
        <v>1073</v>
      </c>
      <c r="L50">
        <f>IF(LEN(TRIM(E50))=0,"",VLOOKUP(E50,Sheet2!$B$1:$E$19,3,FALSE))</f>
        <v>1108956</v>
      </c>
      <c r="M50">
        <f>IF(LEN(TRIM(E50))=0,"",VLOOKUP(E50,Sheet2!$B$1:$E$19,4,FALSE))+(F50-1)</f>
        <v>3779650</v>
      </c>
      <c r="N50" s="1"/>
      <c r="O50" s="1"/>
      <c r="P50" s="1"/>
      <c r="Q50" s="1"/>
    </row>
    <row r="51" spans="1:17" s="2" customFormat="1" ht="15" customHeight="1" x14ac:dyDescent="0.25">
      <c r="A51" s="28" t="s">
        <v>765</v>
      </c>
      <c r="B51" s="28" t="s">
        <v>522</v>
      </c>
      <c r="C51" s="15">
        <v>12399</v>
      </c>
      <c r="D51" s="1" t="s">
        <v>454</v>
      </c>
      <c r="E51" s="1">
        <v>2172</v>
      </c>
      <c r="F51" s="28">
        <v>227</v>
      </c>
      <c r="G51" s="9">
        <v>208</v>
      </c>
      <c r="H51" s="1" t="s">
        <v>3073</v>
      </c>
      <c r="I51" s="1" t="s">
        <v>3073</v>
      </c>
      <c r="J51" t="str">
        <f t="shared" si="0"/>
        <v>http://www.badatelna.eu/reprodukce/?fondId=1073&amp;zaznamId=1108958&amp;reproId=3779968</v>
      </c>
      <c r="K51">
        <f>IF(LEN(TRIM(E51))=0,"",VLOOKUP(E51,Sheet2!$B$1:$E$19,2,FALSE))</f>
        <v>1073</v>
      </c>
      <c r="L51">
        <f>IF(LEN(TRIM(E51))=0,"",VLOOKUP(E51,Sheet2!$B$1:$E$19,3,FALSE))</f>
        <v>1108958</v>
      </c>
      <c r="M51">
        <f>IF(LEN(TRIM(E51))=0,"",VLOOKUP(E51,Sheet2!$B$1:$E$19,4,FALSE))+(F51-1)</f>
        <v>3779968</v>
      </c>
    </row>
    <row r="52" spans="1:17" s="2" customFormat="1" ht="15" customHeight="1" x14ac:dyDescent="0.25">
      <c r="A52" s="28" t="s">
        <v>464</v>
      </c>
      <c r="B52" s="28" t="s">
        <v>33</v>
      </c>
      <c r="C52" s="6" t="s">
        <v>1495</v>
      </c>
      <c r="D52" s="1" t="s">
        <v>454</v>
      </c>
      <c r="E52" s="1">
        <v>2172</v>
      </c>
      <c r="F52" s="28">
        <v>5</v>
      </c>
      <c r="G52" s="9">
        <v>2</v>
      </c>
      <c r="H52" s="1">
        <v>8</v>
      </c>
      <c r="I52" s="1">
        <v>1</v>
      </c>
      <c r="J52" t="str">
        <f t="shared" si="0"/>
        <v>http://www.badatelna.eu/reprodukce/?fondId=1073&amp;zaznamId=1108958&amp;reproId=3779746</v>
      </c>
      <c r="K52">
        <f>IF(LEN(TRIM(E52))=0,"",VLOOKUP(E52,Sheet2!$B$1:$E$19,2,FALSE))</f>
        <v>1073</v>
      </c>
      <c r="L52">
        <f>IF(LEN(TRIM(E52))=0,"",VLOOKUP(E52,Sheet2!$B$1:$E$19,3,FALSE))</f>
        <v>1108958</v>
      </c>
      <c r="M52">
        <f>IF(LEN(TRIM(E52))=0,"",VLOOKUP(E52,Sheet2!$B$1:$E$19,4,FALSE))+(F52-1)</f>
        <v>3779746</v>
      </c>
      <c r="N52" s="1"/>
      <c r="O52" s="1"/>
      <c r="P52" s="1"/>
      <c r="Q52" s="1"/>
    </row>
    <row r="53" spans="1:17" s="2" customFormat="1" ht="15" customHeight="1" x14ac:dyDescent="0.25">
      <c r="A53" s="27" t="s">
        <v>464</v>
      </c>
      <c r="B53" s="27" t="s">
        <v>465</v>
      </c>
      <c r="C53" s="5" t="s">
        <v>1067</v>
      </c>
      <c r="D53" s="3" t="s">
        <v>454</v>
      </c>
      <c r="E53" s="3">
        <v>2170</v>
      </c>
      <c r="F53" s="28">
        <v>32</v>
      </c>
      <c r="G53" s="10">
        <v>28</v>
      </c>
      <c r="H53" s="3">
        <v>61</v>
      </c>
      <c r="I53" s="3">
        <v>57</v>
      </c>
      <c r="J53" t="str">
        <f t="shared" si="0"/>
        <v>http://www.badatelna.eu/reprodukce/?fondId=1073&amp;zaznamId=1108956&amp;reproId=3779624</v>
      </c>
      <c r="K53">
        <f>IF(LEN(TRIM(E53))=0,"",VLOOKUP(E53,Sheet2!$B$1:$E$19,2,FALSE))</f>
        <v>1073</v>
      </c>
      <c r="L53">
        <f>IF(LEN(TRIM(E53))=0,"",VLOOKUP(E53,Sheet2!$B$1:$E$19,3,FALSE))</f>
        <v>1108956</v>
      </c>
      <c r="M53">
        <f>IF(LEN(TRIM(E53))=0,"",VLOOKUP(E53,Sheet2!$B$1:$E$19,4,FALSE))+(F53-1)</f>
        <v>3779624</v>
      </c>
    </row>
    <row r="54" spans="1:17" s="2" customFormat="1" ht="15" customHeight="1" x14ac:dyDescent="0.25">
      <c r="A54" s="28" t="s">
        <v>464</v>
      </c>
      <c r="B54" s="28" t="s">
        <v>766</v>
      </c>
      <c r="C54" s="6" t="s">
        <v>1603</v>
      </c>
      <c r="D54" s="1" t="s">
        <v>454</v>
      </c>
      <c r="E54" s="1">
        <v>2172</v>
      </c>
      <c r="F54" s="28">
        <v>74</v>
      </c>
      <c r="G54" s="9" t="s">
        <v>2764</v>
      </c>
      <c r="H54" s="1">
        <v>76</v>
      </c>
      <c r="I54" s="1">
        <v>75</v>
      </c>
      <c r="J54" t="str">
        <f t="shared" si="0"/>
        <v>http://www.badatelna.eu/reprodukce/?fondId=1073&amp;zaznamId=1108958&amp;reproId=3779815</v>
      </c>
      <c r="K54">
        <f>IF(LEN(TRIM(E54))=0,"",VLOOKUP(E54,Sheet2!$B$1:$E$19,2,FALSE))</f>
        <v>1073</v>
      </c>
      <c r="L54">
        <f>IF(LEN(TRIM(E54))=0,"",VLOOKUP(E54,Sheet2!$B$1:$E$19,3,FALSE))</f>
        <v>1108958</v>
      </c>
      <c r="M54">
        <f>IF(LEN(TRIM(E54))=0,"",VLOOKUP(E54,Sheet2!$B$1:$E$19,4,FALSE))+(F54-1)</f>
        <v>3779815</v>
      </c>
    </row>
    <row r="55" spans="1:17" s="2" customFormat="1" ht="15" customHeight="1" x14ac:dyDescent="0.25">
      <c r="A55" s="27" t="s">
        <v>464</v>
      </c>
      <c r="B55" s="27" t="s">
        <v>466</v>
      </c>
      <c r="C55" s="5" t="s">
        <v>1050</v>
      </c>
      <c r="D55" s="3" t="s">
        <v>454</v>
      </c>
      <c r="E55" s="3">
        <v>2170</v>
      </c>
      <c r="F55" s="28">
        <v>14</v>
      </c>
      <c r="G55" s="10">
        <v>10</v>
      </c>
      <c r="H55" s="3">
        <v>60</v>
      </c>
      <c r="I55" s="3">
        <v>56</v>
      </c>
      <c r="J55" t="str">
        <f t="shared" si="0"/>
        <v>http://www.badatelna.eu/reprodukce/?fondId=1073&amp;zaznamId=1108956&amp;reproId=3779606</v>
      </c>
      <c r="K55">
        <f>IF(LEN(TRIM(E55))=0,"",VLOOKUP(E55,Sheet2!$B$1:$E$19,2,FALSE))</f>
        <v>1073</v>
      </c>
      <c r="L55">
        <f>IF(LEN(TRIM(E55))=0,"",VLOOKUP(E55,Sheet2!$B$1:$E$19,3,FALSE))</f>
        <v>1108956</v>
      </c>
      <c r="M55">
        <f>IF(LEN(TRIM(E55))=0,"",VLOOKUP(E55,Sheet2!$B$1:$E$19,4,FALSE))+(F55-1)</f>
        <v>3779606</v>
      </c>
    </row>
    <row r="56" spans="1:17" s="2" customFormat="1" ht="15" customHeight="1" x14ac:dyDescent="0.25">
      <c r="A56" s="28" t="s">
        <v>464</v>
      </c>
      <c r="B56" s="28" t="s">
        <v>767</v>
      </c>
      <c r="C56" s="1">
        <v>1891</v>
      </c>
      <c r="D56" s="1" t="s">
        <v>454</v>
      </c>
      <c r="E56" s="1">
        <v>2172</v>
      </c>
      <c r="F56" s="28">
        <v>82</v>
      </c>
      <c r="G56" s="9">
        <v>81</v>
      </c>
      <c r="H56" s="1">
        <v>83</v>
      </c>
      <c r="I56" s="1">
        <v>82</v>
      </c>
      <c r="J56" t="str">
        <f t="shared" si="0"/>
        <v>http://www.badatelna.eu/reprodukce/?fondId=1073&amp;zaznamId=1108958&amp;reproId=3779823</v>
      </c>
      <c r="K56">
        <f>IF(LEN(TRIM(E56))=0,"",VLOOKUP(E56,Sheet2!$B$1:$E$19,2,FALSE))</f>
        <v>1073</v>
      </c>
      <c r="L56">
        <f>IF(LEN(TRIM(E56))=0,"",VLOOKUP(E56,Sheet2!$B$1:$E$19,3,FALSE))</f>
        <v>1108958</v>
      </c>
      <c r="M56">
        <f>IF(LEN(TRIM(E56))=0,"",VLOOKUP(E56,Sheet2!$B$1:$E$19,4,FALSE))+(F56-1)</f>
        <v>3779823</v>
      </c>
      <c r="N56"/>
      <c r="O56"/>
      <c r="P56"/>
      <c r="Q56"/>
    </row>
    <row r="57" spans="1:17" s="2" customFormat="1" ht="15" customHeight="1" x14ac:dyDescent="0.25">
      <c r="A57" s="28" t="s">
        <v>464</v>
      </c>
      <c r="B57" s="28" t="s">
        <v>373</v>
      </c>
      <c r="C57" s="1">
        <v>1854</v>
      </c>
      <c r="D57" s="1" t="s">
        <v>2919</v>
      </c>
      <c r="E57" s="1">
        <v>998</v>
      </c>
      <c r="F57" s="28">
        <v>42</v>
      </c>
      <c r="G57" s="1">
        <v>40</v>
      </c>
      <c r="H57" s="1">
        <v>63</v>
      </c>
      <c r="I57" s="1">
        <v>60</v>
      </c>
      <c r="J57" t="str">
        <f t="shared" si="0"/>
        <v>http://www.badatelna.eu/reprodukce/?fondId=241&amp;zaznamId=1133738&amp;reproId=3885688</v>
      </c>
      <c r="K57">
        <f>IF(LEN(TRIM(E57))=0,"",VLOOKUP(E57,Sheet2!$B$1:$E$19,2,FALSE))</f>
        <v>241</v>
      </c>
      <c r="L57">
        <f>IF(LEN(TRIM(E57))=0,"",VLOOKUP(E57,Sheet2!$B$1:$E$19,3,FALSE))</f>
        <v>1133738</v>
      </c>
      <c r="M57">
        <f>IF(LEN(TRIM(E57))=0,"",VLOOKUP(E57,Sheet2!$B$1:$E$19,4,FALSE))+(F57-1)</f>
        <v>3885688</v>
      </c>
      <c r="N57" s="1"/>
      <c r="O57" s="1"/>
      <c r="P57" s="1"/>
      <c r="Q57" s="1"/>
    </row>
    <row r="58" spans="1:17" s="2" customFormat="1" ht="15" customHeight="1" x14ac:dyDescent="0.25">
      <c r="A58" s="28" t="s">
        <v>464</v>
      </c>
      <c r="B58" s="28" t="s">
        <v>155</v>
      </c>
      <c r="C58" s="1">
        <v>1887</v>
      </c>
      <c r="D58" s="1" t="s">
        <v>454</v>
      </c>
      <c r="E58" s="1">
        <v>2172</v>
      </c>
      <c r="F58" s="28">
        <v>59</v>
      </c>
      <c r="G58" s="9" t="s">
        <v>2765</v>
      </c>
      <c r="H58" s="1">
        <v>60</v>
      </c>
      <c r="I58" s="1">
        <v>61</v>
      </c>
      <c r="J58" t="str">
        <f t="shared" si="0"/>
        <v>http://www.badatelna.eu/reprodukce/?fondId=1073&amp;zaznamId=1108958&amp;reproId=3779800</v>
      </c>
      <c r="K58">
        <f>IF(LEN(TRIM(E58))=0,"",VLOOKUP(E58,Sheet2!$B$1:$E$19,2,FALSE))</f>
        <v>1073</v>
      </c>
      <c r="L58">
        <f>IF(LEN(TRIM(E58))=0,"",VLOOKUP(E58,Sheet2!$B$1:$E$19,3,FALSE))</f>
        <v>1108958</v>
      </c>
      <c r="M58">
        <f>IF(LEN(TRIM(E58))=0,"",VLOOKUP(E58,Sheet2!$B$1:$E$19,4,FALSE))+(F58-1)</f>
        <v>3779800</v>
      </c>
    </row>
    <row r="59" spans="1:17" s="2" customFormat="1" ht="15" customHeight="1" x14ac:dyDescent="0.25">
      <c r="A59" s="28" t="s">
        <v>464</v>
      </c>
      <c r="B59" s="28" t="s">
        <v>562</v>
      </c>
      <c r="C59" s="6" t="s">
        <v>1885</v>
      </c>
      <c r="D59" s="1" t="s">
        <v>454</v>
      </c>
      <c r="E59" s="1">
        <v>2172</v>
      </c>
      <c r="F59" s="28">
        <v>195</v>
      </c>
      <c r="G59" s="9">
        <v>185</v>
      </c>
      <c r="H59" s="1" t="s">
        <v>3073</v>
      </c>
      <c r="I59" s="1" t="s">
        <v>3073</v>
      </c>
      <c r="J59" t="str">
        <f t="shared" si="0"/>
        <v>http://www.badatelna.eu/reprodukce/?fondId=1073&amp;zaznamId=1108958&amp;reproId=3779936</v>
      </c>
      <c r="K59">
        <f>IF(LEN(TRIM(E59))=0,"",VLOOKUP(E59,Sheet2!$B$1:$E$19,2,FALSE))</f>
        <v>1073</v>
      </c>
      <c r="L59">
        <f>IF(LEN(TRIM(E59))=0,"",VLOOKUP(E59,Sheet2!$B$1:$E$19,3,FALSE))</f>
        <v>1108958</v>
      </c>
      <c r="M59">
        <f>IF(LEN(TRIM(E59))=0,"",VLOOKUP(E59,Sheet2!$B$1:$E$19,4,FALSE))+(F59-1)</f>
        <v>3779936</v>
      </c>
      <c r="N59" s="1"/>
      <c r="O59" s="1"/>
      <c r="P59" s="1"/>
      <c r="Q59" s="1"/>
    </row>
    <row r="60" spans="1:17" s="2" customFormat="1" ht="15" customHeight="1" x14ac:dyDescent="0.25">
      <c r="A60" s="27" t="s">
        <v>464</v>
      </c>
      <c r="B60" s="27" t="s">
        <v>172</v>
      </c>
      <c r="C60" s="5" t="s">
        <v>1065</v>
      </c>
      <c r="D60" s="3" t="s">
        <v>454</v>
      </c>
      <c r="E60" s="3">
        <v>2170</v>
      </c>
      <c r="F60" s="28">
        <v>30</v>
      </c>
      <c r="G60" s="10">
        <v>26</v>
      </c>
      <c r="H60" s="3">
        <v>61</v>
      </c>
      <c r="I60" s="3">
        <v>57</v>
      </c>
      <c r="J60" t="str">
        <f t="shared" si="0"/>
        <v>http://www.badatelna.eu/reprodukce/?fondId=1073&amp;zaznamId=1108956&amp;reproId=3779622</v>
      </c>
      <c r="K60">
        <f>IF(LEN(TRIM(E60))=0,"",VLOOKUP(E60,Sheet2!$B$1:$E$19,2,FALSE))</f>
        <v>1073</v>
      </c>
      <c r="L60">
        <f>IF(LEN(TRIM(E60))=0,"",VLOOKUP(E60,Sheet2!$B$1:$E$19,3,FALSE))</f>
        <v>1108956</v>
      </c>
      <c r="M60">
        <f>IF(LEN(TRIM(E60))=0,"",VLOOKUP(E60,Sheet2!$B$1:$E$19,4,FALSE))+(F60-1)</f>
        <v>3779622</v>
      </c>
      <c r="N60"/>
      <c r="O60"/>
      <c r="P60"/>
      <c r="Q60"/>
    </row>
    <row r="61" spans="1:17" s="2" customFormat="1" ht="15" customHeight="1" x14ac:dyDescent="0.25">
      <c r="A61" s="27" t="s">
        <v>464</v>
      </c>
      <c r="B61" s="27" t="s">
        <v>467</v>
      </c>
      <c r="C61" s="5" t="s">
        <v>1066</v>
      </c>
      <c r="D61" s="3" t="s">
        <v>454</v>
      </c>
      <c r="E61" s="3">
        <v>2170</v>
      </c>
      <c r="F61" s="28">
        <v>28</v>
      </c>
      <c r="G61" s="10">
        <v>24</v>
      </c>
      <c r="H61" s="3">
        <v>61</v>
      </c>
      <c r="I61" s="3">
        <v>57</v>
      </c>
      <c r="J61" t="str">
        <f t="shared" si="0"/>
        <v>http://www.badatelna.eu/reprodukce/?fondId=1073&amp;zaznamId=1108956&amp;reproId=3779620</v>
      </c>
      <c r="K61">
        <f>IF(LEN(TRIM(E61))=0,"",VLOOKUP(E61,Sheet2!$B$1:$E$19,2,FALSE))</f>
        <v>1073</v>
      </c>
      <c r="L61">
        <f>IF(LEN(TRIM(E61))=0,"",VLOOKUP(E61,Sheet2!$B$1:$E$19,3,FALSE))</f>
        <v>1108956</v>
      </c>
      <c r="M61">
        <f>IF(LEN(TRIM(E61))=0,"",VLOOKUP(E61,Sheet2!$B$1:$E$19,4,FALSE))+(F61-1)</f>
        <v>3779620</v>
      </c>
      <c r="N61" s="1"/>
      <c r="O61" s="1"/>
      <c r="P61" s="1"/>
      <c r="Q61" s="1"/>
    </row>
    <row r="62" spans="1:17" s="2" customFormat="1" ht="15" customHeight="1" x14ac:dyDescent="0.25">
      <c r="A62" s="28" t="s">
        <v>464</v>
      </c>
      <c r="B62" s="29" t="s">
        <v>723</v>
      </c>
      <c r="C62" s="1">
        <v>1854</v>
      </c>
      <c r="D62" s="1" t="s">
        <v>2919</v>
      </c>
      <c r="E62" s="1">
        <v>998</v>
      </c>
      <c r="F62" s="28">
        <v>40</v>
      </c>
      <c r="G62" s="1">
        <v>38</v>
      </c>
      <c r="H62" s="1">
        <v>63</v>
      </c>
      <c r="I62" s="1">
        <v>60</v>
      </c>
      <c r="J62" t="str">
        <f t="shared" si="0"/>
        <v>http://www.badatelna.eu/reprodukce/?fondId=241&amp;zaznamId=1133738&amp;reproId=3885686</v>
      </c>
      <c r="K62">
        <f>IF(LEN(TRIM(E62))=0,"",VLOOKUP(E62,Sheet2!$B$1:$E$19,2,FALSE))</f>
        <v>241</v>
      </c>
      <c r="L62">
        <f>IF(LEN(TRIM(E62))=0,"",VLOOKUP(E62,Sheet2!$B$1:$E$19,3,FALSE))</f>
        <v>1133738</v>
      </c>
      <c r="M62">
        <f>IF(LEN(TRIM(E62))=0,"",VLOOKUP(E62,Sheet2!$B$1:$E$19,4,FALSE))+(F62-1)</f>
        <v>3885686</v>
      </c>
      <c r="N62"/>
      <c r="O62"/>
      <c r="P62"/>
      <c r="Q62"/>
    </row>
    <row r="63" spans="1:17" s="2" customFormat="1" ht="15" customHeight="1" x14ac:dyDescent="0.25">
      <c r="A63" s="28" t="s">
        <v>464</v>
      </c>
      <c r="B63" s="29" t="s">
        <v>2937</v>
      </c>
      <c r="C63" s="1">
        <v>1856</v>
      </c>
      <c r="D63" s="1" t="s">
        <v>2919</v>
      </c>
      <c r="E63" s="1">
        <v>998</v>
      </c>
      <c r="F63" s="28">
        <v>49</v>
      </c>
      <c r="G63" s="1">
        <v>47</v>
      </c>
      <c r="H63" s="1">
        <v>64</v>
      </c>
      <c r="I63" s="1">
        <v>61</v>
      </c>
      <c r="J63" t="str">
        <f t="shared" si="0"/>
        <v>http://www.badatelna.eu/reprodukce/?fondId=241&amp;zaznamId=1133738&amp;reproId=3885695</v>
      </c>
      <c r="K63">
        <f>IF(LEN(TRIM(E63))=0,"",VLOOKUP(E63,Sheet2!$B$1:$E$19,2,FALSE))</f>
        <v>241</v>
      </c>
      <c r="L63">
        <f>IF(LEN(TRIM(E63))=0,"",VLOOKUP(E63,Sheet2!$B$1:$E$19,3,FALSE))</f>
        <v>1133738</v>
      </c>
      <c r="M63">
        <f>IF(LEN(TRIM(E63))=0,"",VLOOKUP(E63,Sheet2!$B$1:$E$19,4,FALSE))+(F63-1)</f>
        <v>3885695</v>
      </c>
      <c r="N63"/>
      <c r="O63"/>
      <c r="P63"/>
      <c r="Q63"/>
    </row>
    <row r="64" spans="1:17" s="2" customFormat="1" ht="15" customHeight="1" x14ac:dyDescent="0.25">
      <c r="A64" s="28" t="s">
        <v>464</v>
      </c>
      <c r="B64" s="28" t="s">
        <v>25</v>
      </c>
      <c r="C64" s="1">
        <v>1864</v>
      </c>
      <c r="D64" s="1" t="s">
        <v>2919</v>
      </c>
      <c r="E64" s="1">
        <v>999</v>
      </c>
      <c r="F64" s="28">
        <v>86</v>
      </c>
      <c r="G64" s="1">
        <v>7</v>
      </c>
      <c r="H64" s="1">
        <v>95</v>
      </c>
      <c r="I64" s="1">
        <v>153</v>
      </c>
      <c r="J64" t="str">
        <f t="shared" si="0"/>
        <v>http://www.badatelna.eu/reprodukce/?fondId=241&amp;zaznamId=1133739&amp;reproId=3885815</v>
      </c>
      <c r="K64">
        <f>IF(LEN(TRIM(E64))=0,"",VLOOKUP(E64,Sheet2!$B$1:$E$19,2,FALSE))</f>
        <v>241</v>
      </c>
      <c r="L64">
        <f>IF(LEN(TRIM(E64))=0,"",VLOOKUP(E64,Sheet2!$B$1:$E$19,3,FALSE))</f>
        <v>1133739</v>
      </c>
      <c r="M64">
        <f>IF(LEN(TRIM(E64))=0,"",VLOOKUP(E64,Sheet2!$B$1:$E$19,4,FALSE))+(F64-1)</f>
        <v>3885815</v>
      </c>
      <c r="N64" s="1"/>
      <c r="O64" s="1"/>
      <c r="P64" s="1"/>
      <c r="Q64" s="1"/>
    </row>
    <row r="65" spans="1:17" s="2" customFormat="1" ht="15" customHeight="1" x14ac:dyDescent="0.25">
      <c r="A65" s="28" t="s">
        <v>464</v>
      </c>
      <c r="B65" s="28" t="s">
        <v>25</v>
      </c>
      <c r="C65" s="6" t="s">
        <v>2222</v>
      </c>
      <c r="D65" s="1" t="s">
        <v>454</v>
      </c>
      <c r="E65" s="1">
        <v>2173</v>
      </c>
      <c r="F65" s="28">
        <v>196</v>
      </c>
      <c r="G65" s="9">
        <v>2</v>
      </c>
      <c r="H65" s="1" t="s">
        <v>3073</v>
      </c>
      <c r="I65" s="1" t="s">
        <v>3073</v>
      </c>
      <c r="J65" t="str">
        <f t="shared" si="0"/>
        <v>http://www.badatelna.eu/reprodukce/?fondId=1073&amp;zaznamId=1108959&amp;reproId=3780189</v>
      </c>
      <c r="K65">
        <f>IF(LEN(TRIM(E65))=0,"",VLOOKUP(E65,Sheet2!$B$1:$E$19,2,FALSE))</f>
        <v>1073</v>
      </c>
      <c r="L65">
        <f>IF(LEN(TRIM(E65))=0,"",VLOOKUP(E65,Sheet2!$B$1:$E$19,3,FALSE))</f>
        <v>1108959</v>
      </c>
      <c r="M65">
        <f>IF(LEN(TRIM(E65))=0,"",VLOOKUP(E65,Sheet2!$B$1:$E$19,4,FALSE))+(F65-1)</f>
        <v>3780189</v>
      </c>
      <c r="N65" s="1"/>
      <c r="O65" s="1"/>
      <c r="P65" s="1"/>
      <c r="Q65" s="1"/>
    </row>
    <row r="66" spans="1:17" s="2" customFormat="1" ht="15" customHeight="1" x14ac:dyDescent="0.25">
      <c r="A66" s="27" t="s">
        <v>464</v>
      </c>
      <c r="B66" s="27" t="s">
        <v>3067</v>
      </c>
      <c r="C66" s="5" t="s">
        <v>1052</v>
      </c>
      <c r="D66" s="3" t="s">
        <v>454</v>
      </c>
      <c r="E66" s="3">
        <v>2170</v>
      </c>
      <c r="F66" s="28">
        <v>12</v>
      </c>
      <c r="G66" s="10">
        <v>8</v>
      </c>
      <c r="H66" s="3">
        <v>60</v>
      </c>
      <c r="I66" s="3">
        <v>56</v>
      </c>
      <c r="J66" t="str">
        <f t="shared" si="0"/>
        <v>http://www.badatelna.eu/reprodukce/?fondId=1073&amp;zaznamId=1108956&amp;reproId=3779604</v>
      </c>
      <c r="K66">
        <f>IF(LEN(TRIM(E66))=0,"",VLOOKUP(E66,Sheet2!$B$1:$E$19,2,FALSE))</f>
        <v>1073</v>
      </c>
      <c r="L66">
        <f>IF(LEN(TRIM(E66))=0,"",VLOOKUP(E66,Sheet2!$B$1:$E$19,3,FALSE))</f>
        <v>1108956</v>
      </c>
      <c r="M66">
        <f>IF(LEN(TRIM(E66))=0,"",VLOOKUP(E66,Sheet2!$B$1:$E$19,4,FALSE))+(F66-1)</f>
        <v>3779604</v>
      </c>
      <c r="N66" s="1"/>
      <c r="O66" s="1"/>
      <c r="P66" s="1"/>
      <c r="Q66" s="1"/>
    </row>
    <row r="67" spans="1:17" s="2" customFormat="1" ht="15" customHeight="1" x14ac:dyDescent="0.25">
      <c r="A67" s="28" t="s">
        <v>464</v>
      </c>
      <c r="B67" s="28" t="s">
        <v>340</v>
      </c>
      <c r="C67" s="1">
        <v>1889</v>
      </c>
      <c r="D67" s="1" t="s">
        <v>454</v>
      </c>
      <c r="E67" s="1">
        <v>2172</v>
      </c>
      <c r="F67" s="28">
        <v>68</v>
      </c>
      <c r="G67" s="9" t="s">
        <v>3083</v>
      </c>
      <c r="H67" s="1">
        <v>70</v>
      </c>
      <c r="I67" s="1">
        <v>69</v>
      </c>
      <c r="J67" t="str">
        <f t="shared" ref="J67:J130" si="1">IF(LEN(TRIM(E67))=0,"","http://www.badatelna.eu/reprodukce/?fondId="&amp;K67&amp;"&amp;zaznamId="&amp;L67&amp;"&amp;reproId="&amp;M67)</f>
        <v>http://www.badatelna.eu/reprodukce/?fondId=1073&amp;zaznamId=1108958&amp;reproId=3779809</v>
      </c>
      <c r="K67">
        <f>IF(LEN(TRIM(E67))=0,"",VLOOKUP(E67,Sheet2!$B$1:$E$19,2,FALSE))</f>
        <v>1073</v>
      </c>
      <c r="L67">
        <f>IF(LEN(TRIM(E67))=0,"",VLOOKUP(E67,Sheet2!$B$1:$E$19,3,FALSE))</f>
        <v>1108958</v>
      </c>
      <c r="M67">
        <f>IF(LEN(TRIM(E67))=0,"",VLOOKUP(E67,Sheet2!$B$1:$E$19,4,FALSE))+(F67-1)</f>
        <v>3779809</v>
      </c>
      <c r="N67" s="1"/>
      <c r="O67" s="1"/>
      <c r="P67" s="1"/>
      <c r="Q67" s="1"/>
    </row>
    <row r="68" spans="1:17" s="2" customFormat="1" ht="15" customHeight="1" x14ac:dyDescent="0.25">
      <c r="A68" s="28" t="s">
        <v>464</v>
      </c>
      <c r="B68" s="28" t="s">
        <v>768</v>
      </c>
      <c r="C68" s="6" t="s">
        <v>1670</v>
      </c>
      <c r="D68" s="1" t="s">
        <v>454</v>
      </c>
      <c r="E68" s="1">
        <v>2172</v>
      </c>
      <c r="F68" s="28">
        <v>107</v>
      </c>
      <c r="G68" s="9">
        <v>106</v>
      </c>
      <c r="H68" s="1">
        <v>109</v>
      </c>
      <c r="I68" s="1">
        <v>108</v>
      </c>
      <c r="J68" t="str">
        <f t="shared" si="1"/>
        <v>http://www.badatelna.eu/reprodukce/?fondId=1073&amp;zaznamId=1108958&amp;reproId=3779848</v>
      </c>
      <c r="K68">
        <f>IF(LEN(TRIM(E68))=0,"",VLOOKUP(E68,Sheet2!$B$1:$E$19,2,FALSE))</f>
        <v>1073</v>
      </c>
      <c r="L68">
        <f>IF(LEN(TRIM(E68))=0,"",VLOOKUP(E68,Sheet2!$B$1:$E$19,3,FALSE))</f>
        <v>1108958</v>
      </c>
      <c r="M68">
        <f>IF(LEN(TRIM(E68))=0,"",VLOOKUP(E68,Sheet2!$B$1:$E$19,4,FALSE))+(F68-1)</f>
        <v>3779848</v>
      </c>
      <c r="N68" s="1"/>
      <c r="O68" s="1"/>
      <c r="P68" s="1"/>
      <c r="Q68" s="1"/>
    </row>
    <row r="69" spans="1:17" s="1" customFormat="1" ht="15" customHeight="1" x14ac:dyDescent="0.25">
      <c r="A69" s="27" t="s">
        <v>464</v>
      </c>
      <c r="B69" s="27" t="s">
        <v>39</v>
      </c>
      <c r="C69" s="5" t="s">
        <v>1259</v>
      </c>
      <c r="D69" s="3" t="s">
        <v>454</v>
      </c>
      <c r="E69" s="3">
        <v>2170</v>
      </c>
      <c r="F69" s="28">
        <v>55</v>
      </c>
      <c r="G69" s="10">
        <v>51</v>
      </c>
      <c r="H69" s="3">
        <v>67</v>
      </c>
      <c r="I69" s="3">
        <v>63</v>
      </c>
      <c r="J69" t="str">
        <f t="shared" si="1"/>
        <v>http://www.badatelna.eu/reprodukce/?fondId=1073&amp;zaznamId=1108956&amp;reproId=3779647</v>
      </c>
      <c r="K69">
        <f>IF(LEN(TRIM(E69))=0,"",VLOOKUP(E69,Sheet2!$B$1:$E$19,2,FALSE))</f>
        <v>1073</v>
      </c>
      <c r="L69">
        <f>IF(LEN(TRIM(E69))=0,"",VLOOKUP(E69,Sheet2!$B$1:$E$19,3,FALSE))</f>
        <v>1108956</v>
      </c>
      <c r="M69">
        <f>IF(LEN(TRIM(E69))=0,"",VLOOKUP(E69,Sheet2!$B$1:$E$19,4,FALSE))+(F69-1)</f>
        <v>3779647</v>
      </c>
      <c r="N69"/>
      <c r="O69"/>
      <c r="P69"/>
      <c r="Q69"/>
    </row>
    <row r="70" spans="1:17" s="1" customFormat="1" ht="15" customHeight="1" x14ac:dyDescent="0.25">
      <c r="A70" s="29" t="s">
        <v>464</v>
      </c>
      <c r="B70" s="29" t="s">
        <v>746</v>
      </c>
      <c r="C70" s="17">
        <v>1882</v>
      </c>
      <c r="D70" s="17" t="s">
        <v>454</v>
      </c>
      <c r="E70" s="17">
        <v>2172</v>
      </c>
      <c r="F70" s="29">
        <v>28</v>
      </c>
      <c r="G70" s="20" t="s">
        <v>2757</v>
      </c>
      <c r="H70" s="17">
        <v>30</v>
      </c>
      <c r="I70" s="17">
        <v>29</v>
      </c>
      <c r="J70" t="str">
        <f t="shared" si="1"/>
        <v>http://www.badatelna.eu/reprodukce/?fondId=1073&amp;zaznamId=1108958&amp;reproId=3779769</v>
      </c>
      <c r="K70">
        <f>IF(LEN(TRIM(E70))=0,"",VLOOKUP(E70,Sheet2!$B$1:$E$19,2,FALSE))</f>
        <v>1073</v>
      </c>
      <c r="L70">
        <f>IF(LEN(TRIM(E70))=0,"",VLOOKUP(E70,Sheet2!$B$1:$E$19,3,FALSE))</f>
        <v>1108958</v>
      </c>
      <c r="M70">
        <f>IF(LEN(TRIM(E70))=0,"",VLOOKUP(E70,Sheet2!$B$1:$E$19,4,FALSE))+(F70-1)</f>
        <v>3779769</v>
      </c>
      <c r="N70"/>
      <c r="O70"/>
      <c r="P70"/>
      <c r="Q70"/>
    </row>
    <row r="71" spans="1:17" s="1" customFormat="1" ht="15" customHeight="1" x14ac:dyDescent="0.25">
      <c r="A71" s="27" t="s">
        <v>464</v>
      </c>
      <c r="B71" s="27" t="s">
        <v>468</v>
      </c>
      <c r="C71" s="5" t="s">
        <v>1083</v>
      </c>
      <c r="D71" s="3" t="s">
        <v>454</v>
      </c>
      <c r="E71" s="3">
        <v>2171</v>
      </c>
      <c r="F71" s="28">
        <v>10</v>
      </c>
      <c r="G71" s="10">
        <v>7</v>
      </c>
      <c r="H71" s="3">
        <v>41</v>
      </c>
      <c r="I71" s="3">
        <v>32</v>
      </c>
      <c r="J71" t="str">
        <f t="shared" si="1"/>
        <v>http://www.badatelna.eu/reprodukce/?fondId=1073&amp;zaznamId=1108957&amp;reproId=3779677</v>
      </c>
      <c r="K71">
        <f>IF(LEN(TRIM(E71))=0,"",VLOOKUP(E71,Sheet2!$B$1:$E$19,2,FALSE))</f>
        <v>1073</v>
      </c>
      <c r="L71">
        <f>IF(LEN(TRIM(E71))=0,"",VLOOKUP(E71,Sheet2!$B$1:$E$19,3,FALSE))</f>
        <v>1108957</v>
      </c>
      <c r="M71">
        <f>IF(LEN(TRIM(E71))=0,"",VLOOKUP(E71,Sheet2!$B$1:$E$19,4,FALSE))+(F71-1)</f>
        <v>3779677</v>
      </c>
    </row>
    <row r="72" spans="1:17" s="1" customFormat="1" ht="15" customHeight="1" x14ac:dyDescent="0.25">
      <c r="A72" s="28" t="s">
        <v>464</v>
      </c>
      <c r="B72" s="28" t="s">
        <v>184</v>
      </c>
      <c r="C72" s="15">
        <v>8136</v>
      </c>
      <c r="D72" s="1" t="s">
        <v>454</v>
      </c>
      <c r="E72" s="1">
        <v>2172</v>
      </c>
      <c r="F72" s="28">
        <v>202</v>
      </c>
      <c r="G72" s="9">
        <v>189</v>
      </c>
      <c r="H72" s="1" t="s">
        <v>3073</v>
      </c>
      <c r="I72" s="1" t="s">
        <v>3073</v>
      </c>
      <c r="J72" t="str">
        <f t="shared" si="1"/>
        <v>http://www.badatelna.eu/reprodukce/?fondId=1073&amp;zaznamId=1108958&amp;reproId=3779943</v>
      </c>
      <c r="K72">
        <f>IF(LEN(TRIM(E72))=0,"",VLOOKUP(E72,Sheet2!$B$1:$E$19,2,FALSE))</f>
        <v>1073</v>
      </c>
      <c r="L72">
        <f>IF(LEN(TRIM(E72))=0,"",VLOOKUP(E72,Sheet2!$B$1:$E$19,3,FALSE))</f>
        <v>1108958</v>
      </c>
      <c r="M72">
        <f>IF(LEN(TRIM(E72))=0,"",VLOOKUP(E72,Sheet2!$B$1:$E$19,4,FALSE))+(F72-1)</f>
        <v>3779943</v>
      </c>
      <c r="N72"/>
      <c r="O72"/>
      <c r="P72"/>
      <c r="Q72"/>
    </row>
    <row r="73" spans="1:17" s="1" customFormat="1" ht="15" customHeight="1" x14ac:dyDescent="0.25">
      <c r="A73" s="28" t="s">
        <v>464</v>
      </c>
      <c r="B73" s="28" t="s">
        <v>184</v>
      </c>
      <c r="C73" s="6" t="s">
        <v>1591</v>
      </c>
      <c r="D73" s="1" t="s">
        <v>454</v>
      </c>
      <c r="E73" s="1">
        <v>2172</v>
      </c>
      <c r="F73" s="28">
        <v>65</v>
      </c>
      <c r="G73" s="9">
        <v>64</v>
      </c>
      <c r="H73" s="1" t="s">
        <v>3073</v>
      </c>
      <c r="I73" s="1" t="s">
        <v>3073</v>
      </c>
      <c r="J73" t="str">
        <f t="shared" si="1"/>
        <v>http://www.badatelna.eu/reprodukce/?fondId=1073&amp;zaznamId=1108958&amp;reproId=3779806</v>
      </c>
      <c r="K73">
        <f>IF(LEN(TRIM(E73))=0,"",VLOOKUP(E73,Sheet2!$B$1:$E$19,2,FALSE))</f>
        <v>1073</v>
      </c>
      <c r="L73">
        <f>IF(LEN(TRIM(E73))=0,"",VLOOKUP(E73,Sheet2!$B$1:$E$19,3,FALSE))</f>
        <v>1108958</v>
      </c>
      <c r="M73">
        <f>IF(LEN(TRIM(E73))=0,"",VLOOKUP(E73,Sheet2!$B$1:$E$19,4,FALSE))+(F73-1)</f>
        <v>3779806</v>
      </c>
      <c r="N73"/>
      <c r="O73"/>
      <c r="P73"/>
      <c r="Q73"/>
    </row>
    <row r="74" spans="1:17" s="1" customFormat="1" ht="15" customHeight="1" x14ac:dyDescent="0.25">
      <c r="A74" s="28" t="s">
        <v>464</v>
      </c>
      <c r="B74" s="28" t="s">
        <v>769</v>
      </c>
      <c r="C74" s="6" t="s">
        <v>1602</v>
      </c>
      <c r="D74" s="1" t="s">
        <v>454</v>
      </c>
      <c r="E74" s="1">
        <v>2172</v>
      </c>
      <c r="F74" s="28">
        <v>73</v>
      </c>
      <c r="G74" s="9">
        <v>72</v>
      </c>
      <c r="H74" s="1">
        <v>76</v>
      </c>
      <c r="I74" s="1">
        <v>75</v>
      </c>
      <c r="J74" t="str">
        <f t="shared" si="1"/>
        <v>http://www.badatelna.eu/reprodukce/?fondId=1073&amp;zaznamId=1108958&amp;reproId=3779814</v>
      </c>
      <c r="K74">
        <f>IF(LEN(TRIM(E74))=0,"",VLOOKUP(E74,Sheet2!$B$1:$E$19,2,FALSE))</f>
        <v>1073</v>
      </c>
      <c r="L74">
        <f>IF(LEN(TRIM(E74))=0,"",VLOOKUP(E74,Sheet2!$B$1:$E$19,3,FALSE))</f>
        <v>1108958</v>
      </c>
      <c r="M74">
        <f>IF(LEN(TRIM(E74))=0,"",VLOOKUP(E74,Sheet2!$B$1:$E$19,4,FALSE))+(F74-1)</f>
        <v>3779814</v>
      </c>
    </row>
    <row r="75" spans="1:17" s="1" customFormat="1" ht="15" customHeight="1" x14ac:dyDescent="0.25">
      <c r="A75" s="28" t="s">
        <v>464</v>
      </c>
      <c r="B75" s="28" t="s">
        <v>645</v>
      </c>
      <c r="C75" s="6" t="s">
        <v>1560</v>
      </c>
      <c r="D75" s="1" t="s">
        <v>454</v>
      </c>
      <c r="E75" s="1">
        <v>2172</v>
      </c>
      <c r="F75" s="28">
        <v>19</v>
      </c>
      <c r="G75" s="9" t="s">
        <v>1041</v>
      </c>
      <c r="H75" s="1">
        <v>24</v>
      </c>
      <c r="I75" s="1">
        <v>23</v>
      </c>
      <c r="J75" t="str">
        <f t="shared" si="1"/>
        <v>http://www.badatelna.eu/reprodukce/?fondId=1073&amp;zaznamId=1108958&amp;reproId=3779760</v>
      </c>
      <c r="K75">
        <f>IF(LEN(TRIM(E75))=0,"",VLOOKUP(E75,Sheet2!$B$1:$E$19,2,FALSE))</f>
        <v>1073</v>
      </c>
      <c r="L75">
        <f>IF(LEN(TRIM(E75))=0,"",VLOOKUP(E75,Sheet2!$B$1:$E$19,3,FALSE))</f>
        <v>1108958</v>
      </c>
      <c r="M75">
        <f>IF(LEN(TRIM(E75))=0,"",VLOOKUP(E75,Sheet2!$B$1:$E$19,4,FALSE))+(F75-1)</f>
        <v>3779760</v>
      </c>
    </row>
    <row r="76" spans="1:17" s="1" customFormat="1" ht="15" customHeight="1" x14ac:dyDescent="0.25">
      <c r="A76" s="27" t="s">
        <v>464</v>
      </c>
      <c r="B76" s="27" t="s">
        <v>469</v>
      </c>
      <c r="C76" s="5" t="s">
        <v>1051</v>
      </c>
      <c r="D76" s="3" t="s">
        <v>454</v>
      </c>
      <c r="E76" s="3">
        <v>2170</v>
      </c>
      <c r="F76" s="28">
        <v>15</v>
      </c>
      <c r="G76" s="10">
        <v>11</v>
      </c>
      <c r="H76" s="3">
        <v>60</v>
      </c>
      <c r="I76" s="3">
        <v>56</v>
      </c>
      <c r="J76" t="str">
        <f t="shared" si="1"/>
        <v>http://www.badatelna.eu/reprodukce/?fondId=1073&amp;zaznamId=1108956&amp;reproId=3779607</v>
      </c>
      <c r="K76">
        <f>IF(LEN(TRIM(E76))=0,"",VLOOKUP(E76,Sheet2!$B$1:$E$19,2,FALSE))</f>
        <v>1073</v>
      </c>
      <c r="L76">
        <f>IF(LEN(TRIM(E76))=0,"",VLOOKUP(E76,Sheet2!$B$1:$E$19,3,FALSE))</f>
        <v>1108956</v>
      </c>
      <c r="M76">
        <f>IF(LEN(TRIM(E76))=0,"",VLOOKUP(E76,Sheet2!$B$1:$E$19,4,FALSE))+(F76-1)</f>
        <v>3779607</v>
      </c>
    </row>
    <row r="77" spans="1:17" s="1" customFormat="1" ht="15" customHeight="1" x14ac:dyDescent="0.25">
      <c r="A77" s="28" t="s">
        <v>464</v>
      </c>
      <c r="B77" s="28" t="s">
        <v>91</v>
      </c>
      <c r="C77" s="1">
        <v>1848</v>
      </c>
      <c r="D77" s="1" t="s">
        <v>2919</v>
      </c>
      <c r="E77" s="1">
        <v>998</v>
      </c>
      <c r="F77" s="28">
        <v>14</v>
      </c>
      <c r="G77" s="1">
        <v>12</v>
      </c>
      <c r="H77" s="1">
        <v>63</v>
      </c>
      <c r="I77" s="1">
        <v>60</v>
      </c>
      <c r="J77" t="str">
        <f t="shared" si="1"/>
        <v>http://www.badatelna.eu/reprodukce/?fondId=241&amp;zaznamId=1133738&amp;reproId=3885660</v>
      </c>
      <c r="K77">
        <f>IF(LEN(TRIM(E77))=0,"",VLOOKUP(E77,Sheet2!$B$1:$E$19,2,FALSE))</f>
        <v>241</v>
      </c>
      <c r="L77">
        <f>IF(LEN(TRIM(E77))=0,"",VLOOKUP(E77,Sheet2!$B$1:$E$19,3,FALSE))</f>
        <v>1133738</v>
      </c>
      <c r="M77">
        <f>IF(LEN(TRIM(E77))=0,"",VLOOKUP(E77,Sheet2!$B$1:$E$19,4,FALSE))+(F77-1)</f>
        <v>3885660</v>
      </c>
      <c r="N77"/>
      <c r="O77"/>
      <c r="P77"/>
      <c r="Q77"/>
    </row>
    <row r="78" spans="1:17" s="1" customFormat="1" ht="15" customHeight="1" x14ac:dyDescent="0.25">
      <c r="A78" s="28" t="s">
        <v>770</v>
      </c>
      <c r="B78" s="28" t="s">
        <v>512</v>
      </c>
      <c r="C78" s="6" t="s">
        <v>1969</v>
      </c>
      <c r="D78" s="1" t="s">
        <v>454</v>
      </c>
      <c r="E78" s="1">
        <v>2172</v>
      </c>
      <c r="F78" s="28">
        <v>238</v>
      </c>
      <c r="G78" s="9">
        <v>218</v>
      </c>
      <c r="H78" s="1" t="s">
        <v>3073</v>
      </c>
      <c r="I78" s="1" t="s">
        <v>3073</v>
      </c>
      <c r="J78" t="str">
        <f t="shared" si="1"/>
        <v>http://www.badatelna.eu/reprodukce/?fondId=1073&amp;zaznamId=1108958&amp;reproId=3779979</v>
      </c>
      <c r="K78">
        <f>IF(LEN(TRIM(E78))=0,"",VLOOKUP(E78,Sheet2!$B$1:$E$19,2,FALSE))</f>
        <v>1073</v>
      </c>
      <c r="L78">
        <f>IF(LEN(TRIM(E78))=0,"",VLOOKUP(E78,Sheet2!$B$1:$E$19,3,FALSE))</f>
        <v>1108958</v>
      </c>
      <c r="M78">
        <f>IF(LEN(TRIM(E78))=0,"",VLOOKUP(E78,Sheet2!$B$1:$E$19,4,FALSE))+(F78-1)</f>
        <v>3779979</v>
      </c>
      <c r="N78"/>
      <c r="O78"/>
      <c r="P78"/>
      <c r="Q78"/>
    </row>
    <row r="79" spans="1:17" s="1" customFormat="1" ht="15" customHeight="1" x14ac:dyDescent="0.25">
      <c r="A79" s="28"/>
      <c r="B79" s="28"/>
      <c r="C79" s="38" t="s">
        <v>3110</v>
      </c>
      <c r="D79" s="28" t="s">
        <v>3111</v>
      </c>
      <c r="E79" s="28" t="s">
        <v>268</v>
      </c>
      <c r="F79" s="28"/>
      <c r="G79" s="9"/>
      <c r="J79" t="e">
        <f t="shared" si="1"/>
        <v>#N/A</v>
      </c>
      <c r="K79" t="e">
        <f>IF(LEN(TRIM(E79))=0,"",VLOOKUP(E79,Sheet2!$B$1:$E$19,2,FALSE))</f>
        <v>#N/A</v>
      </c>
      <c r="L79" t="e">
        <f>IF(LEN(TRIM(E79))=0,"",VLOOKUP(E79,Sheet2!$B$1:$E$19,3,FALSE))</f>
        <v>#N/A</v>
      </c>
      <c r="M79" t="e">
        <f>IF(LEN(TRIM(E79))=0,"",VLOOKUP(E79,Sheet2!$B$1:$E$19,4,FALSE))+(F79-1)</f>
        <v>#N/A</v>
      </c>
      <c r="N79"/>
      <c r="O79"/>
      <c r="P79"/>
      <c r="Q79"/>
    </row>
    <row r="80" spans="1:17" s="1" customFormat="1" ht="15" customHeight="1" x14ac:dyDescent="0.25">
      <c r="A80" s="27" t="s">
        <v>470</v>
      </c>
      <c r="B80" s="27" t="s">
        <v>205</v>
      </c>
      <c r="C80" s="5" t="s">
        <v>1068</v>
      </c>
      <c r="D80" s="3" t="s">
        <v>454</v>
      </c>
      <c r="E80" s="3">
        <v>2170</v>
      </c>
      <c r="F80" s="28">
        <v>27</v>
      </c>
      <c r="G80" s="10">
        <v>23</v>
      </c>
      <c r="H80" s="3">
        <v>61</v>
      </c>
      <c r="I80" s="3">
        <v>57</v>
      </c>
      <c r="J80" t="str">
        <f t="shared" si="1"/>
        <v>http://www.badatelna.eu/reprodukce/?fondId=1073&amp;zaznamId=1108956&amp;reproId=3779619</v>
      </c>
      <c r="K80">
        <f>IF(LEN(TRIM(E80))=0,"",VLOOKUP(E80,Sheet2!$B$1:$E$19,2,FALSE))</f>
        <v>1073</v>
      </c>
      <c r="L80">
        <f>IF(LEN(TRIM(E80))=0,"",VLOOKUP(E80,Sheet2!$B$1:$E$19,3,FALSE))</f>
        <v>1108956</v>
      </c>
      <c r="M80">
        <f>IF(LEN(TRIM(E80))=0,"",VLOOKUP(E80,Sheet2!$B$1:$E$19,4,FALSE))+(F80-1)</f>
        <v>3779619</v>
      </c>
    </row>
    <row r="81" spans="1:17" s="1" customFormat="1" ht="15" customHeight="1" x14ac:dyDescent="0.25">
      <c r="A81" s="30" t="s">
        <v>470</v>
      </c>
      <c r="B81" s="27" t="s">
        <v>3068</v>
      </c>
      <c r="C81" s="5" t="s">
        <v>1053</v>
      </c>
      <c r="D81" s="3" t="s">
        <v>454</v>
      </c>
      <c r="E81" s="3">
        <v>2170</v>
      </c>
      <c r="F81" s="28">
        <v>12</v>
      </c>
      <c r="G81" s="10">
        <v>8</v>
      </c>
      <c r="H81" s="3">
        <v>60</v>
      </c>
      <c r="I81" s="3">
        <v>56</v>
      </c>
      <c r="J81" t="str">
        <f t="shared" si="1"/>
        <v>http://www.badatelna.eu/reprodukce/?fondId=1073&amp;zaznamId=1108956&amp;reproId=3779604</v>
      </c>
      <c r="K81">
        <f>IF(LEN(TRIM(E81))=0,"",VLOOKUP(E81,Sheet2!$B$1:$E$19,2,FALSE))</f>
        <v>1073</v>
      </c>
      <c r="L81">
        <f>IF(LEN(TRIM(E81))=0,"",VLOOKUP(E81,Sheet2!$B$1:$E$19,3,FALSE))</f>
        <v>1108956</v>
      </c>
      <c r="M81">
        <f>IF(LEN(TRIM(E81))=0,"",VLOOKUP(E81,Sheet2!$B$1:$E$19,4,FALSE))+(F81-1)</f>
        <v>3779604</v>
      </c>
    </row>
    <row r="82" spans="1:17" s="1" customFormat="1" ht="15" customHeight="1" x14ac:dyDescent="0.25">
      <c r="A82" s="29" t="s">
        <v>3037</v>
      </c>
      <c r="B82" s="28" t="s">
        <v>471</v>
      </c>
      <c r="C82" s="1">
        <v>1864</v>
      </c>
      <c r="D82" s="1" t="s">
        <v>2919</v>
      </c>
      <c r="E82" s="1">
        <v>999</v>
      </c>
      <c r="F82" s="28">
        <v>86</v>
      </c>
      <c r="G82" s="1">
        <v>7</v>
      </c>
      <c r="H82" s="1">
        <v>95</v>
      </c>
      <c r="I82" s="1">
        <v>153</v>
      </c>
      <c r="J82" t="str">
        <f t="shared" si="1"/>
        <v>http://www.badatelna.eu/reprodukce/?fondId=241&amp;zaznamId=1133739&amp;reproId=3885815</v>
      </c>
      <c r="K82">
        <f>IF(LEN(TRIM(E82))=0,"",VLOOKUP(E82,Sheet2!$B$1:$E$19,2,FALSE))</f>
        <v>241</v>
      </c>
      <c r="L82">
        <f>IF(LEN(TRIM(E82))=0,"",VLOOKUP(E82,Sheet2!$B$1:$E$19,3,FALSE))</f>
        <v>1133739</v>
      </c>
      <c r="M82">
        <f>IF(LEN(TRIM(E82))=0,"",VLOOKUP(E82,Sheet2!$B$1:$E$19,4,FALSE))+(F82-1)</f>
        <v>3885815</v>
      </c>
    </row>
    <row r="83" spans="1:17" s="1" customFormat="1" ht="15" customHeight="1" x14ac:dyDescent="0.25">
      <c r="A83" s="28" t="s">
        <v>2938</v>
      </c>
      <c r="B83" s="28" t="s">
        <v>25</v>
      </c>
      <c r="C83" s="1">
        <v>1864</v>
      </c>
      <c r="D83" s="1" t="s">
        <v>2919</v>
      </c>
      <c r="E83" s="1">
        <v>999</v>
      </c>
      <c r="F83" s="28">
        <v>85</v>
      </c>
      <c r="G83" s="1">
        <v>6</v>
      </c>
      <c r="H83" s="1">
        <v>95</v>
      </c>
      <c r="I83" s="1">
        <v>153</v>
      </c>
      <c r="J83" t="str">
        <f t="shared" si="1"/>
        <v>http://www.badatelna.eu/reprodukce/?fondId=241&amp;zaznamId=1133739&amp;reproId=3885814</v>
      </c>
      <c r="K83">
        <f>IF(LEN(TRIM(E83))=0,"",VLOOKUP(E83,Sheet2!$B$1:$E$19,2,FALSE))</f>
        <v>241</v>
      </c>
      <c r="L83">
        <f>IF(LEN(TRIM(E83))=0,"",VLOOKUP(E83,Sheet2!$B$1:$E$19,3,FALSE))</f>
        <v>1133739</v>
      </c>
      <c r="M83">
        <f>IF(LEN(TRIM(E83))=0,"",VLOOKUP(E83,Sheet2!$B$1:$E$19,4,FALSE))+(F83-1)</f>
        <v>3885814</v>
      </c>
      <c r="N83" s="2"/>
      <c r="O83" s="2"/>
      <c r="P83" s="2"/>
      <c r="Q83" s="2"/>
    </row>
    <row r="84" spans="1:17" s="1" customFormat="1" ht="15" customHeight="1" x14ac:dyDescent="0.25">
      <c r="A84" s="28" t="s">
        <v>2938</v>
      </c>
      <c r="B84" s="28" t="s">
        <v>306</v>
      </c>
      <c r="C84" s="1">
        <v>1856</v>
      </c>
      <c r="D84" s="1" t="s">
        <v>2919</v>
      </c>
      <c r="E84" s="1">
        <v>998</v>
      </c>
      <c r="F84" s="28">
        <v>49</v>
      </c>
      <c r="G84" s="1">
        <v>47</v>
      </c>
      <c r="H84" s="1">
        <v>64</v>
      </c>
      <c r="I84" s="1">
        <v>61</v>
      </c>
      <c r="J84" t="str">
        <f t="shared" si="1"/>
        <v>http://www.badatelna.eu/reprodukce/?fondId=241&amp;zaznamId=1133738&amp;reproId=3885695</v>
      </c>
      <c r="K84">
        <f>IF(LEN(TRIM(E84))=0,"",VLOOKUP(E84,Sheet2!$B$1:$E$19,2,FALSE))</f>
        <v>241</v>
      </c>
      <c r="L84">
        <f>IF(LEN(TRIM(E84))=0,"",VLOOKUP(E84,Sheet2!$B$1:$E$19,3,FALSE))</f>
        <v>1133738</v>
      </c>
      <c r="M84">
        <f>IF(LEN(TRIM(E84))=0,"",VLOOKUP(E84,Sheet2!$B$1:$E$19,4,FALSE))+(F84-1)</f>
        <v>3885695</v>
      </c>
      <c r="N84" s="2"/>
      <c r="O84" s="2"/>
      <c r="P84" s="2"/>
      <c r="Q84" s="2"/>
    </row>
    <row r="85" spans="1:17" s="1" customFormat="1" ht="15" customHeight="1" x14ac:dyDescent="0.25">
      <c r="A85" s="29" t="s">
        <v>2786</v>
      </c>
      <c r="B85" s="28" t="s">
        <v>273</v>
      </c>
      <c r="C85" s="6" t="s">
        <v>1981</v>
      </c>
      <c r="D85" s="1" t="s">
        <v>454</v>
      </c>
      <c r="E85" s="1">
        <v>2173</v>
      </c>
      <c r="F85" s="28">
        <v>182</v>
      </c>
      <c r="G85" s="9">
        <v>11</v>
      </c>
      <c r="H85" s="1">
        <v>185</v>
      </c>
      <c r="I85" s="1">
        <v>412</v>
      </c>
      <c r="J85" t="str">
        <f t="shared" si="1"/>
        <v>http://www.badatelna.eu/reprodukce/?fondId=1073&amp;zaznamId=1108959&amp;reproId=3780175</v>
      </c>
      <c r="K85">
        <f>IF(LEN(TRIM(E85))=0,"",VLOOKUP(E85,Sheet2!$B$1:$E$19,2,FALSE))</f>
        <v>1073</v>
      </c>
      <c r="L85">
        <f>IF(LEN(TRIM(E85))=0,"",VLOOKUP(E85,Sheet2!$B$1:$E$19,3,FALSE))</f>
        <v>1108959</v>
      </c>
      <c r="M85">
        <f>IF(LEN(TRIM(E85))=0,"",VLOOKUP(E85,Sheet2!$B$1:$E$19,4,FALSE))+(F85-1)</f>
        <v>3780175</v>
      </c>
    </row>
    <row r="86" spans="1:17" s="1" customFormat="1" ht="15" customHeight="1" x14ac:dyDescent="0.25">
      <c r="A86" s="28" t="s">
        <v>115</v>
      </c>
      <c r="B86" s="28" t="s">
        <v>29</v>
      </c>
      <c r="C86" s="6" t="s">
        <v>2473</v>
      </c>
      <c r="D86" s="1" t="s">
        <v>454</v>
      </c>
      <c r="E86" s="1">
        <v>2173</v>
      </c>
      <c r="F86" s="28">
        <v>205</v>
      </c>
      <c r="G86" s="1">
        <v>20</v>
      </c>
      <c r="H86" s="1" t="s">
        <v>3073</v>
      </c>
      <c r="I86" s="1" t="s">
        <v>3073</v>
      </c>
      <c r="J86" t="str">
        <f t="shared" si="1"/>
        <v>http://www.badatelna.eu/reprodukce/?fondId=1073&amp;zaznamId=1108959&amp;reproId=3780198</v>
      </c>
      <c r="K86">
        <f>IF(LEN(TRIM(E86))=0,"",VLOOKUP(E86,Sheet2!$B$1:$E$19,2,FALSE))</f>
        <v>1073</v>
      </c>
      <c r="L86">
        <f>IF(LEN(TRIM(E86))=0,"",VLOOKUP(E86,Sheet2!$B$1:$E$19,3,FALSE))</f>
        <v>1108959</v>
      </c>
      <c r="M86">
        <f>IF(LEN(TRIM(E86))=0,"",VLOOKUP(E86,Sheet2!$B$1:$E$19,4,FALSE))+(F86-1)</f>
        <v>3780198</v>
      </c>
      <c r="N86"/>
      <c r="O86"/>
      <c r="P86"/>
      <c r="Q86"/>
    </row>
    <row r="87" spans="1:17" s="1" customFormat="1" ht="15" customHeight="1" x14ac:dyDescent="0.25">
      <c r="A87" s="28" t="s">
        <v>115</v>
      </c>
      <c r="B87" s="28" t="s">
        <v>29</v>
      </c>
      <c r="C87" s="6" t="s">
        <v>2308</v>
      </c>
      <c r="D87" s="1" t="s">
        <v>454</v>
      </c>
      <c r="E87" s="1">
        <v>2173</v>
      </c>
      <c r="F87" s="31">
        <v>199</v>
      </c>
      <c r="G87" s="9">
        <v>7</v>
      </c>
      <c r="H87" s="1" t="s">
        <v>3073</v>
      </c>
      <c r="I87" s="1" t="s">
        <v>3073</v>
      </c>
      <c r="J87" t="str">
        <f t="shared" si="1"/>
        <v>http://www.badatelna.eu/reprodukce/?fondId=1073&amp;zaznamId=1108959&amp;reproId=3780192</v>
      </c>
      <c r="K87">
        <f>IF(LEN(TRIM(E87))=0,"",VLOOKUP(E87,Sheet2!$B$1:$E$19,2,FALSE))</f>
        <v>1073</v>
      </c>
      <c r="L87">
        <f>IF(LEN(TRIM(E87))=0,"",VLOOKUP(E87,Sheet2!$B$1:$E$19,3,FALSE))</f>
        <v>1108959</v>
      </c>
      <c r="M87">
        <f>IF(LEN(TRIM(E87))=0,"",VLOOKUP(E87,Sheet2!$B$1:$E$19,4,FALSE))+(F87-1)</f>
        <v>3780192</v>
      </c>
    </row>
    <row r="88" spans="1:17" s="1" customFormat="1" ht="15" customHeight="1" x14ac:dyDescent="0.25">
      <c r="A88" s="28" t="s">
        <v>115</v>
      </c>
      <c r="B88" s="28" t="s">
        <v>771</v>
      </c>
      <c r="C88" s="6" t="s">
        <v>1529</v>
      </c>
      <c r="D88" s="1" t="s">
        <v>454</v>
      </c>
      <c r="E88" s="1">
        <v>2172</v>
      </c>
      <c r="F88" s="28">
        <v>14</v>
      </c>
      <c r="G88" s="9">
        <v>13</v>
      </c>
      <c r="H88" s="1" t="s">
        <v>3073</v>
      </c>
      <c r="I88" s="1" t="s">
        <v>3073</v>
      </c>
      <c r="J88" t="str">
        <f t="shared" si="1"/>
        <v>http://www.badatelna.eu/reprodukce/?fondId=1073&amp;zaznamId=1108958&amp;reproId=3779755</v>
      </c>
      <c r="K88">
        <f>IF(LEN(TRIM(E88))=0,"",VLOOKUP(E88,Sheet2!$B$1:$E$19,2,FALSE))</f>
        <v>1073</v>
      </c>
      <c r="L88">
        <f>IF(LEN(TRIM(E88))=0,"",VLOOKUP(E88,Sheet2!$B$1:$E$19,3,FALSE))</f>
        <v>1108958</v>
      </c>
      <c r="M88">
        <f>IF(LEN(TRIM(E88))=0,"",VLOOKUP(E88,Sheet2!$B$1:$E$19,4,FALSE))+(F88-1)</f>
        <v>3779755</v>
      </c>
      <c r="N88" s="2"/>
      <c r="O88" s="2"/>
      <c r="P88" s="2"/>
      <c r="Q88" s="2"/>
    </row>
    <row r="89" spans="1:17" s="1" customFormat="1" ht="15" customHeight="1" x14ac:dyDescent="0.25">
      <c r="A89" s="28" t="s">
        <v>171</v>
      </c>
      <c r="B89" s="28" t="s">
        <v>290</v>
      </c>
      <c r="C89" s="6" t="s">
        <v>1496</v>
      </c>
      <c r="D89" s="1" t="s">
        <v>454</v>
      </c>
      <c r="E89" s="1">
        <v>2172</v>
      </c>
      <c r="F89" s="28">
        <v>4</v>
      </c>
      <c r="G89" s="9">
        <v>1</v>
      </c>
      <c r="H89" s="1">
        <v>8</v>
      </c>
      <c r="I89" s="1">
        <v>1</v>
      </c>
      <c r="J89" t="str">
        <f t="shared" si="1"/>
        <v>http://www.badatelna.eu/reprodukce/?fondId=1073&amp;zaznamId=1108958&amp;reproId=3779745</v>
      </c>
      <c r="K89">
        <f>IF(LEN(TRIM(E89))=0,"",VLOOKUP(E89,Sheet2!$B$1:$E$19,2,FALSE))</f>
        <v>1073</v>
      </c>
      <c r="L89">
        <f>IF(LEN(TRIM(E89))=0,"",VLOOKUP(E89,Sheet2!$B$1:$E$19,3,FALSE))</f>
        <v>1108958</v>
      </c>
      <c r="M89">
        <f>IF(LEN(TRIM(E89))=0,"",VLOOKUP(E89,Sheet2!$B$1:$E$19,4,FALSE))+(F89-1)</f>
        <v>3779745</v>
      </c>
      <c r="N89" s="2"/>
      <c r="O89" s="2"/>
      <c r="P89" s="2"/>
      <c r="Q89" s="2"/>
    </row>
    <row r="90" spans="1:17" s="1" customFormat="1" ht="15" customHeight="1" x14ac:dyDescent="0.25">
      <c r="A90" s="28" t="s">
        <v>171</v>
      </c>
      <c r="B90" s="28" t="s">
        <v>466</v>
      </c>
      <c r="C90" s="1">
        <v>1865</v>
      </c>
      <c r="D90" s="1" t="s">
        <v>2919</v>
      </c>
      <c r="E90" s="1">
        <v>999</v>
      </c>
      <c r="F90" s="28">
        <v>88</v>
      </c>
      <c r="G90" s="1">
        <v>9</v>
      </c>
      <c r="H90" s="1">
        <v>95</v>
      </c>
      <c r="I90" s="1">
        <v>153</v>
      </c>
      <c r="J90" t="str">
        <f t="shared" si="1"/>
        <v>http://www.badatelna.eu/reprodukce/?fondId=241&amp;zaznamId=1133739&amp;reproId=3885817</v>
      </c>
      <c r="K90">
        <f>IF(LEN(TRIM(E90))=0,"",VLOOKUP(E90,Sheet2!$B$1:$E$19,2,FALSE))</f>
        <v>241</v>
      </c>
      <c r="L90">
        <f>IF(LEN(TRIM(E90))=0,"",VLOOKUP(E90,Sheet2!$B$1:$E$19,3,FALSE))</f>
        <v>1133739</v>
      </c>
      <c r="M90">
        <f>IF(LEN(TRIM(E90))=0,"",VLOOKUP(E90,Sheet2!$B$1:$E$19,4,FALSE))+(F90-1)</f>
        <v>3885817</v>
      </c>
      <c r="N90"/>
      <c r="O90"/>
      <c r="P90"/>
      <c r="Q90"/>
    </row>
    <row r="91" spans="1:17" s="1" customFormat="1" ht="15" customHeight="1" x14ac:dyDescent="0.25">
      <c r="A91" s="27" t="s">
        <v>171</v>
      </c>
      <c r="B91" s="27" t="s">
        <v>472</v>
      </c>
      <c r="C91" s="5" t="s">
        <v>1260</v>
      </c>
      <c r="D91" s="3" t="s">
        <v>454</v>
      </c>
      <c r="E91" s="3">
        <v>2170</v>
      </c>
      <c r="F91" s="28">
        <v>56</v>
      </c>
      <c r="G91" s="10">
        <v>52</v>
      </c>
      <c r="H91" s="3">
        <v>67</v>
      </c>
      <c r="I91" s="3">
        <v>63</v>
      </c>
      <c r="J91" t="str">
        <f t="shared" si="1"/>
        <v>http://www.badatelna.eu/reprodukce/?fondId=1073&amp;zaznamId=1108956&amp;reproId=3779648</v>
      </c>
      <c r="K91">
        <f>IF(LEN(TRIM(E91))=0,"",VLOOKUP(E91,Sheet2!$B$1:$E$19,2,FALSE))</f>
        <v>1073</v>
      </c>
      <c r="L91">
        <f>IF(LEN(TRIM(E91))=0,"",VLOOKUP(E91,Sheet2!$B$1:$E$19,3,FALSE))</f>
        <v>1108956</v>
      </c>
      <c r="M91">
        <f>IF(LEN(TRIM(E91))=0,"",VLOOKUP(E91,Sheet2!$B$1:$E$19,4,FALSE))+(F91-1)</f>
        <v>3779648</v>
      </c>
    </row>
    <row r="92" spans="1:17" s="1" customFormat="1" ht="15" customHeight="1" x14ac:dyDescent="0.25">
      <c r="A92" s="28" t="s">
        <v>171</v>
      </c>
      <c r="B92" s="28" t="s">
        <v>172</v>
      </c>
      <c r="C92" s="6" t="s">
        <v>2392</v>
      </c>
      <c r="D92" s="1" t="s">
        <v>454</v>
      </c>
      <c r="E92" s="1">
        <v>2173</v>
      </c>
      <c r="F92" s="28">
        <v>202</v>
      </c>
      <c r="G92" s="9">
        <v>14</v>
      </c>
      <c r="H92" s="1" t="s">
        <v>3073</v>
      </c>
      <c r="I92" s="1" t="s">
        <v>3073</v>
      </c>
      <c r="J92" t="str">
        <f t="shared" si="1"/>
        <v>http://www.badatelna.eu/reprodukce/?fondId=1073&amp;zaznamId=1108959&amp;reproId=3780195</v>
      </c>
      <c r="K92">
        <f>IF(LEN(TRIM(E92))=0,"",VLOOKUP(E92,Sheet2!$B$1:$E$19,2,FALSE))</f>
        <v>1073</v>
      </c>
      <c r="L92">
        <f>IF(LEN(TRIM(E92))=0,"",VLOOKUP(E92,Sheet2!$B$1:$E$19,3,FALSE))</f>
        <v>1108959</v>
      </c>
      <c r="M92">
        <f>IF(LEN(TRIM(E92))=0,"",VLOOKUP(E92,Sheet2!$B$1:$E$19,4,FALSE))+(F92-1)</f>
        <v>3780195</v>
      </c>
    </row>
    <row r="93" spans="1:17" s="1" customFormat="1" ht="15" customHeight="1" x14ac:dyDescent="0.25">
      <c r="A93" s="28" t="s">
        <v>171</v>
      </c>
      <c r="B93" s="28" t="s">
        <v>25</v>
      </c>
      <c r="C93" s="6" t="s">
        <v>2552</v>
      </c>
      <c r="D93" s="1" t="s">
        <v>454</v>
      </c>
      <c r="E93" s="1">
        <v>2173</v>
      </c>
      <c r="F93" s="28">
        <v>208</v>
      </c>
      <c r="G93" s="1">
        <v>25</v>
      </c>
      <c r="H93" s="1" t="s">
        <v>3073</v>
      </c>
      <c r="I93" s="1" t="s">
        <v>3073</v>
      </c>
      <c r="J93" t="str">
        <f t="shared" si="1"/>
        <v>http://www.badatelna.eu/reprodukce/?fondId=1073&amp;zaznamId=1108959&amp;reproId=3780201</v>
      </c>
      <c r="K93">
        <f>IF(LEN(TRIM(E93))=0,"",VLOOKUP(E93,Sheet2!$B$1:$E$19,2,FALSE))</f>
        <v>1073</v>
      </c>
      <c r="L93">
        <f>IF(LEN(TRIM(E93))=0,"",VLOOKUP(E93,Sheet2!$B$1:$E$19,3,FALSE))</f>
        <v>1108959</v>
      </c>
      <c r="M93">
        <f>IF(LEN(TRIM(E93))=0,"",VLOOKUP(E93,Sheet2!$B$1:$E$19,4,FALSE))+(F93-1)</f>
        <v>3780201</v>
      </c>
    </row>
    <row r="94" spans="1:17" s="1" customFormat="1" ht="15" customHeight="1" x14ac:dyDescent="0.25">
      <c r="A94" s="29" t="s">
        <v>3036</v>
      </c>
      <c r="B94" s="28" t="s">
        <v>496</v>
      </c>
      <c r="C94" s="1">
        <v>1863</v>
      </c>
      <c r="D94" s="1" t="s">
        <v>2919</v>
      </c>
      <c r="E94" s="1">
        <v>999</v>
      </c>
      <c r="F94" s="28">
        <v>84</v>
      </c>
      <c r="G94" s="1">
        <v>5</v>
      </c>
      <c r="H94" s="1">
        <v>95</v>
      </c>
      <c r="I94" s="1">
        <v>153</v>
      </c>
      <c r="J94" t="str">
        <f t="shared" si="1"/>
        <v>http://www.badatelna.eu/reprodukce/?fondId=241&amp;zaznamId=1133739&amp;reproId=3885813</v>
      </c>
      <c r="K94">
        <f>IF(LEN(TRIM(E94))=0,"",VLOOKUP(E94,Sheet2!$B$1:$E$19,2,FALSE))</f>
        <v>241</v>
      </c>
      <c r="L94">
        <f>IF(LEN(TRIM(E94))=0,"",VLOOKUP(E94,Sheet2!$B$1:$E$19,3,FALSE))</f>
        <v>1133739</v>
      </c>
      <c r="M94">
        <f>IF(LEN(TRIM(E94))=0,"",VLOOKUP(E94,Sheet2!$B$1:$E$19,4,FALSE))+(F94-1)</f>
        <v>3885813</v>
      </c>
    </row>
    <row r="95" spans="1:17" s="1" customFormat="1" ht="15" customHeight="1" x14ac:dyDescent="0.25">
      <c r="A95" s="28" t="s">
        <v>30</v>
      </c>
      <c r="B95" s="28" t="s">
        <v>528</v>
      </c>
      <c r="C95" s="6" t="s">
        <v>1852</v>
      </c>
      <c r="D95" s="1" t="s">
        <v>454</v>
      </c>
      <c r="E95" s="1">
        <v>2172</v>
      </c>
      <c r="F95" s="28">
        <v>181</v>
      </c>
      <c r="G95" s="9">
        <v>173</v>
      </c>
      <c r="H95" s="1" t="s">
        <v>3073</v>
      </c>
      <c r="I95" s="1" t="s">
        <v>3073</v>
      </c>
      <c r="J95" t="str">
        <f t="shared" si="1"/>
        <v>http://www.badatelna.eu/reprodukce/?fondId=1073&amp;zaznamId=1108958&amp;reproId=3779922</v>
      </c>
      <c r="K95">
        <f>IF(LEN(TRIM(E95))=0,"",VLOOKUP(E95,Sheet2!$B$1:$E$19,2,FALSE))</f>
        <v>1073</v>
      </c>
      <c r="L95">
        <f>IF(LEN(TRIM(E95))=0,"",VLOOKUP(E95,Sheet2!$B$1:$E$19,3,FALSE))</f>
        <v>1108958</v>
      </c>
      <c r="M95">
        <f>IF(LEN(TRIM(E95))=0,"",VLOOKUP(E95,Sheet2!$B$1:$E$19,4,FALSE))+(F95-1)</f>
        <v>3779922</v>
      </c>
      <c r="N95"/>
      <c r="O95"/>
      <c r="P95"/>
      <c r="Q95"/>
    </row>
    <row r="96" spans="1:17" s="1" customFormat="1" ht="15" customHeight="1" x14ac:dyDescent="0.25">
      <c r="A96" s="28" t="s">
        <v>30</v>
      </c>
      <c r="B96" s="28" t="s">
        <v>357</v>
      </c>
      <c r="C96" s="1">
        <v>1850</v>
      </c>
      <c r="D96" s="1" t="s">
        <v>2919</v>
      </c>
      <c r="E96" s="1">
        <v>998</v>
      </c>
      <c r="F96" s="28">
        <v>30</v>
      </c>
      <c r="G96" s="1">
        <v>28</v>
      </c>
      <c r="H96" s="1">
        <v>63</v>
      </c>
      <c r="I96" s="1">
        <v>60</v>
      </c>
      <c r="J96" t="str">
        <f t="shared" si="1"/>
        <v>http://www.badatelna.eu/reprodukce/?fondId=241&amp;zaznamId=1133738&amp;reproId=3885676</v>
      </c>
      <c r="K96">
        <f>IF(LEN(TRIM(E96))=0,"",VLOOKUP(E96,Sheet2!$B$1:$E$19,2,FALSE))</f>
        <v>241</v>
      </c>
      <c r="L96">
        <f>IF(LEN(TRIM(E96))=0,"",VLOOKUP(E96,Sheet2!$B$1:$E$19,3,FALSE))</f>
        <v>1133738</v>
      </c>
      <c r="M96">
        <f>IF(LEN(TRIM(E96))=0,"",VLOOKUP(E96,Sheet2!$B$1:$E$19,4,FALSE))+(F96-1)</f>
        <v>3885676</v>
      </c>
    </row>
    <row r="97" spans="1:17" s="1" customFormat="1" ht="15" customHeight="1" x14ac:dyDescent="0.25">
      <c r="A97" s="28" t="s">
        <v>30</v>
      </c>
      <c r="B97" s="28" t="s">
        <v>29</v>
      </c>
      <c r="C97" s="6" t="s">
        <v>1985</v>
      </c>
      <c r="D97" s="1" t="s">
        <v>454</v>
      </c>
      <c r="E97" s="1">
        <v>2173</v>
      </c>
      <c r="F97" s="28">
        <v>210</v>
      </c>
      <c r="G97" s="9" t="s">
        <v>2863</v>
      </c>
      <c r="H97" s="1" t="s">
        <v>3073</v>
      </c>
      <c r="I97" s="1" t="s">
        <v>3073</v>
      </c>
      <c r="J97" t="str">
        <f t="shared" si="1"/>
        <v>http://www.badatelna.eu/reprodukce/?fondId=1073&amp;zaznamId=1108959&amp;reproId=3780203</v>
      </c>
      <c r="K97">
        <f>IF(LEN(TRIM(E97))=0,"",VLOOKUP(E97,Sheet2!$B$1:$E$19,2,FALSE))</f>
        <v>1073</v>
      </c>
      <c r="L97">
        <f>IF(LEN(TRIM(E97))=0,"",VLOOKUP(E97,Sheet2!$B$1:$E$19,3,FALSE))</f>
        <v>1108959</v>
      </c>
      <c r="M97">
        <f>IF(LEN(TRIM(E97))=0,"",VLOOKUP(E97,Sheet2!$B$1:$E$19,4,FALSE))+(F97-1)</f>
        <v>3780203</v>
      </c>
    </row>
    <row r="98" spans="1:17" s="1" customFormat="1" ht="15" customHeight="1" x14ac:dyDescent="0.25">
      <c r="A98" s="28" t="s">
        <v>30</v>
      </c>
      <c r="B98" s="28" t="s">
        <v>29</v>
      </c>
      <c r="C98" s="6" t="s">
        <v>2223</v>
      </c>
      <c r="D98" s="1" t="s">
        <v>454</v>
      </c>
      <c r="E98" s="1">
        <v>2173</v>
      </c>
      <c r="F98" s="28">
        <v>196</v>
      </c>
      <c r="G98" s="9">
        <v>1</v>
      </c>
      <c r="H98" s="1" t="s">
        <v>3073</v>
      </c>
      <c r="I98" s="1" t="s">
        <v>3073</v>
      </c>
      <c r="J98" t="str">
        <f t="shared" si="1"/>
        <v>http://www.badatelna.eu/reprodukce/?fondId=1073&amp;zaznamId=1108959&amp;reproId=3780189</v>
      </c>
      <c r="K98">
        <f>IF(LEN(TRIM(E98))=0,"",VLOOKUP(E98,Sheet2!$B$1:$E$19,2,FALSE))</f>
        <v>1073</v>
      </c>
      <c r="L98">
        <f>IF(LEN(TRIM(E98))=0,"",VLOOKUP(E98,Sheet2!$B$1:$E$19,3,FALSE))</f>
        <v>1108959</v>
      </c>
      <c r="M98">
        <f>IF(LEN(TRIM(E98))=0,"",VLOOKUP(E98,Sheet2!$B$1:$E$19,4,FALSE))+(F98-1)</f>
        <v>3780189</v>
      </c>
      <c r="N98"/>
      <c r="O98"/>
      <c r="P98"/>
      <c r="Q98"/>
    </row>
    <row r="99" spans="1:17" s="1" customFormat="1" ht="15" customHeight="1" x14ac:dyDescent="0.25">
      <c r="A99" s="28" t="s">
        <v>30</v>
      </c>
      <c r="B99" s="28" t="s">
        <v>3069</v>
      </c>
      <c r="C99" s="6" t="s">
        <v>1985</v>
      </c>
      <c r="D99" s="1" t="s">
        <v>454</v>
      </c>
      <c r="E99" s="1">
        <v>2173</v>
      </c>
      <c r="F99" s="28">
        <v>181</v>
      </c>
      <c r="G99" s="9">
        <v>8</v>
      </c>
      <c r="H99" s="1">
        <v>185</v>
      </c>
      <c r="I99" s="1">
        <v>412</v>
      </c>
      <c r="J99" t="str">
        <f t="shared" si="1"/>
        <v>http://www.badatelna.eu/reprodukce/?fondId=1073&amp;zaznamId=1108959&amp;reproId=3780174</v>
      </c>
      <c r="K99">
        <f>IF(LEN(TRIM(E99))=0,"",VLOOKUP(E99,Sheet2!$B$1:$E$19,2,FALSE))</f>
        <v>1073</v>
      </c>
      <c r="L99">
        <f>IF(LEN(TRIM(E99))=0,"",VLOOKUP(E99,Sheet2!$B$1:$E$19,3,FALSE))</f>
        <v>1108959</v>
      </c>
      <c r="M99">
        <f>IF(LEN(TRIM(E99))=0,"",VLOOKUP(E99,Sheet2!$B$1:$E$19,4,FALSE))+(F99-1)</f>
        <v>3780174</v>
      </c>
    </row>
    <row r="100" spans="1:17" s="1" customFormat="1" ht="15" customHeight="1" x14ac:dyDescent="0.25">
      <c r="A100" s="27" t="s">
        <v>30</v>
      </c>
      <c r="B100" s="27" t="s">
        <v>466</v>
      </c>
      <c r="C100" s="5" t="s">
        <v>1070</v>
      </c>
      <c r="D100" s="3" t="s">
        <v>454</v>
      </c>
      <c r="E100" s="3">
        <v>2170</v>
      </c>
      <c r="F100" s="28">
        <v>47</v>
      </c>
      <c r="G100" s="10">
        <v>43</v>
      </c>
      <c r="H100" s="3">
        <v>61</v>
      </c>
      <c r="I100" s="3">
        <v>57</v>
      </c>
      <c r="J100" t="str">
        <f t="shared" si="1"/>
        <v>http://www.badatelna.eu/reprodukce/?fondId=1073&amp;zaznamId=1108956&amp;reproId=3779639</v>
      </c>
      <c r="K100">
        <f>IF(LEN(TRIM(E100))=0,"",VLOOKUP(E100,Sheet2!$B$1:$E$19,2,FALSE))</f>
        <v>1073</v>
      </c>
      <c r="L100">
        <f>IF(LEN(TRIM(E100))=0,"",VLOOKUP(E100,Sheet2!$B$1:$E$19,3,FALSE))</f>
        <v>1108956</v>
      </c>
      <c r="M100">
        <f>IF(LEN(TRIM(E100))=0,"",VLOOKUP(E100,Sheet2!$B$1:$E$19,4,FALSE))+(F100-1)</f>
        <v>3779639</v>
      </c>
    </row>
    <row r="101" spans="1:17" s="1" customFormat="1" ht="15" customHeight="1" x14ac:dyDescent="0.25">
      <c r="A101" s="28" t="s">
        <v>30</v>
      </c>
      <c r="B101" s="28" t="s">
        <v>155</v>
      </c>
      <c r="C101" s="1">
        <v>1883</v>
      </c>
      <c r="D101" s="1" t="s">
        <v>454</v>
      </c>
      <c r="E101" s="1">
        <v>2172</v>
      </c>
      <c r="F101" s="28">
        <v>34</v>
      </c>
      <c r="G101" s="20" t="s">
        <v>2761</v>
      </c>
      <c r="H101" s="1">
        <v>36</v>
      </c>
      <c r="I101" s="1">
        <v>35</v>
      </c>
      <c r="J101" t="str">
        <f t="shared" si="1"/>
        <v>http://www.badatelna.eu/reprodukce/?fondId=1073&amp;zaznamId=1108958&amp;reproId=3779775</v>
      </c>
      <c r="K101">
        <f>IF(LEN(TRIM(E101))=0,"",VLOOKUP(E101,Sheet2!$B$1:$E$19,2,FALSE))</f>
        <v>1073</v>
      </c>
      <c r="L101">
        <f>IF(LEN(TRIM(E101))=0,"",VLOOKUP(E101,Sheet2!$B$1:$E$19,3,FALSE))</f>
        <v>1108958</v>
      </c>
      <c r="M101">
        <f>IF(LEN(TRIM(E101))=0,"",VLOOKUP(E101,Sheet2!$B$1:$E$19,4,FALSE))+(F101-1)</f>
        <v>3779775</v>
      </c>
    </row>
    <row r="102" spans="1:17" s="1" customFormat="1" ht="15" customHeight="1" x14ac:dyDescent="0.25">
      <c r="A102" s="28" t="s">
        <v>30</v>
      </c>
      <c r="B102" s="28" t="s">
        <v>179</v>
      </c>
      <c r="C102" s="6" t="s">
        <v>2613</v>
      </c>
      <c r="D102" s="1" t="s">
        <v>454</v>
      </c>
      <c r="E102" s="1">
        <v>2173</v>
      </c>
      <c r="F102" s="28">
        <v>219</v>
      </c>
      <c r="G102" s="9">
        <v>47</v>
      </c>
      <c r="H102" s="1" t="s">
        <v>3073</v>
      </c>
      <c r="I102" s="1" t="s">
        <v>3073</v>
      </c>
      <c r="J102" t="str">
        <f t="shared" si="1"/>
        <v>http://www.badatelna.eu/reprodukce/?fondId=1073&amp;zaznamId=1108959&amp;reproId=3780212</v>
      </c>
      <c r="K102">
        <f>IF(LEN(TRIM(E102))=0,"",VLOOKUP(E102,Sheet2!$B$1:$E$19,2,FALSE))</f>
        <v>1073</v>
      </c>
      <c r="L102">
        <f>IF(LEN(TRIM(E102))=0,"",VLOOKUP(E102,Sheet2!$B$1:$E$19,3,FALSE))</f>
        <v>1108959</v>
      </c>
      <c r="M102">
        <f>IF(LEN(TRIM(E102))=0,"",VLOOKUP(E102,Sheet2!$B$1:$E$19,4,FALSE))+(F102-1)</f>
        <v>3780212</v>
      </c>
    </row>
    <row r="103" spans="1:17" s="1" customFormat="1" ht="15" customHeight="1" x14ac:dyDescent="0.25">
      <c r="A103" s="29" t="s">
        <v>30</v>
      </c>
      <c r="B103" s="29" t="s">
        <v>183</v>
      </c>
      <c r="C103" s="17">
        <v>1882</v>
      </c>
      <c r="D103" s="17" t="s">
        <v>454</v>
      </c>
      <c r="E103" s="17">
        <v>2172</v>
      </c>
      <c r="F103" s="29">
        <v>29</v>
      </c>
      <c r="G103" s="20" t="s">
        <v>2758</v>
      </c>
      <c r="H103" s="17">
        <v>30</v>
      </c>
      <c r="I103" s="17">
        <v>29</v>
      </c>
      <c r="J103" t="str">
        <f t="shared" si="1"/>
        <v>http://www.badatelna.eu/reprodukce/?fondId=1073&amp;zaznamId=1108958&amp;reproId=3779770</v>
      </c>
      <c r="K103">
        <f>IF(LEN(TRIM(E103))=0,"",VLOOKUP(E103,Sheet2!$B$1:$E$19,2,FALSE))</f>
        <v>1073</v>
      </c>
      <c r="L103">
        <f>IF(LEN(TRIM(E103))=0,"",VLOOKUP(E103,Sheet2!$B$1:$E$19,3,FALSE))</f>
        <v>1108958</v>
      </c>
      <c r="M103">
        <f>IF(LEN(TRIM(E103))=0,"",VLOOKUP(E103,Sheet2!$B$1:$E$19,4,FALSE))+(F103-1)</f>
        <v>3779770</v>
      </c>
      <c r="N103" s="2"/>
      <c r="O103" s="2"/>
      <c r="P103" s="2"/>
      <c r="Q103" s="2"/>
    </row>
    <row r="104" spans="1:17" s="1" customFormat="1" ht="15" customHeight="1" x14ac:dyDescent="0.25">
      <c r="A104" s="28" t="s">
        <v>30</v>
      </c>
      <c r="B104" s="29" t="s">
        <v>60</v>
      </c>
      <c r="C104" s="1">
        <v>1852</v>
      </c>
      <c r="D104" s="1" t="s">
        <v>2919</v>
      </c>
      <c r="E104" s="1">
        <v>998</v>
      </c>
      <c r="F104" s="28">
        <v>34</v>
      </c>
      <c r="G104" s="1">
        <v>32</v>
      </c>
      <c r="H104" s="1">
        <v>63</v>
      </c>
      <c r="I104" s="1">
        <v>60</v>
      </c>
      <c r="J104" t="str">
        <f t="shared" si="1"/>
        <v>http://www.badatelna.eu/reprodukce/?fondId=241&amp;zaznamId=1133738&amp;reproId=3885680</v>
      </c>
      <c r="K104">
        <f>IF(LEN(TRIM(E104))=0,"",VLOOKUP(E104,Sheet2!$B$1:$E$19,2,FALSE))</f>
        <v>241</v>
      </c>
      <c r="L104">
        <f>IF(LEN(TRIM(E104))=0,"",VLOOKUP(E104,Sheet2!$B$1:$E$19,3,FALSE))</f>
        <v>1133738</v>
      </c>
      <c r="M104">
        <f>IF(LEN(TRIM(E104))=0,"",VLOOKUP(E104,Sheet2!$B$1:$E$19,4,FALSE))+(F104-1)</f>
        <v>3885680</v>
      </c>
      <c r="N104"/>
      <c r="O104"/>
      <c r="P104"/>
      <c r="Q104"/>
    </row>
    <row r="105" spans="1:17" s="1" customFormat="1" ht="15" customHeight="1" x14ac:dyDescent="0.25">
      <c r="A105" s="28" t="s">
        <v>30</v>
      </c>
      <c r="B105" s="28" t="s">
        <v>60</v>
      </c>
      <c r="C105" s="6" t="s">
        <v>2309</v>
      </c>
      <c r="D105" s="1" t="s">
        <v>454</v>
      </c>
      <c r="E105" s="1">
        <v>2173</v>
      </c>
      <c r="F105" s="31">
        <v>199</v>
      </c>
      <c r="G105" s="9">
        <v>8</v>
      </c>
      <c r="H105" s="1" t="s">
        <v>3073</v>
      </c>
      <c r="I105" s="1" t="s">
        <v>3073</v>
      </c>
      <c r="J105" t="str">
        <f t="shared" si="1"/>
        <v>http://www.badatelna.eu/reprodukce/?fondId=1073&amp;zaznamId=1108959&amp;reproId=3780192</v>
      </c>
      <c r="K105">
        <f>IF(LEN(TRIM(E105))=0,"",VLOOKUP(E105,Sheet2!$B$1:$E$19,2,FALSE))</f>
        <v>1073</v>
      </c>
      <c r="L105">
        <f>IF(LEN(TRIM(E105))=0,"",VLOOKUP(E105,Sheet2!$B$1:$E$19,3,FALSE))</f>
        <v>1108959</v>
      </c>
      <c r="M105">
        <f>IF(LEN(TRIM(E105))=0,"",VLOOKUP(E105,Sheet2!$B$1:$E$19,4,FALSE))+(F105-1)</f>
        <v>3780192</v>
      </c>
      <c r="N105" s="2"/>
      <c r="O105" s="2"/>
      <c r="P105" s="2"/>
      <c r="Q105" s="2"/>
    </row>
    <row r="106" spans="1:17" s="1" customFormat="1" ht="15" customHeight="1" x14ac:dyDescent="0.25">
      <c r="A106" s="28" t="s">
        <v>30</v>
      </c>
      <c r="B106" s="28" t="s">
        <v>571</v>
      </c>
      <c r="C106" s="1">
        <v>1856</v>
      </c>
      <c r="D106" s="1" t="s">
        <v>2919</v>
      </c>
      <c r="E106" s="1">
        <v>998</v>
      </c>
      <c r="F106" s="28">
        <v>49</v>
      </c>
      <c r="G106" s="1">
        <v>47</v>
      </c>
      <c r="H106" s="1">
        <v>63</v>
      </c>
      <c r="I106" s="1">
        <v>60</v>
      </c>
      <c r="J106" t="str">
        <f t="shared" si="1"/>
        <v>http://www.badatelna.eu/reprodukce/?fondId=241&amp;zaznamId=1133738&amp;reproId=3885695</v>
      </c>
      <c r="K106">
        <f>IF(LEN(TRIM(E106))=0,"",VLOOKUP(E106,Sheet2!$B$1:$E$19,2,FALSE))</f>
        <v>241</v>
      </c>
      <c r="L106">
        <f>IF(LEN(TRIM(E106))=0,"",VLOOKUP(E106,Sheet2!$B$1:$E$19,3,FALSE))</f>
        <v>1133738</v>
      </c>
      <c r="M106">
        <f>IF(LEN(TRIM(E106))=0,"",VLOOKUP(E106,Sheet2!$B$1:$E$19,4,FALSE))+(F106-1)</f>
        <v>3885695</v>
      </c>
      <c r="N106"/>
      <c r="O106"/>
      <c r="P106"/>
      <c r="Q106"/>
    </row>
    <row r="107" spans="1:17" s="1" customFormat="1" ht="15" customHeight="1" x14ac:dyDescent="0.25">
      <c r="A107" s="28" t="s">
        <v>30</v>
      </c>
      <c r="B107" s="28" t="s">
        <v>28</v>
      </c>
      <c r="C107" s="1">
        <v>1851</v>
      </c>
      <c r="D107" s="1" t="s">
        <v>2919</v>
      </c>
      <c r="E107" s="1">
        <v>998</v>
      </c>
      <c r="F107" s="28">
        <v>33</v>
      </c>
      <c r="G107" s="1">
        <v>31</v>
      </c>
      <c r="H107" s="1">
        <v>63</v>
      </c>
      <c r="I107" s="1">
        <v>60</v>
      </c>
      <c r="J107" t="str">
        <f t="shared" si="1"/>
        <v>http://www.badatelna.eu/reprodukce/?fondId=241&amp;zaznamId=1133738&amp;reproId=3885679</v>
      </c>
      <c r="K107">
        <f>IF(LEN(TRIM(E107))=0,"",VLOOKUP(E107,Sheet2!$B$1:$E$19,2,FALSE))</f>
        <v>241</v>
      </c>
      <c r="L107">
        <f>IF(LEN(TRIM(E107))=0,"",VLOOKUP(E107,Sheet2!$B$1:$E$19,3,FALSE))</f>
        <v>1133738</v>
      </c>
      <c r="M107">
        <f>IF(LEN(TRIM(E107))=0,"",VLOOKUP(E107,Sheet2!$B$1:$E$19,4,FALSE))+(F107-1)</f>
        <v>3885679</v>
      </c>
    </row>
    <row r="108" spans="1:17" s="1" customFormat="1" ht="15" customHeight="1" x14ac:dyDescent="0.25">
      <c r="A108" s="28" t="s">
        <v>30</v>
      </c>
      <c r="B108" s="28" t="s">
        <v>469</v>
      </c>
      <c r="C108" s="1">
        <v>1849</v>
      </c>
      <c r="D108" s="1" t="s">
        <v>2919</v>
      </c>
      <c r="E108" s="1">
        <v>998</v>
      </c>
      <c r="F108" s="28">
        <v>26</v>
      </c>
      <c r="G108" s="1">
        <v>24</v>
      </c>
      <c r="H108" s="1">
        <v>63</v>
      </c>
      <c r="I108" s="1">
        <v>60</v>
      </c>
      <c r="J108" t="str">
        <f t="shared" si="1"/>
        <v>http://www.badatelna.eu/reprodukce/?fondId=241&amp;zaznamId=1133738&amp;reproId=3885672</v>
      </c>
      <c r="K108">
        <f>IF(LEN(TRIM(E108))=0,"",VLOOKUP(E108,Sheet2!$B$1:$E$19,2,FALSE))</f>
        <v>241</v>
      </c>
      <c r="L108">
        <f>IF(LEN(TRIM(E108))=0,"",VLOOKUP(E108,Sheet2!$B$1:$E$19,3,FALSE))</f>
        <v>1133738</v>
      </c>
      <c r="M108">
        <f>IF(LEN(TRIM(E108))=0,"",VLOOKUP(E108,Sheet2!$B$1:$E$19,4,FALSE))+(F108-1)</f>
        <v>3885672</v>
      </c>
      <c r="N108" s="2"/>
      <c r="O108" s="2"/>
      <c r="P108" s="2"/>
      <c r="Q108" s="2"/>
    </row>
    <row r="109" spans="1:17" s="1" customFormat="1" ht="15" customHeight="1" x14ac:dyDescent="0.25">
      <c r="A109" s="28" t="s">
        <v>30</v>
      </c>
      <c r="B109" s="28" t="s">
        <v>13</v>
      </c>
      <c r="C109" s="6" t="s">
        <v>2335</v>
      </c>
      <c r="D109" s="1" t="s">
        <v>454</v>
      </c>
      <c r="E109" s="1">
        <v>2173</v>
      </c>
      <c r="F109" s="28">
        <v>200</v>
      </c>
      <c r="G109" s="9">
        <v>10</v>
      </c>
      <c r="H109" s="1" t="s">
        <v>3073</v>
      </c>
      <c r="I109" s="1" t="s">
        <v>3073</v>
      </c>
      <c r="J109" t="str">
        <f t="shared" si="1"/>
        <v>http://www.badatelna.eu/reprodukce/?fondId=1073&amp;zaznamId=1108959&amp;reproId=3780193</v>
      </c>
      <c r="K109">
        <f>IF(LEN(TRIM(E109))=0,"",VLOOKUP(E109,Sheet2!$B$1:$E$19,2,FALSE))</f>
        <v>1073</v>
      </c>
      <c r="L109">
        <f>IF(LEN(TRIM(E109))=0,"",VLOOKUP(E109,Sheet2!$B$1:$E$19,3,FALSE))</f>
        <v>1108959</v>
      </c>
      <c r="M109">
        <f>IF(LEN(TRIM(E109))=0,"",VLOOKUP(E109,Sheet2!$B$1:$E$19,4,FALSE))+(F109-1)</f>
        <v>3780193</v>
      </c>
    </row>
    <row r="110" spans="1:17" s="1" customFormat="1" ht="15" customHeight="1" x14ac:dyDescent="0.25">
      <c r="A110" s="27" t="s">
        <v>30</v>
      </c>
      <c r="B110" s="27" t="s">
        <v>247</v>
      </c>
      <c r="C110" s="5" t="s">
        <v>1069</v>
      </c>
      <c r="D110" s="3" t="s">
        <v>454</v>
      </c>
      <c r="E110" s="3">
        <v>2170</v>
      </c>
      <c r="F110" s="28">
        <v>22</v>
      </c>
      <c r="G110" s="10">
        <v>18</v>
      </c>
      <c r="H110" s="3">
        <v>61</v>
      </c>
      <c r="I110" s="3">
        <v>57</v>
      </c>
      <c r="J110" t="str">
        <f t="shared" si="1"/>
        <v>http://www.badatelna.eu/reprodukce/?fondId=1073&amp;zaznamId=1108956&amp;reproId=3779614</v>
      </c>
      <c r="K110">
        <f>IF(LEN(TRIM(E110))=0,"",VLOOKUP(E110,Sheet2!$B$1:$E$19,2,FALSE))</f>
        <v>1073</v>
      </c>
      <c r="L110">
        <f>IF(LEN(TRIM(E110))=0,"",VLOOKUP(E110,Sheet2!$B$1:$E$19,3,FALSE))</f>
        <v>1108956</v>
      </c>
      <c r="M110">
        <f>IF(LEN(TRIM(E110))=0,"",VLOOKUP(E110,Sheet2!$B$1:$E$19,4,FALSE))+(F110-1)</f>
        <v>3779614</v>
      </c>
      <c r="N110" s="2"/>
      <c r="O110" s="2"/>
      <c r="P110" s="2"/>
      <c r="Q110" s="2"/>
    </row>
    <row r="111" spans="1:17" s="1" customFormat="1" ht="15" customHeight="1" x14ac:dyDescent="0.25">
      <c r="A111" s="28" t="s">
        <v>30</v>
      </c>
      <c r="B111" s="28" t="s">
        <v>407</v>
      </c>
      <c r="C111" s="1">
        <v>1849</v>
      </c>
      <c r="D111" s="1" t="s">
        <v>2919</v>
      </c>
      <c r="E111" s="1">
        <v>998</v>
      </c>
      <c r="F111" s="28">
        <v>18</v>
      </c>
      <c r="G111" s="1">
        <v>20</v>
      </c>
      <c r="H111" s="1">
        <v>63</v>
      </c>
      <c r="I111" s="1">
        <v>60</v>
      </c>
      <c r="J111" t="str">
        <f t="shared" si="1"/>
        <v>http://www.badatelna.eu/reprodukce/?fondId=241&amp;zaznamId=1133738&amp;reproId=3885664</v>
      </c>
      <c r="K111">
        <f>IF(LEN(TRIM(E111))=0,"",VLOOKUP(E111,Sheet2!$B$1:$E$19,2,FALSE))</f>
        <v>241</v>
      </c>
      <c r="L111">
        <f>IF(LEN(TRIM(E111))=0,"",VLOOKUP(E111,Sheet2!$B$1:$E$19,3,FALSE))</f>
        <v>1133738</v>
      </c>
      <c r="M111">
        <f>IF(LEN(TRIM(E111))=0,"",VLOOKUP(E111,Sheet2!$B$1:$E$19,4,FALSE))+(F111-1)</f>
        <v>3885664</v>
      </c>
      <c r="N111" s="2"/>
      <c r="O111" s="2"/>
      <c r="P111" s="2"/>
      <c r="Q111" s="2"/>
    </row>
    <row r="112" spans="1:17" s="1" customFormat="1" ht="15" customHeight="1" x14ac:dyDescent="0.25">
      <c r="A112" s="28" t="s">
        <v>30</v>
      </c>
      <c r="B112" s="28" t="s">
        <v>2925</v>
      </c>
      <c r="C112" s="1">
        <v>1849</v>
      </c>
      <c r="D112" s="1" t="s">
        <v>2919</v>
      </c>
      <c r="E112" s="1">
        <v>998</v>
      </c>
      <c r="F112" s="28">
        <v>23</v>
      </c>
      <c r="G112" s="1">
        <v>21</v>
      </c>
      <c r="H112" s="1">
        <v>63</v>
      </c>
      <c r="I112" s="1">
        <v>60</v>
      </c>
      <c r="J112" t="str">
        <f t="shared" si="1"/>
        <v>http://www.badatelna.eu/reprodukce/?fondId=241&amp;zaznamId=1133738&amp;reproId=3885669</v>
      </c>
      <c r="K112">
        <f>IF(LEN(TRIM(E112))=0,"",VLOOKUP(E112,Sheet2!$B$1:$E$19,2,FALSE))</f>
        <v>241</v>
      </c>
      <c r="L112">
        <f>IF(LEN(TRIM(E112))=0,"",VLOOKUP(E112,Sheet2!$B$1:$E$19,3,FALSE))</f>
        <v>1133738</v>
      </c>
      <c r="M112">
        <f>IF(LEN(TRIM(E112))=0,"",VLOOKUP(E112,Sheet2!$B$1:$E$19,4,FALSE))+(F112-1)</f>
        <v>3885669</v>
      </c>
    </row>
    <row r="113" spans="1:17" s="1" customFormat="1" ht="15" customHeight="1" x14ac:dyDescent="0.25">
      <c r="A113" s="28" t="s">
        <v>30</v>
      </c>
      <c r="B113" s="28" t="s">
        <v>650</v>
      </c>
      <c r="C113" s="6" t="s">
        <v>1530</v>
      </c>
      <c r="D113" s="1" t="s">
        <v>454</v>
      </c>
      <c r="E113" s="1">
        <v>2172</v>
      </c>
      <c r="F113" s="28">
        <v>14</v>
      </c>
      <c r="G113" s="9">
        <v>13</v>
      </c>
      <c r="H113" s="1" t="s">
        <v>3073</v>
      </c>
      <c r="I113" s="1" t="s">
        <v>3073</v>
      </c>
      <c r="J113" t="str">
        <f t="shared" si="1"/>
        <v>http://www.badatelna.eu/reprodukce/?fondId=1073&amp;zaznamId=1108958&amp;reproId=3779755</v>
      </c>
      <c r="K113">
        <f>IF(LEN(TRIM(E113))=0,"",VLOOKUP(E113,Sheet2!$B$1:$E$19,2,FALSE))</f>
        <v>1073</v>
      </c>
      <c r="L113">
        <f>IF(LEN(TRIM(E113))=0,"",VLOOKUP(E113,Sheet2!$B$1:$E$19,3,FALSE))</f>
        <v>1108958</v>
      </c>
      <c r="M113">
        <f>IF(LEN(TRIM(E113))=0,"",VLOOKUP(E113,Sheet2!$B$1:$E$19,4,FALSE))+(F113-1)</f>
        <v>3779755</v>
      </c>
      <c r="N113"/>
      <c r="O113"/>
      <c r="P113"/>
      <c r="Q113"/>
    </row>
    <row r="114" spans="1:17" s="1" customFormat="1" ht="15" customHeight="1" x14ac:dyDescent="0.25">
      <c r="A114" s="28" t="s">
        <v>772</v>
      </c>
      <c r="B114" s="28" t="s">
        <v>517</v>
      </c>
      <c r="C114" s="6" t="s">
        <v>1919</v>
      </c>
      <c r="D114" s="1" t="s">
        <v>454</v>
      </c>
      <c r="E114" s="1">
        <v>2172</v>
      </c>
      <c r="F114" s="28">
        <v>213</v>
      </c>
      <c r="G114" s="9">
        <v>197</v>
      </c>
      <c r="H114" s="1" t="s">
        <v>3073</v>
      </c>
      <c r="I114" s="1" t="s">
        <v>3073</v>
      </c>
      <c r="J114" t="str">
        <f t="shared" si="1"/>
        <v>http://www.badatelna.eu/reprodukce/?fondId=1073&amp;zaznamId=1108958&amp;reproId=3779954</v>
      </c>
      <c r="K114">
        <f>IF(LEN(TRIM(E114))=0,"",VLOOKUP(E114,Sheet2!$B$1:$E$19,2,FALSE))</f>
        <v>1073</v>
      </c>
      <c r="L114">
        <f>IF(LEN(TRIM(E114))=0,"",VLOOKUP(E114,Sheet2!$B$1:$E$19,3,FALSE))</f>
        <v>1108958</v>
      </c>
      <c r="M114">
        <f>IF(LEN(TRIM(E114))=0,"",VLOOKUP(E114,Sheet2!$B$1:$E$19,4,FALSE))+(F114-1)</f>
        <v>3779954</v>
      </c>
    </row>
    <row r="115" spans="1:17" s="1" customFormat="1" ht="15" customHeight="1" x14ac:dyDescent="0.25">
      <c r="A115" s="27" t="s">
        <v>473</v>
      </c>
      <c r="B115" s="27" t="s">
        <v>472</v>
      </c>
      <c r="C115" s="5" t="s">
        <v>1071</v>
      </c>
      <c r="D115" s="3" t="s">
        <v>454</v>
      </c>
      <c r="E115" s="3">
        <v>2170</v>
      </c>
      <c r="F115" s="28">
        <v>39</v>
      </c>
      <c r="G115" s="10">
        <v>35</v>
      </c>
      <c r="H115" s="3">
        <v>61</v>
      </c>
      <c r="I115" s="3">
        <v>57</v>
      </c>
      <c r="J115" t="str">
        <f t="shared" si="1"/>
        <v>http://www.badatelna.eu/reprodukce/?fondId=1073&amp;zaznamId=1108956&amp;reproId=3779631</v>
      </c>
      <c r="K115">
        <f>IF(LEN(TRIM(E115))=0,"",VLOOKUP(E115,Sheet2!$B$1:$E$19,2,FALSE))</f>
        <v>1073</v>
      </c>
      <c r="L115">
        <f>IF(LEN(TRIM(E115))=0,"",VLOOKUP(E115,Sheet2!$B$1:$E$19,3,FALSE))</f>
        <v>1108956</v>
      </c>
      <c r="M115">
        <f>IF(LEN(TRIM(E115))=0,"",VLOOKUP(E115,Sheet2!$B$1:$E$19,4,FALSE))+(F115-1)</f>
        <v>3779631</v>
      </c>
      <c r="N115" s="2"/>
      <c r="O115" s="2"/>
      <c r="P115" s="2"/>
      <c r="Q115" s="2"/>
    </row>
    <row r="116" spans="1:17" s="1" customFormat="1" ht="15" customHeight="1" x14ac:dyDescent="0.25">
      <c r="A116" s="28" t="s">
        <v>773</v>
      </c>
      <c r="B116" s="28" t="s">
        <v>513</v>
      </c>
      <c r="C116" s="15">
        <v>10869</v>
      </c>
      <c r="D116" s="1" t="s">
        <v>454</v>
      </c>
      <c r="E116" s="1">
        <v>2172</v>
      </c>
      <c r="F116" s="28">
        <v>217</v>
      </c>
      <c r="G116" s="9">
        <v>201</v>
      </c>
      <c r="H116" s="1" t="s">
        <v>3073</v>
      </c>
      <c r="I116" s="1" t="s">
        <v>3073</v>
      </c>
      <c r="J116" t="str">
        <f t="shared" si="1"/>
        <v>http://www.badatelna.eu/reprodukce/?fondId=1073&amp;zaznamId=1108958&amp;reproId=3779958</v>
      </c>
      <c r="K116">
        <f>IF(LEN(TRIM(E116))=0,"",VLOOKUP(E116,Sheet2!$B$1:$E$19,2,FALSE))</f>
        <v>1073</v>
      </c>
      <c r="L116">
        <f>IF(LEN(TRIM(E116))=0,"",VLOOKUP(E116,Sheet2!$B$1:$E$19,3,FALSE))</f>
        <v>1108958</v>
      </c>
      <c r="M116">
        <f>IF(LEN(TRIM(E116))=0,"",VLOOKUP(E116,Sheet2!$B$1:$E$19,4,FALSE))+(F116-1)</f>
        <v>3779958</v>
      </c>
      <c r="N116"/>
      <c r="O116"/>
      <c r="P116"/>
      <c r="Q116"/>
    </row>
    <row r="117" spans="1:17" s="1" customFormat="1" ht="15" customHeight="1" x14ac:dyDescent="0.25">
      <c r="A117" s="28" t="s">
        <v>474</v>
      </c>
      <c r="B117" s="29" t="s">
        <v>29</v>
      </c>
      <c r="C117" s="1">
        <v>1857</v>
      </c>
      <c r="D117" s="1" t="s">
        <v>2919</v>
      </c>
      <c r="E117" s="1">
        <v>998</v>
      </c>
      <c r="F117" s="28">
        <v>52</v>
      </c>
      <c r="G117" s="1">
        <v>50</v>
      </c>
      <c r="H117" s="1">
        <v>64</v>
      </c>
      <c r="I117" s="1">
        <v>61</v>
      </c>
      <c r="J117" t="str">
        <f t="shared" si="1"/>
        <v>http://www.badatelna.eu/reprodukce/?fondId=241&amp;zaznamId=1133738&amp;reproId=3885698</v>
      </c>
      <c r="K117">
        <f>IF(LEN(TRIM(E117))=0,"",VLOOKUP(E117,Sheet2!$B$1:$E$19,2,FALSE))</f>
        <v>241</v>
      </c>
      <c r="L117">
        <f>IF(LEN(TRIM(E117))=0,"",VLOOKUP(E117,Sheet2!$B$1:$E$19,3,FALSE))</f>
        <v>1133738</v>
      </c>
      <c r="M117">
        <f>IF(LEN(TRIM(E117))=0,"",VLOOKUP(E117,Sheet2!$B$1:$E$19,4,FALSE))+(F117-1)</f>
        <v>3885698</v>
      </c>
    </row>
    <row r="118" spans="1:17" s="1" customFormat="1" ht="15" customHeight="1" x14ac:dyDescent="0.25">
      <c r="A118" s="28" t="s">
        <v>474</v>
      </c>
      <c r="B118" s="28" t="s">
        <v>29</v>
      </c>
      <c r="C118" s="6" t="s">
        <v>2889</v>
      </c>
      <c r="D118" s="1" t="s">
        <v>454</v>
      </c>
      <c r="E118" s="1">
        <v>2173</v>
      </c>
      <c r="F118" s="28">
        <v>211</v>
      </c>
      <c r="G118" s="9" t="s">
        <v>2881</v>
      </c>
      <c r="H118" s="1" t="s">
        <v>3073</v>
      </c>
      <c r="I118" s="1" t="s">
        <v>3073</v>
      </c>
      <c r="J118" t="str">
        <f t="shared" si="1"/>
        <v>http://www.badatelna.eu/reprodukce/?fondId=1073&amp;zaznamId=1108959&amp;reproId=3780204</v>
      </c>
      <c r="K118">
        <f>IF(LEN(TRIM(E118))=0,"",VLOOKUP(E118,Sheet2!$B$1:$E$19,2,FALSE))</f>
        <v>1073</v>
      </c>
      <c r="L118">
        <f>IF(LEN(TRIM(E118))=0,"",VLOOKUP(E118,Sheet2!$B$1:$E$19,3,FALSE))</f>
        <v>1108959</v>
      </c>
      <c r="M118">
        <f>IF(LEN(TRIM(E118))=0,"",VLOOKUP(E118,Sheet2!$B$1:$E$19,4,FALSE))+(F118-1)</f>
        <v>3780204</v>
      </c>
    </row>
    <row r="119" spans="1:17" s="1" customFormat="1" ht="15" customHeight="1" x14ac:dyDescent="0.25">
      <c r="A119" s="27" t="s">
        <v>474</v>
      </c>
      <c r="B119" s="27" t="s">
        <v>29</v>
      </c>
      <c r="C119" s="5" t="s">
        <v>1072</v>
      </c>
      <c r="D119" s="3" t="s">
        <v>454</v>
      </c>
      <c r="E119" s="3">
        <v>2170</v>
      </c>
      <c r="F119" s="28">
        <v>35</v>
      </c>
      <c r="G119" s="10">
        <v>31</v>
      </c>
      <c r="H119" s="3">
        <v>61</v>
      </c>
      <c r="I119" s="3">
        <v>57</v>
      </c>
      <c r="J119" t="str">
        <f t="shared" si="1"/>
        <v>http://www.badatelna.eu/reprodukce/?fondId=1073&amp;zaznamId=1108956&amp;reproId=3779627</v>
      </c>
      <c r="K119">
        <f>IF(LEN(TRIM(E119))=0,"",VLOOKUP(E119,Sheet2!$B$1:$E$19,2,FALSE))</f>
        <v>1073</v>
      </c>
      <c r="L119">
        <f>IF(LEN(TRIM(E119))=0,"",VLOOKUP(E119,Sheet2!$B$1:$E$19,3,FALSE))</f>
        <v>1108956</v>
      </c>
      <c r="M119">
        <f>IF(LEN(TRIM(E119))=0,"",VLOOKUP(E119,Sheet2!$B$1:$E$19,4,FALSE))+(F119-1)</f>
        <v>3779627</v>
      </c>
      <c r="N119"/>
      <c r="O119"/>
      <c r="P119"/>
      <c r="Q119"/>
    </row>
    <row r="120" spans="1:17" s="1" customFormat="1" ht="15" customHeight="1" x14ac:dyDescent="0.25">
      <c r="A120" s="28" t="s">
        <v>474</v>
      </c>
      <c r="B120" s="28" t="s">
        <v>25</v>
      </c>
      <c r="C120" s="6" t="s">
        <v>1730</v>
      </c>
      <c r="D120" s="1" t="s">
        <v>454</v>
      </c>
      <c r="E120" s="1">
        <v>2172</v>
      </c>
      <c r="F120" s="28">
        <v>130</v>
      </c>
      <c r="G120" s="9" t="s">
        <v>2781</v>
      </c>
      <c r="H120" s="1">
        <v>132</v>
      </c>
      <c r="I120" s="1">
        <v>131</v>
      </c>
      <c r="J120" t="str">
        <f t="shared" si="1"/>
        <v>http://www.badatelna.eu/reprodukce/?fondId=1073&amp;zaznamId=1108958&amp;reproId=3779871</v>
      </c>
      <c r="K120">
        <f>IF(LEN(TRIM(E120))=0,"",VLOOKUP(E120,Sheet2!$B$1:$E$19,2,FALSE))</f>
        <v>1073</v>
      </c>
      <c r="L120">
        <f>IF(LEN(TRIM(E120))=0,"",VLOOKUP(E120,Sheet2!$B$1:$E$19,3,FALSE))</f>
        <v>1108958</v>
      </c>
      <c r="M120">
        <f>IF(LEN(TRIM(E120))=0,"",VLOOKUP(E120,Sheet2!$B$1:$E$19,4,FALSE))+(F120-1)</f>
        <v>3779871</v>
      </c>
      <c r="N120"/>
      <c r="O120"/>
      <c r="P120"/>
      <c r="Q120"/>
    </row>
    <row r="121" spans="1:17" ht="15" customHeight="1" x14ac:dyDescent="0.25">
      <c r="A121" s="28" t="s">
        <v>474</v>
      </c>
      <c r="B121" s="28" t="s">
        <v>198</v>
      </c>
      <c r="C121" s="6" t="s">
        <v>1518</v>
      </c>
      <c r="D121" s="1" t="s">
        <v>454</v>
      </c>
      <c r="E121" s="1">
        <v>2172</v>
      </c>
      <c r="F121" s="28">
        <v>12</v>
      </c>
      <c r="G121" s="9">
        <v>11</v>
      </c>
      <c r="H121" s="1" t="s">
        <v>3073</v>
      </c>
      <c r="I121" s="1" t="s">
        <v>3073</v>
      </c>
      <c r="J121" t="str">
        <f t="shared" si="1"/>
        <v>http://www.badatelna.eu/reprodukce/?fondId=1073&amp;zaznamId=1108958&amp;reproId=3779753</v>
      </c>
      <c r="K121">
        <f>IF(LEN(TRIM(E121))=0,"",VLOOKUP(E121,Sheet2!$B$1:$E$19,2,FALSE))</f>
        <v>1073</v>
      </c>
      <c r="L121">
        <f>IF(LEN(TRIM(E121))=0,"",VLOOKUP(E121,Sheet2!$B$1:$E$19,3,FALSE))</f>
        <v>1108958</v>
      </c>
      <c r="M121">
        <f>IF(LEN(TRIM(E121))=0,"",VLOOKUP(E121,Sheet2!$B$1:$E$19,4,FALSE))+(F121-1)</f>
        <v>3779753</v>
      </c>
      <c r="N121" s="1"/>
      <c r="O121" s="1"/>
      <c r="P121" s="1"/>
      <c r="Q121" s="1"/>
    </row>
    <row r="122" spans="1:17" s="1" customFormat="1" ht="15" customHeight="1" x14ac:dyDescent="0.25">
      <c r="A122" s="28" t="s">
        <v>474</v>
      </c>
      <c r="B122" s="28" t="s">
        <v>471</v>
      </c>
      <c r="C122" s="6" t="s">
        <v>1561</v>
      </c>
      <c r="D122" s="1" t="s">
        <v>454</v>
      </c>
      <c r="E122" s="1">
        <v>2172</v>
      </c>
      <c r="F122" s="28">
        <v>20</v>
      </c>
      <c r="G122" s="9" t="s">
        <v>1042</v>
      </c>
      <c r="H122" s="1">
        <v>24</v>
      </c>
      <c r="I122" s="1">
        <v>23</v>
      </c>
      <c r="J122" t="str">
        <f t="shared" si="1"/>
        <v>http://www.badatelna.eu/reprodukce/?fondId=1073&amp;zaznamId=1108958&amp;reproId=3779761</v>
      </c>
      <c r="K122">
        <f>IF(LEN(TRIM(E122))=0,"",VLOOKUP(E122,Sheet2!$B$1:$E$19,2,FALSE))</f>
        <v>1073</v>
      </c>
      <c r="L122">
        <f>IF(LEN(TRIM(E122))=0,"",VLOOKUP(E122,Sheet2!$B$1:$E$19,3,FALSE))</f>
        <v>1108958</v>
      </c>
      <c r="M122">
        <f>IF(LEN(TRIM(E122))=0,"",VLOOKUP(E122,Sheet2!$B$1:$E$19,4,FALSE))+(F122-1)</f>
        <v>3779761</v>
      </c>
      <c r="N122"/>
      <c r="O122"/>
      <c r="P122"/>
      <c r="Q122"/>
    </row>
    <row r="123" spans="1:17" s="1" customFormat="1" ht="15" customHeight="1" x14ac:dyDescent="0.25">
      <c r="A123" s="28" t="s">
        <v>474</v>
      </c>
      <c r="B123" s="28" t="s">
        <v>475</v>
      </c>
      <c r="C123" s="1">
        <v>1863</v>
      </c>
      <c r="D123" s="1" t="s">
        <v>2919</v>
      </c>
      <c r="E123" s="1">
        <v>999</v>
      </c>
      <c r="F123" s="28">
        <v>82</v>
      </c>
      <c r="G123" s="1">
        <v>3</v>
      </c>
      <c r="H123" s="1">
        <v>95</v>
      </c>
      <c r="I123" s="1">
        <v>153</v>
      </c>
      <c r="J123" t="str">
        <f t="shared" si="1"/>
        <v>http://www.badatelna.eu/reprodukce/?fondId=241&amp;zaznamId=1133739&amp;reproId=3885811</v>
      </c>
      <c r="K123">
        <f>IF(LEN(TRIM(E123))=0,"",VLOOKUP(E123,Sheet2!$B$1:$E$19,2,FALSE))</f>
        <v>241</v>
      </c>
      <c r="L123">
        <f>IF(LEN(TRIM(E123))=0,"",VLOOKUP(E123,Sheet2!$B$1:$E$19,3,FALSE))</f>
        <v>1133739</v>
      </c>
      <c r="M123">
        <f>IF(LEN(TRIM(E123))=0,"",VLOOKUP(E123,Sheet2!$B$1:$E$19,4,FALSE))+(F123-1)</f>
        <v>3885811</v>
      </c>
    </row>
    <row r="124" spans="1:17" s="1" customFormat="1" ht="15" customHeight="1" x14ac:dyDescent="0.25">
      <c r="A124" s="27" t="s">
        <v>474</v>
      </c>
      <c r="B124" s="27" t="s">
        <v>3071</v>
      </c>
      <c r="C124" s="5" t="s">
        <v>1054</v>
      </c>
      <c r="D124" s="3" t="s">
        <v>454</v>
      </c>
      <c r="E124" s="3">
        <v>2170</v>
      </c>
      <c r="F124" s="28">
        <v>6</v>
      </c>
      <c r="G124" s="10">
        <v>2</v>
      </c>
      <c r="H124" s="3">
        <v>60</v>
      </c>
      <c r="I124" s="3">
        <v>56</v>
      </c>
      <c r="J124" t="str">
        <f t="shared" si="1"/>
        <v>http://www.badatelna.eu/reprodukce/?fondId=1073&amp;zaznamId=1108956&amp;reproId=3779598</v>
      </c>
      <c r="K124">
        <f>IF(LEN(TRIM(E124))=0,"",VLOOKUP(E124,Sheet2!$B$1:$E$19,2,FALSE))</f>
        <v>1073</v>
      </c>
      <c r="L124">
        <f>IF(LEN(TRIM(E124))=0,"",VLOOKUP(E124,Sheet2!$B$1:$E$19,3,FALSE))</f>
        <v>1108956</v>
      </c>
      <c r="M124">
        <f>IF(LEN(TRIM(E124))=0,"",VLOOKUP(E124,Sheet2!$B$1:$E$19,4,FALSE))+(F124-1)</f>
        <v>3779598</v>
      </c>
    </row>
    <row r="125" spans="1:17" s="1" customFormat="1" ht="15" customHeight="1" x14ac:dyDescent="0.25">
      <c r="A125" s="28" t="s">
        <v>474</v>
      </c>
      <c r="B125" s="28" t="s">
        <v>258</v>
      </c>
      <c r="C125" s="6" t="s">
        <v>2849</v>
      </c>
      <c r="D125" s="1" t="s">
        <v>454</v>
      </c>
      <c r="E125" s="1">
        <v>2173</v>
      </c>
      <c r="F125" s="28">
        <v>209</v>
      </c>
      <c r="G125" s="9" t="s">
        <v>2758</v>
      </c>
      <c r="H125" s="1" t="s">
        <v>3073</v>
      </c>
      <c r="I125" s="1" t="s">
        <v>3073</v>
      </c>
      <c r="J125" t="str">
        <f t="shared" si="1"/>
        <v>http://www.badatelna.eu/reprodukce/?fondId=1073&amp;zaznamId=1108959&amp;reproId=3780202</v>
      </c>
      <c r="K125">
        <f>IF(LEN(TRIM(E125))=0,"",VLOOKUP(E125,Sheet2!$B$1:$E$19,2,FALSE))</f>
        <v>1073</v>
      </c>
      <c r="L125">
        <f>IF(LEN(TRIM(E125))=0,"",VLOOKUP(E125,Sheet2!$B$1:$E$19,3,FALSE))</f>
        <v>1108959</v>
      </c>
      <c r="M125">
        <f>IF(LEN(TRIM(E125))=0,"",VLOOKUP(E125,Sheet2!$B$1:$E$19,4,FALSE))+(F125-1)</f>
        <v>3780202</v>
      </c>
      <c r="N125" s="2"/>
      <c r="O125" s="2"/>
      <c r="P125" s="2"/>
      <c r="Q125" s="2"/>
    </row>
    <row r="126" spans="1:17" s="1" customFormat="1" ht="15" customHeight="1" x14ac:dyDescent="0.25">
      <c r="A126" s="28" t="s">
        <v>474</v>
      </c>
      <c r="B126" s="28" t="s">
        <v>3070</v>
      </c>
      <c r="C126" s="6" t="s">
        <v>1986</v>
      </c>
      <c r="D126" s="1" t="s">
        <v>454</v>
      </c>
      <c r="E126" s="1">
        <v>2173</v>
      </c>
      <c r="F126" s="28">
        <v>179</v>
      </c>
      <c r="G126" s="9">
        <v>4</v>
      </c>
      <c r="H126" s="1">
        <v>185</v>
      </c>
      <c r="I126" s="1">
        <v>412</v>
      </c>
      <c r="J126" t="str">
        <f t="shared" si="1"/>
        <v>http://www.badatelna.eu/reprodukce/?fondId=1073&amp;zaznamId=1108959&amp;reproId=3780172</v>
      </c>
      <c r="K126">
        <f>IF(LEN(TRIM(E126))=0,"",VLOOKUP(E126,Sheet2!$B$1:$E$19,2,FALSE))</f>
        <v>1073</v>
      </c>
      <c r="L126">
        <f>IF(LEN(TRIM(E126))=0,"",VLOOKUP(E126,Sheet2!$B$1:$E$19,3,FALSE))</f>
        <v>1108959</v>
      </c>
      <c r="M126">
        <f>IF(LEN(TRIM(E126))=0,"",VLOOKUP(E126,Sheet2!$B$1:$E$19,4,FALSE))+(F126-1)</f>
        <v>3780172</v>
      </c>
      <c r="N126" s="2"/>
      <c r="O126" s="2"/>
      <c r="P126" s="2"/>
      <c r="Q126" s="2"/>
    </row>
    <row r="127" spans="1:17" s="1" customFormat="1" ht="15" customHeight="1" x14ac:dyDescent="0.25">
      <c r="A127" s="27" t="s">
        <v>474</v>
      </c>
      <c r="B127" s="27" t="s">
        <v>259</v>
      </c>
      <c r="C127" s="5" t="s">
        <v>1261</v>
      </c>
      <c r="D127" s="3" t="s">
        <v>454</v>
      </c>
      <c r="E127" s="3">
        <v>2170</v>
      </c>
      <c r="F127" s="28">
        <v>58</v>
      </c>
      <c r="G127" s="10">
        <v>54</v>
      </c>
      <c r="H127" s="3">
        <v>67</v>
      </c>
      <c r="I127" s="3">
        <v>63</v>
      </c>
      <c r="J127" t="str">
        <f t="shared" si="1"/>
        <v>http://www.badatelna.eu/reprodukce/?fondId=1073&amp;zaznamId=1108956&amp;reproId=3779650</v>
      </c>
      <c r="K127">
        <f>IF(LEN(TRIM(E127))=0,"",VLOOKUP(E127,Sheet2!$B$1:$E$19,2,FALSE))</f>
        <v>1073</v>
      </c>
      <c r="L127">
        <f>IF(LEN(TRIM(E127))=0,"",VLOOKUP(E127,Sheet2!$B$1:$E$19,3,FALSE))</f>
        <v>1108956</v>
      </c>
      <c r="M127">
        <f>IF(LEN(TRIM(E127))=0,"",VLOOKUP(E127,Sheet2!$B$1:$E$19,4,FALSE))+(F127-1)</f>
        <v>3779650</v>
      </c>
      <c r="N127" s="2"/>
      <c r="O127" s="2"/>
      <c r="P127" s="2"/>
      <c r="Q127" s="2"/>
    </row>
    <row r="128" spans="1:17" s="1" customFormat="1" ht="15" customHeight="1" x14ac:dyDescent="0.25">
      <c r="A128" s="28" t="s">
        <v>474</v>
      </c>
      <c r="B128" s="28" t="s">
        <v>601</v>
      </c>
      <c r="C128" s="1">
        <v>1883</v>
      </c>
      <c r="D128" s="1" t="s">
        <v>454</v>
      </c>
      <c r="E128" s="1">
        <v>2172</v>
      </c>
      <c r="F128" s="28">
        <v>33</v>
      </c>
      <c r="G128" s="9" t="s">
        <v>2760</v>
      </c>
      <c r="H128" s="1">
        <v>36</v>
      </c>
      <c r="I128" s="1">
        <v>35</v>
      </c>
      <c r="J128" t="str">
        <f t="shared" si="1"/>
        <v>http://www.badatelna.eu/reprodukce/?fondId=1073&amp;zaznamId=1108958&amp;reproId=3779774</v>
      </c>
      <c r="K128">
        <f>IF(LEN(TRIM(E128))=0,"",VLOOKUP(E128,Sheet2!$B$1:$E$19,2,FALSE))</f>
        <v>1073</v>
      </c>
      <c r="L128">
        <f>IF(LEN(TRIM(E128))=0,"",VLOOKUP(E128,Sheet2!$B$1:$E$19,3,FALSE))</f>
        <v>1108958</v>
      </c>
      <c r="M128">
        <f>IF(LEN(TRIM(E128))=0,"",VLOOKUP(E128,Sheet2!$B$1:$E$19,4,FALSE))+(F128-1)</f>
        <v>3779774</v>
      </c>
      <c r="N128"/>
      <c r="O128"/>
      <c r="P128"/>
      <c r="Q128"/>
    </row>
    <row r="129" spans="1:17" s="1" customFormat="1" ht="15" customHeight="1" x14ac:dyDescent="0.25">
      <c r="A129" s="28" t="s">
        <v>474</v>
      </c>
      <c r="B129" s="28" t="s">
        <v>2923</v>
      </c>
      <c r="C129" s="1">
        <v>1848</v>
      </c>
      <c r="D129" s="1" t="s">
        <v>2919</v>
      </c>
      <c r="E129" s="1">
        <v>998</v>
      </c>
      <c r="F129" s="28">
        <v>11</v>
      </c>
      <c r="G129" s="1">
        <v>9</v>
      </c>
      <c r="H129" s="1">
        <v>63</v>
      </c>
      <c r="I129" s="1">
        <v>60</v>
      </c>
      <c r="J129" t="str">
        <f t="shared" si="1"/>
        <v>http://www.badatelna.eu/reprodukce/?fondId=241&amp;zaznamId=1133738&amp;reproId=3885657</v>
      </c>
      <c r="K129">
        <f>IF(LEN(TRIM(E129))=0,"",VLOOKUP(E129,Sheet2!$B$1:$E$19,2,FALSE))</f>
        <v>241</v>
      </c>
      <c r="L129">
        <f>IF(LEN(TRIM(E129))=0,"",VLOOKUP(E129,Sheet2!$B$1:$E$19,3,FALSE))</f>
        <v>1133738</v>
      </c>
      <c r="M129">
        <f>IF(LEN(TRIM(E129))=0,"",VLOOKUP(E129,Sheet2!$B$1:$E$19,4,FALSE))+(F129-1)</f>
        <v>3885657</v>
      </c>
      <c r="N129" s="2"/>
      <c r="O129" s="2"/>
      <c r="P129" s="2"/>
      <c r="Q129" s="2"/>
    </row>
    <row r="130" spans="1:17" s="1" customFormat="1" ht="15" customHeight="1" x14ac:dyDescent="0.25">
      <c r="A130" s="28" t="s">
        <v>474</v>
      </c>
      <c r="B130" s="28" t="s">
        <v>407</v>
      </c>
      <c r="C130" s="6" t="s">
        <v>1835</v>
      </c>
      <c r="D130" s="1" t="s">
        <v>454</v>
      </c>
      <c r="E130" s="1">
        <v>2172</v>
      </c>
      <c r="F130" s="28">
        <v>174</v>
      </c>
      <c r="G130" s="9">
        <v>167</v>
      </c>
      <c r="H130" s="1" t="s">
        <v>3073</v>
      </c>
      <c r="I130" s="1" t="s">
        <v>3073</v>
      </c>
      <c r="J130" t="str">
        <f t="shared" si="1"/>
        <v>http://www.badatelna.eu/reprodukce/?fondId=1073&amp;zaznamId=1108958&amp;reproId=3779915</v>
      </c>
      <c r="K130">
        <f>IF(LEN(TRIM(E130))=0,"",VLOOKUP(E130,Sheet2!$B$1:$E$19,2,FALSE))</f>
        <v>1073</v>
      </c>
      <c r="L130">
        <f>IF(LEN(TRIM(E130))=0,"",VLOOKUP(E130,Sheet2!$B$1:$E$19,3,FALSE))</f>
        <v>1108958</v>
      </c>
      <c r="M130">
        <f>IF(LEN(TRIM(E130))=0,"",VLOOKUP(E130,Sheet2!$B$1:$E$19,4,FALSE))+(F130-1)</f>
        <v>3779915</v>
      </c>
      <c r="N130" s="2"/>
      <c r="O130" s="2"/>
      <c r="P130" s="2"/>
      <c r="Q130" s="2"/>
    </row>
    <row r="131" spans="1:17" s="1" customFormat="1" ht="15" customHeight="1" x14ac:dyDescent="0.25">
      <c r="A131" s="28" t="s">
        <v>474</v>
      </c>
      <c r="B131" s="28" t="s">
        <v>652</v>
      </c>
      <c r="C131" s="1">
        <v>1862</v>
      </c>
      <c r="D131" s="1" t="s">
        <v>2919</v>
      </c>
      <c r="E131" s="1">
        <v>999</v>
      </c>
      <c r="F131" s="28">
        <v>80</v>
      </c>
      <c r="G131" s="1">
        <v>1</v>
      </c>
      <c r="H131" s="1">
        <v>95</v>
      </c>
      <c r="I131" s="1">
        <v>153</v>
      </c>
      <c r="J131" t="str">
        <f t="shared" ref="J131:J194" si="2">IF(LEN(TRIM(E131))=0,"","http://www.badatelna.eu/reprodukce/?fondId="&amp;K131&amp;"&amp;zaznamId="&amp;L131&amp;"&amp;reproId="&amp;M131)</f>
        <v>http://www.badatelna.eu/reprodukce/?fondId=241&amp;zaznamId=1133739&amp;reproId=3885809</v>
      </c>
      <c r="K131">
        <f>IF(LEN(TRIM(E131))=0,"",VLOOKUP(E131,Sheet2!$B$1:$E$19,2,FALSE))</f>
        <v>241</v>
      </c>
      <c r="L131">
        <f>IF(LEN(TRIM(E131))=0,"",VLOOKUP(E131,Sheet2!$B$1:$E$19,3,FALSE))</f>
        <v>1133739</v>
      </c>
      <c r="M131">
        <f>IF(LEN(TRIM(E131))=0,"",VLOOKUP(E131,Sheet2!$B$1:$E$19,4,FALSE))+(F131-1)</f>
        <v>3885809</v>
      </c>
      <c r="N131" s="2"/>
      <c r="O131" s="2"/>
      <c r="P131" s="2"/>
      <c r="Q131" s="2"/>
    </row>
    <row r="132" spans="1:17" s="1" customFormat="1" ht="15" customHeight="1" x14ac:dyDescent="0.25">
      <c r="A132" s="28" t="s">
        <v>12</v>
      </c>
      <c r="B132" s="28" t="s">
        <v>2932</v>
      </c>
      <c r="C132" s="1">
        <v>1851</v>
      </c>
      <c r="D132" s="1" t="s">
        <v>2919</v>
      </c>
      <c r="E132" s="1">
        <v>998</v>
      </c>
      <c r="F132" s="28">
        <v>31</v>
      </c>
      <c r="G132" s="1">
        <v>29</v>
      </c>
      <c r="H132" s="1">
        <v>63</v>
      </c>
      <c r="I132" s="1">
        <v>60</v>
      </c>
      <c r="J132" t="str">
        <f t="shared" si="2"/>
        <v>http://www.badatelna.eu/reprodukce/?fondId=241&amp;zaznamId=1133738&amp;reproId=3885677</v>
      </c>
      <c r="K132">
        <f>IF(LEN(TRIM(E132))=0,"",VLOOKUP(E132,Sheet2!$B$1:$E$19,2,FALSE))</f>
        <v>241</v>
      </c>
      <c r="L132">
        <f>IF(LEN(TRIM(E132))=0,"",VLOOKUP(E132,Sheet2!$B$1:$E$19,3,FALSE))</f>
        <v>1133738</v>
      </c>
      <c r="M132">
        <f>IF(LEN(TRIM(E132))=0,"",VLOOKUP(E132,Sheet2!$B$1:$E$19,4,FALSE))+(F132-1)</f>
        <v>3885677</v>
      </c>
      <c r="N132"/>
      <c r="O132"/>
      <c r="P132"/>
      <c r="Q132"/>
    </row>
    <row r="133" spans="1:17" s="1" customFormat="1" ht="15" customHeight="1" x14ac:dyDescent="0.25">
      <c r="A133" s="27" t="s">
        <v>12</v>
      </c>
      <c r="B133" s="27" t="s">
        <v>33</v>
      </c>
      <c r="C133" s="5" t="s">
        <v>1264</v>
      </c>
      <c r="D133" s="3" t="s">
        <v>454</v>
      </c>
      <c r="E133" s="3">
        <v>2170</v>
      </c>
      <c r="F133" s="28">
        <v>55</v>
      </c>
      <c r="G133" s="10">
        <v>51</v>
      </c>
      <c r="H133" s="3">
        <v>67</v>
      </c>
      <c r="I133" s="3">
        <v>63</v>
      </c>
      <c r="J133" t="str">
        <f t="shared" si="2"/>
        <v>http://www.badatelna.eu/reprodukce/?fondId=1073&amp;zaznamId=1108956&amp;reproId=3779647</v>
      </c>
      <c r="K133">
        <f>IF(LEN(TRIM(E133))=0,"",VLOOKUP(E133,Sheet2!$B$1:$E$19,2,FALSE))</f>
        <v>1073</v>
      </c>
      <c r="L133">
        <f>IF(LEN(TRIM(E133))=0,"",VLOOKUP(E133,Sheet2!$B$1:$E$19,3,FALSE))</f>
        <v>1108956</v>
      </c>
      <c r="M133">
        <f>IF(LEN(TRIM(E133))=0,"",VLOOKUP(E133,Sheet2!$B$1:$E$19,4,FALSE))+(F133-1)</f>
        <v>3779647</v>
      </c>
    </row>
    <row r="134" spans="1:17" s="1" customFormat="1" ht="15" customHeight="1" x14ac:dyDescent="0.25">
      <c r="A134" s="28" t="s">
        <v>12</v>
      </c>
      <c r="B134" s="28" t="s">
        <v>33</v>
      </c>
      <c r="C134" s="6" t="s">
        <v>2887</v>
      </c>
      <c r="D134" s="1" t="s">
        <v>454</v>
      </c>
      <c r="E134" s="1">
        <v>2173</v>
      </c>
      <c r="F134" s="28">
        <v>211</v>
      </c>
      <c r="G134" s="9" t="s">
        <v>2881</v>
      </c>
      <c r="H134" s="1" t="s">
        <v>3073</v>
      </c>
      <c r="I134" s="1" t="s">
        <v>3073</v>
      </c>
      <c r="J134" t="str">
        <f t="shared" si="2"/>
        <v>http://www.badatelna.eu/reprodukce/?fondId=1073&amp;zaznamId=1108959&amp;reproId=3780204</v>
      </c>
      <c r="K134">
        <f>IF(LEN(TRIM(E134))=0,"",VLOOKUP(E134,Sheet2!$B$1:$E$19,2,FALSE))</f>
        <v>1073</v>
      </c>
      <c r="L134">
        <f>IF(LEN(TRIM(E134))=0,"",VLOOKUP(E134,Sheet2!$B$1:$E$19,3,FALSE))</f>
        <v>1108959</v>
      </c>
      <c r="M134">
        <f>IF(LEN(TRIM(E134))=0,"",VLOOKUP(E134,Sheet2!$B$1:$E$19,4,FALSE))+(F134-1)</f>
        <v>3780204</v>
      </c>
      <c r="N134" s="2"/>
      <c r="O134" s="2"/>
      <c r="P134" s="2"/>
      <c r="Q134" s="2"/>
    </row>
    <row r="135" spans="1:17" s="1" customFormat="1" ht="15" customHeight="1" x14ac:dyDescent="0.25">
      <c r="A135" s="28" t="s">
        <v>12</v>
      </c>
      <c r="B135" s="28" t="s">
        <v>33</v>
      </c>
      <c r="C135" s="6" t="s">
        <v>2003</v>
      </c>
      <c r="D135" s="1" t="s">
        <v>454</v>
      </c>
      <c r="E135" s="1">
        <v>2173</v>
      </c>
      <c r="F135" s="28">
        <v>178</v>
      </c>
      <c r="G135" s="9">
        <v>2</v>
      </c>
      <c r="H135" s="1">
        <v>185</v>
      </c>
      <c r="I135" s="1">
        <v>412</v>
      </c>
      <c r="J135" t="str">
        <f t="shared" si="2"/>
        <v>http://www.badatelna.eu/reprodukce/?fondId=1073&amp;zaznamId=1108959&amp;reproId=3780171</v>
      </c>
      <c r="K135">
        <f>IF(LEN(TRIM(E135))=0,"",VLOOKUP(E135,Sheet2!$B$1:$E$19,2,FALSE))</f>
        <v>1073</v>
      </c>
      <c r="L135">
        <f>IF(LEN(TRIM(E135))=0,"",VLOOKUP(E135,Sheet2!$B$1:$E$19,3,FALSE))</f>
        <v>1108959</v>
      </c>
      <c r="M135">
        <f>IF(LEN(TRIM(E135))=0,"",VLOOKUP(E135,Sheet2!$B$1:$E$19,4,FALSE))+(F135-1)</f>
        <v>3780171</v>
      </c>
      <c r="N135" s="2"/>
      <c r="O135" s="2"/>
      <c r="P135" s="2"/>
      <c r="Q135" s="2"/>
    </row>
    <row r="136" spans="1:17" s="1" customFormat="1" ht="15" customHeight="1" x14ac:dyDescent="0.25">
      <c r="A136" s="28" t="s">
        <v>12</v>
      </c>
      <c r="B136" s="28" t="s">
        <v>156</v>
      </c>
      <c r="C136" s="6" t="s">
        <v>2393</v>
      </c>
      <c r="D136" s="1" t="s">
        <v>454</v>
      </c>
      <c r="E136" s="1">
        <v>2173</v>
      </c>
      <c r="F136" s="28">
        <v>202</v>
      </c>
      <c r="G136" s="9">
        <v>13</v>
      </c>
      <c r="H136" s="1" t="s">
        <v>3073</v>
      </c>
      <c r="I136" s="1" t="s">
        <v>3073</v>
      </c>
      <c r="J136" t="str">
        <f t="shared" si="2"/>
        <v>http://www.badatelna.eu/reprodukce/?fondId=1073&amp;zaznamId=1108959&amp;reproId=3780195</v>
      </c>
      <c r="K136">
        <f>IF(LEN(TRIM(E136))=0,"",VLOOKUP(E136,Sheet2!$B$1:$E$19,2,FALSE))</f>
        <v>1073</v>
      </c>
      <c r="L136">
        <f>IF(LEN(TRIM(E136))=0,"",VLOOKUP(E136,Sheet2!$B$1:$E$19,3,FALSE))</f>
        <v>1108959</v>
      </c>
      <c r="M136">
        <f>IF(LEN(TRIM(E136))=0,"",VLOOKUP(E136,Sheet2!$B$1:$E$19,4,FALSE))+(F136-1)</f>
        <v>3780195</v>
      </c>
    </row>
    <row r="137" spans="1:17" s="1" customFormat="1" ht="15" customHeight="1" x14ac:dyDescent="0.25">
      <c r="A137" s="28" t="s">
        <v>12</v>
      </c>
      <c r="B137" s="28" t="s">
        <v>269</v>
      </c>
      <c r="C137" s="6" t="s">
        <v>2000</v>
      </c>
      <c r="D137" s="1" t="s">
        <v>454</v>
      </c>
      <c r="E137" s="1">
        <v>2173</v>
      </c>
      <c r="F137" s="28">
        <v>181</v>
      </c>
      <c r="G137" s="9">
        <v>9</v>
      </c>
      <c r="H137" s="1">
        <v>185</v>
      </c>
      <c r="I137" s="1">
        <v>412</v>
      </c>
      <c r="J137" t="str">
        <f t="shared" si="2"/>
        <v>http://www.badatelna.eu/reprodukce/?fondId=1073&amp;zaznamId=1108959&amp;reproId=3780174</v>
      </c>
      <c r="K137">
        <f>IF(LEN(TRIM(E137))=0,"",VLOOKUP(E137,Sheet2!$B$1:$E$19,2,FALSE))</f>
        <v>1073</v>
      </c>
      <c r="L137">
        <f>IF(LEN(TRIM(E137))=0,"",VLOOKUP(E137,Sheet2!$B$1:$E$19,3,FALSE))</f>
        <v>1108959</v>
      </c>
      <c r="M137">
        <f>IF(LEN(TRIM(E137))=0,"",VLOOKUP(E137,Sheet2!$B$1:$E$19,4,FALSE))+(F137-1)</f>
        <v>3780174</v>
      </c>
      <c r="N137" s="2"/>
      <c r="O137" s="2"/>
      <c r="P137" s="2"/>
      <c r="Q137" s="2"/>
    </row>
    <row r="138" spans="1:17" s="1" customFormat="1" ht="15" customHeight="1" x14ac:dyDescent="0.25">
      <c r="A138" s="28" t="s">
        <v>12</v>
      </c>
      <c r="B138" s="28" t="s">
        <v>165</v>
      </c>
      <c r="C138" s="1">
        <v>1861</v>
      </c>
      <c r="D138" s="1" t="s">
        <v>2919</v>
      </c>
      <c r="E138" s="1">
        <v>998</v>
      </c>
      <c r="F138" s="28">
        <v>60</v>
      </c>
      <c r="G138" s="1">
        <v>57</v>
      </c>
      <c r="H138" s="1">
        <v>64</v>
      </c>
      <c r="I138" s="1">
        <v>61</v>
      </c>
      <c r="J138" t="str">
        <f t="shared" si="2"/>
        <v>http://www.badatelna.eu/reprodukce/?fondId=241&amp;zaznamId=1133738&amp;reproId=3885706</v>
      </c>
      <c r="K138">
        <f>IF(LEN(TRIM(E138))=0,"",VLOOKUP(E138,Sheet2!$B$1:$E$19,2,FALSE))</f>
        <v>241</v>
      </c>
      <c r="L138">
        <f>IF(LEN(TRIM(E138))=0,"",VLOOKUP(E138,Sheet2!$B$1:$E$19,3,FALSE))</f>
        <v>1133738</v>
      </c>
      <c r="M138">
        <f>IF(LEN(TRIM(E138))=0,"",VLOOKUP(E138,Sheet2!$B$1:$E$19,4,FALSE))+(F138-1)</f>
        <v>3885706</v>
      </c>
      <c r="N138"/>
      <c r="O138"/>
      <c r="P138"/>
      <c r="Q138"/>
    </row>
    <row r="139" spans="1:17" s="1" customFormat="1" ht="15" customHeight="1" x14ac:dyDescent="0.25">
      <c r="A139" s="27" t="s">
        <v>12</v>
      </c>
      <c r="B139" s="27" t="s">
        <v>476</v>
      </c>
      <c r="C139" s="5" t="s">
        <v>1263</v>
      </c>
      <c r="D139" s="3" t="s">
        <v>454</v>
      </c>
      <c r="E139" s="3">
        <v>2170</v>
      </c>
      <c r="F139" s="28">
        <v>50</v>
      </c>
      <c r="G139" s="10">
        <v>46</v>
      </c>
      <c r="H139" s="3">
        <v>67</v>
      </c>
      <c r="I139" s="3">
        <v>63</v>
      </c>
      <c r="J139" t="str">
        <f t="shared" si="2"/>
        <v>http://www.badatelna.eu/reprodukce/?fondId=1073&amp;zaznamId=1108956&amp;reproId=3779642</v>
      </c>
      <c r="K139">
        <f>IF(LEN(TRIM(E139))=0,"",VLOOKUP(E139,Sheet2!$B$1:$E$19,2,FALSE))</f>
        <v>1073</v>
      </c>
      <c r="L139">
        <f>IF(LEN(TRIM(E139))=0,"",VLOOKUP(E139,Sheet2!$B$1:$E$19,3,FALSE))</f>
        <v>1108956</v>
      </c>
      <c r="M139">
        <f>IF(LEN(TRIM(E139))=0,"",VLOOKUP(E139,Sheet2!$B$1:$E$19,4,FALSE))+(F139-1)</f>
        <v>3779642</v>
      </c>
      <c r="N139" s="2"/>
      <c r="O139" s="2"/>
      <c r="P139" s="2"/>
      <c r="Q139" s="2"/>
    </row>
    <row r="140" spans="1:17" s="1" customFormat="1" ht="15" customHeight="1" x14ac:dyDescent="0.25">
      <c r="A140" s="28" t="s">
        <v>12</v>
      </c>
      <c r="B140" s="28" t="s">
        <v>528</v>
      </c>
      <c r="C140" s="1">
        <v>1859</v>
      </c>
      <c r="D140" s="1" t="s">
        <v>2919</v>
      </c>
      <c r="E140" s="1">
        <v>998</v>
      </c>
      <c r="F140" s="28">
        <v>56</v>
      </c>
      <c r="G140" s="1" t="s">
        <v>2941</v>
      </c>
      <c r="H140" s="1">
        <v>64</v>
      </c>
      <c r="I140" s="1">
        <v>61</v>
      </c>
      <c r="J140" t="str">
        <f t="shared" si="2"/>
        <v>http://www.badatelna.eu/reprodukce/?fondId=241&amp;zaznamId=1133738&amp;reproId=3885702</v>
      </c>
      <c r="K140">
        <f>IF(LEN(TRIM(E140))=0,"",VLOOKUP(E140,Sheet2!$B$1:$E$19,2,FALSE))</f>
        <v>241</v>
      </c>
      <c r="L140">
        <f>IF(LEN(TRIM(E140))=0,"",VLOOKUP(E140,Sheet2!$B$1:$E$19,3,FALSE))</f>
        <v>1133738</v>
      </c>
      <c r="M140">
        <f>IF(LEN(TRIM(E140))=0,"",VLOOKUP(E140,Sheet2!$B$1:$E$19,4,FALSE))+(F140-1)</f>
        <v>3885702</v>
      </c>
    </row>
    <row r="141" spans="1:17" s="1" customFormat="1" ht="15" customHeight="1" x14ac:dyDescent="0.25">
      <c r="A141" s="28" t="s">
        <v>12</v>
      </c>
      <c r="B141" s="28" t="s">
        <v>435</v>
      </c>
      <c r="C141" s="6" t="s">
        <v>2687</v>
      </c>
      <c r="D141" s="1" t="s">
        <v>454</v>
      </c>
      <c r="E141" s="1">
        <v>2173</v>
      </c>
      <c r="F141" s="28">
        <v>224</v>
      </c>
      <c r="G141" s="9">
        <v>53</v>
      </c>
      <c r="H141" s="1" t="s">
        <v>3073</v>
      </c>
      <c r="I141" s="1" t="s">
        <v>3073</v>
      </c>
      <c r="J141" t="str">
        <f t="shared" si="2"/>
        <v>http://www.badatelna.eu/reprodukce/?fondId=1073&amp;zaznamId=1108959&amp;reproId=3780217</v>
      </c>
      <c r="K141">
        <f>IF(LEN(TRIM(E141))=0,"",VLOOKUP(E141,Sheet2!$B$1:$E$19,2,FALSE))</f>
        <v>1073</v>
      </c>
      <c r="L141">
        <f>IF(LEN(TRIM(E141))=0,"",VLOOKUP(E141,Sheet2!$B$1:$E$19,3,FALSE))</f>
        <v>1108959</v>
      </c>
      <c r="M141">
        <f>IF(LEN(TRIM(E141))=0,"",VLOOKUP(E141,Sheet2!$B$1:$E$19,4,FALSE))+(F141-1)</f>
        <v>3780217</v>
      </c>
      <c r="N141" s="2"/>
      <c r="O141" s="2"/>
      <c r="P141" s="2"/>
      <c r="Q141" s="2"/>
    </row>
    <row r="142" spans="1:17" s="1" customFormat="1" ht="15" customHeight="1" x14ac:dyDescent="0.25">
      <c r="A142" s="28" t="s">
        <v>12</v>
      </c>
      <c r="B142" s="28" t="s">
        <v>3072</v>
      </c>
      <c r="C142" s="1" t="s">
        <v>2687</v>
      </c>
      <c r="D142" s="1" t="s">
        <v>2919</v>
      </c>
      <c r="E142" s="1">
        <v>998</v>
      </c>
      <c r="F142" s="28">
        <v>12</v>
      </c>
      <c r="G142" s="1">
        <v>10</v>
      </c>
      <c r="H142" s="1">
        <v>63</v>
      </c>
      <c r="I142" s="1">
        <v>60</v>
      </c>
      <c r="J142" t="str">
        <f t="shared" si="2"/>
        <v>http://www.badatelna.eu/reprodukce/?fondId=241&amp;zaznamId=1133738&amp;reproId=3885658</v>
      </c>
      <c r="K142">
        <f>IF(LEN(TRIM(E142))=0,"",VLOOKUP(E142,Sheet2!$B$1:$E$19,2,FALSE))</f>
        <v>241</v>
      </c>
      <c r="L142">
        <f>IF(LEN(TRIM(E142))=0,"",VLOOKUP(E142,Sheet2!$B$1:$E$19,3,FALSE))</f>
        <v>1133738</v>
      </c>
      <c r="M142">
        <f>IF(LEN(TRIM(E142))=0,"",VLOOKUP(E142,Sheet2!$B$1:$E$19,4,FALSE))+(F142-1)</f>
        <v>3885658</v>
      </c>
      <c r="N142"/>
      <c r="O142"/>
      <c r="P142"/>
      <c r="Q142"/>
    </row>
    <row r="143" spans="1:17" s="1" customFormat="1" ht="15" customHeight="1" x14ac:dyDescent="0.25">
      <c r="A143" s="30" t="s">
        <v>12</v>
      </c>
      <c r="B143" s="27" t="s">
        <v>290</v>
      </c>
      <c r="C143" s="5" t="s">
        <v>1064</v>
      </c>
      <c r="D143" s="3" t="s">
        <v>454</v>
      </c>
      <c r="E143" s="3">
        <v>2170</v>
      </c>
      <c r="F143" s="28">
        <v>14</v>
      </c>
      <c r="G143" s="10">
        <v>10</v>
      </c>
      <c r="H143" s="3">
        <v>60</v>
      </c>
      <c r="I143" s="3">
        <v>56</v>
      </c>
      <c r="J143" t="str">
        <f t="shared" si="2"/>
        <v>http://www.badatelna.eu/reprodukce/?fondId=1073&amp;zaznamId=1108956&amp;reproId=3779606</v>
      </c>
      <c r="K143">
        <f>IF(LEN(TRIM(E143))=0,"",VLOOKUP(E143,Sheet2!$B$1:$E$19,2,FALSE))</f>
        <v>1073</v>
      </c>
      <c r="L143">
        <f>IF(LEN(TRIM(E143))=0,"",VLOOKUP(E143,Sheet2!$B$1:$E$19,3,FALSE))</f>
        <v>1108956</v>
      </c>
      <c r="M143">
        <f>IF(LEN(TRIM(E143))=0,"",VLOOKUP(E143,Sheet2!$B$1:$E$19,4,FALSE))+(F143-1)</f>
        <v>3779606</v>
      </c>
      <c r="N143" s="2"/>
      <c r="O143" s="2"/>
      <c r="P143" s="2"/>
      <c r="Q143" s="2"/>
    </row>
    <row r="144" spans="1:17" s="1" customFormat="1" ht="15" customHeight="1" x14ac:dyDescent="0.25">
      <c r="A144" s="28" t="s">
        <v>12</v>
      </c>
      <c r="B144" s="28" t="s">
        <v>29</v>
      </c>
      <c r="C144" s="1">
        <v>1848</v>
      </c>
      <c r="D144" s="1" t="s">
        <v>2919</v>
      </c>
      <c r="E144" s="1">
        <v>998</v>
      </c>
      <c r="F144" s="28">
        <v>9</v>
      </c>
      <c r="G144" s="1">
        <v>7</v>
      </c>
      <c r="H144" s="1">
        <v>63</v>
      </c>
      <c r="I144" s="1">
        <v>60</v>
      </c>
      <c r="J144" t="str">
        <f t="shared" si="2"/>
        <v>http://www.badatelna.eu/reprodukce/?fondId=241&amp;zaznamId=1133738&amp;reproId=3885655</v>
      </c>
      <c r="K144">
        <f>IF(LEN(TRIM(E144))=0,"",VLOOKUP(E144,Sheet2!$B$1:$E$19,2,FALSE))</f>
        <v>241</v>
      </c>
      <c r="L144">
        <f>IF(LEN(TRIM(E144))=0,"",VLOOKUP(E144,Sheet2!$B$1:$E$19,3,FALSE))</f>
        <v>1133738</v>
      </c>
      <c r="M144">
        <f>IF(LEN(TRIM(E144))=0,"",VLOOKUP(E144,Sheet2!$B$1:$E$19,4,FALSE))+(F144-1)</f>
        <v>3885655</v>
      </c>
    </row>
    <row r="145" spans="1:17" s="1" customFormat="1" ht="15" customHeight="1" x14ac:dyDescent="0.25">
      <c r="A145" s="28" t="s">
        <v>12</v>
      </c>
      <c r="B145" s="28" t="s">
        <v>29</v>
      </c>
      <c r="C145" s="1">
        <v>1853</v>
      </c>
      <c r="D145" s="1" t="s">
        <v>2919</v>
      </c>
      <c r="E145" s="1">
        <v>998</v>
      </c>
      <c r="F145" s="28">
        <v>38</v>
      </c>
      <c r="G145" s="1">
        <v>36</v>
      </c>
      <c r="H145" s="1">
        <v>63</v>
      </c>
      <c r="I145" s="1">
        <v>60</v>
      </c>
      <c r="J145" t="str">
        <f t="shared" si="2"/>
        <v>http://www.badatelna.eu/reprodukce/?fondId=241&amp;zaznamId=1133738&amp;reproId=3885684</v>
      </c>
      <c r="K145">
        <f>IF(LEN(TRIM(E145))=0,"",VLOOKUP(E145,Sheet2!$B$1:$E$19,2,FALSE))</f>
        <v>241</v>
      </c>
      <c r="L145">
        <f>IF(LEN(TRIM(E145))=0,"",VLOOKUP(E145,Sheet2!$B$1:$E$19,3,FALSE))</f>
        <v>1133738</v>
      </c>
      <c r="M145">
        <f>IF(LEN(TRIM(E145))=0,"",VLOOKUP(E145,Sheet2!$B$1:$E$19,4,FALSE))+(F145-1)</f>
        <v>3885684</v>
      </c>
      <c r="N145"/>
      <c r="O145"/>
      <c r="P145"/>
      <c r="Q145"/>
    </row>
    <row r="146" spans="1:17" s="1" customFormat="1" ht="15" customHeight="1" x14ac:dyDescent="0.25">
      <c r="A146" s="28" t="s">
        <v>12</v>
      </c>
      <c r="B146" s="29" t="s">
        <v>29</v>
      </c>
      <c r="C146" s="1">
        <v>1864</v>
      </c>
      <c r="D146" s="1" t="s">
        <v>2919</v>
      </c>
      <c r="E146" s="1">
        <v>999</v>
      </c>
      <c r="F146" s="28">
        <v>86</v>
      </c>
      <c r="G146" s="1">
        <v>7</v>
      </c>
      <c r="H146" s="1">
        <v>95</v>
      </c>
      <c r="I146" s="1">
        <v>153</v>
      </c>
      <c r="J146" t="str">
        <f t="shared" si="2"/>
        <v>http://www.badatelna.eu/reprodukce/?fondId=241&amp;zaznamId=1133739&amp;reproId=3885815</v>
      </c>
      <c r="K146">
        <f>IF(LEN(TRIM(E146))=0,"",VLOOKUP(E146,Sheet2!$B$1:$E$19,2,FALSE))</f>
        <v>241</v>
      </c>
      <c r="L146">
        <f>IF(LEN(TRIM(E146))=0,"",VLOOKUP(E146,Sheet2!$B$1:$E$19,3,FALSE))</f>
        <v>1133739</v>
      </c>
      <c r="M146">
        <f>IF(LEN(TRIM(E146))=0,"",VLOOKUP(E146,Sheet2!$B$1:$E$19,4,FALSE))+(F146-1)</f>
        <v>3885815</v>
      </c>
      <c r="N146" s="2"/>
      <c r="O146" s="2"/>
      <c r="P146" s="2"/>
      <c r="Q146" s="2"/>
    </row>
    <row r="147" spans="1:17" s="1" customFormat="1" ht="15" customHeight="1" x14ac:dyDescent="0.25">
      <c r="A147" s="28" t="s">
        <v>12</v>
      </c>
      <c r="B147" s="28" t="s">
        <v>29</v>
      </c>
      <c r="C147" s="6" t="s">
        <v>1987</v>
      </c>
      <c r="D147" s="1" t="s">
        <v>454</v>
      </c>
      <c r="E147" s="1">
        <v>2173</v>
      </c>
      <c r="F147" s="28">
        <v>180</v>
      </c>
      <c r="G147" s="9">
        <v>6</v>
      </c>
      <c r="H147" s="1">
        <v>185</v>
      </c>
      <c r="I147" s="1">
        <v>412</v>
      </c>
      <c r="J147" t="str">
        <f t="shared" si="2"/>
        <v>http://www.badatelna.eu/reprodukce/?fondId=1073&amp;zaznamId=1108959&amp;reproId=3780173</v>
      </c>
      <c r="K147">
        <f>IF(LEN(TRIM(E147))=0,"",VLOOKUP(E147,Sheet2!$B$1:$E$19,2,FALSE))</f>
        <v>1073</v>
      </c>
      <c r="L147">
        <f>IF(LEN(TRIM(E147))=0,"",VLOOKUP(E147,Sheet2!$B$1:$E$19,3,FALSE))</f>
        <v>1108959</v>
      </c>
      <c r="M147">
        <f>IF(LEN(TRIM(E147))=0,"",VLOOKUP(E147,Sheet2!$B$1:$E$19,4,FALSE))+(F147-1)</f>
        <v>3780173</v>
      </c>
      <c r="N147" s="2"/>
      <c r="O147" s="2"/>
      <c r="P147" s="2"/>
      <c r="Q147" s="2"/>
    </row>
    <row r="148" spans="1:17" s="1" customFormat="1" ht="15" customHeight="1" x14ac:dyDescent="0.25">
      <c r="A148" s="28" t="s">
        <v>12</v>
      </c>
      <c r="B148" s="28" t="s">
        <v>29</v>
      </c>
      <c r="C148" s="6" t="s">
        <v>2395</v>
      </c>
      <c r="D148" s="1" t="s">
        <v>454</v>
      </c>
      <c r="E148" s="1">
        <v>2173</v>
      </c>
      <c r="F148" s="28">
        <v>202</v>
      </c>
      <c r="G148" s="9">
        <v>13</v>
      </c>
      <c r="H148" s="1" t="s">
        <v>3073</v>
      </c>
      <c r="I148" s="1" t="s">
        <v>3073</v>
      </c>
      <c r="J148" t="str">
        <f t="shared" si="2"/>
        <v>http://www.badatelna.eu/reprodukce/?fondId=1073&amp;zaznamId=1108959&amp;reproId=3780195</v>
      </c>
      <c r="K148">
        <f>IF(LEN(TRIM(E148))=0,"",VLOOKUP(E148,Sheet2!$B$1:$E$19,2,FALSE))</f>
        <v>1073</v>
      </c>
      <c r="L148">
        <f>IF(LEN(TRIM(E148))=0,"",VLOOKUP(E148,Sheet2!$B$1:$E$19,3,FALSE))</f>
        <v>1108959</v>
      </c>
      <c r="M148">
        <f>IF(LEN(TRIM(E148))=0,"",VLOOKUP(E148,Sheet2!$B$1:$E$19,4,FALSE))+(F148-1)</f>
        <v>3780195</v>
      </c>
      <c r="N148" s="2"/>
      <c r="O148" s="2"/>
      <c r="P148" s="2"/>
      <c r="Q148" s="2"/>
    </row>
    <row r="149" spans="1:17" s="1" customFormat="1" ht="15" customHeight="1" x14ac:dyDescent="0.25">
      <c r="A149" s="28" t="s">
        <v>12</v>
      </c>
      <c r="B149" s="28" t="s">
        <v>432</v>
      </c>
      <c r="C149" s="6" t="s">
        <v>2686</v>
      </c>
      <c r="D149" s="1" t="s">
        <v>454</v>
      </c>
      <c r="E149" s="1">
        <v>2173</v>
      </c>
      <c r="F149" s="28">
        <v>224</v>
      </c>
      <c r="G149" s="9">
        <v>53</v>
      </c>
      <c r="H149" s="1" t="s">
        <v>3073</v>
      </c>
      <c r="I149" s="1" t="s">
        <v>3073</v>
      </c>
      <c r="J149" t="str">
        <f t="shared" si="2"/>
        <v>http://www.badatelna.eu/reprodukce/?fondId=1073&amp;zaznamId=1108959&amp;reproId=3780217</v>
      </c>
      <c r="K149">
        <f>IF(LEN(TRIM(E149))=0,"",VLOOKUP(E149,Sheet2!$B$1:$E$19,2,FALSE))</f>
        <v>1073</v>
      </c>
      <c r="L149">
        <f>IF(LEN(TRIM(E149))=0,"",VLOOKUP(E149,Sheet2!$B$1:$E$19,3,FALSE))</f>
        <v>1108959</v>
      </c>
      <c r="M149">
        <f>IF(LEN(TRIM(E149))=0,"",VLOOKUP(E149,Sheet2!$B$1:$E$19,4,FALSE))+(F149-1)</f>
        <v>3780217</v>
      </c>
      <c r="N149" s="2"/>
      <c r="O149" s="2"/>
      <c r="P149" s="2"/>
      <c r="Q149" s="2"/>
    </row>
    <row r="150" spans="1:17" s="1" customFormat="1" ht="15" customHeight="1" x14ac:dyDescent="0.25">
      <c r="A150" s="28" t="s">
        <v>12</v>
      </c>
      <c r="B150" s="28" t="s">
        <v>432</v>
      </c>
      <c r="C150" s="6" t="s">
        <v>2891</v>
      </c>
      <c r="D150" s="1" t="s">
        <v>454</v>
      </c>
      <c r="E150" s="1">
        <v>2173</v>
      </c>
      <c r="F150" s="28">
        <v>211</v>
      </c>
      <c r="G150" s="9" t="s">
        <v>2881</v>
      </c>
      <c r="H150" s="1" t="s">
        <v>3073</v>
      </c>
      <c r="I150" s="1" t="s">
        <v>3073</v>
      </c>
      <c r="J150" t="str">
        <f t="shared" si="2"/>
        <v>http://www.badatelna.eu/reprodukce/?fondId=1073&amp;zaznamId=1108959&amp;reproId=3780204</v>
      </c>
      <c r="K150">
        <f>IF(LEN(TRIM(E150))=0,"",VLOOKUP(E150,Sheet2!$B$1:$E$19,2,FALSE))</f>
        <v>1073</v>
      </c>
      <c r="L150">
        <f>IF(LEN(TRIM(E150))=0,"",VLOOKUP(E150,Sheet2!$B$1:$E$19,3,FALSE))</f>
        <v>1108959</v>
      </c>
      <c r="M150">
        <f>IF(LEN(TRIM(E150))=0,"",VLOOKUP(E150,Sheet2!$B$1:$E$19,4,FALSE))+(F150-1)</f>
        <v>3780204</v>
      </c>
    </row>
    <row r="151" spans="1:17" s="1" customFormat="1" ht="15" customHeight="1" x14ac:dyDescent="0.25">
      <c r="A151" s="27" t="s">
        <v>12</v>
      </c>
      <c r="B151" s="27" t="s">
        <v>3069</v>
      </c>
      <c r="C151" s="5" t="s">
        <v>1055</v>
      </c>
      <c r="D151" s="3" t="s">
        <v>454</v>
      </c>
      <c r="E151" s="3">
        <v>2170</v>
      </c>
      <c r="F151" s="28">
        <v>12</v>
      </c>
      <c r="G151" s="10">
        <v>8</v>
      </c>
      <c r="H151" s="3">
        <v>60</v>
      </c>
      <c r="I151" s="3">
        <v>56</v>
      </c>
      <c r="J151" t="str">
        <f t="shared" si="2"/>
        <v>http://www.badatelna.eu/reprodukce/?fondId=1073&amp;zaznamId=1108956&amp;reproId=3779604</v>
      </c>
      <c r="K151">
        <f>IF(LEN(TRIM(E151))=0,"",VLOOKUP(E151,Sheet2!$B$1:$E$19,2,FALSE))</f>
        <v>1073</v>
      </c>
      <c r="L151">
        <f>IF(LEN(TRIM(E151))=0,"",VLOOKUP(E151,Sheet2!$B$1:$E$19,3,FALSE))</f>
        <v>1108956</v>
      </c>
      <c r="M151">
        <f>IF(LEN(TRIM(E151))=0,"",VLOOKUP(E151,Sheet2!$B$1:$E$19,4,FALSE))+(F151-1)</f>
        <v>3779604</v>
      </c>
      <c r="N151"/>
      <c r="O151"/>
      <c r="P151"/>
      <c r="Q151"/>
    </row>
    <row r="152" spans="1:17" s="1" customFormat="1" ht="15" customHeight="1" x14ac:dyDescent="0.25">
      <c r="A152" s="28" t="s">
        <v>12</v>
      </c>
      <c r="B152" s="28" t="s">
        <v>267</v>
      </c>
      <c r="C152" s="6" t="s">
        <v>2007</v>
      </c>
      <c r="D152" s="1" t="s">
        <v>454</v>
      </c>
      <c r="E152" s="1">
        <v>2173</v>
      </c>
      <c r="F152" s="28">
        <v>181</v>
      </c>
      <c r="G152" s="9">
        <v>8</v>
      </c>
      <c r="H152" s="1">
        <v>185</v>
      </c>
      <c r="I152" s="1">
        <v>412</v>
      </c>
      <c r="J152" t="str">
        <f t="shared" si="2"/>
        <v>http://www.badatelna.eu/reprodukce/?fondId=1073&amp;zaznamId=1108959&amp;reproId=3780174</v>
      </c>
      <c r="K152">
        <f>IF(LEN(TRIM(E152))=0,"",VLOOKUP(E152,Sheet2!$B$1:$E$19,2,FALSE))</f>
        <v>1073</v>
      </c>
      <c r="L152">
        <f>IF(LEN(TRIM(E152))=0,"",VLOOKUP(E152,Sheet2!$B$1:$E$19,3,FALSE))</f>
        <v>1108959</v>
      </c>
      <c r="M152">
        <f>IF(LEN(TRIM(E152))=0,"",VLOOKUP(E152,Sheet2!$B$1:$E$19,4,FALSE))+(F152-1)</f>
        <v>3780174</v>
      </c>
      <c r="N152"/>
      <c r="O152"/>
      <c r="P152"/>
      <c r="Q152"/>
    </row>
    <row r="153" spans="1:17" s="1" customFormat="1" ht="15" customHeight="1" x14ac:dyDescent="0.25">
      <c r="A153" s="28" t="s">
        <v>12</v>
      </c>
      <c r="B153" s="28" t="s">
        <v>673</v>
      </c>
      <c r="C153" s="1">
        <v>1862</v>
      </c>
      <c r="D153" s="1" t="s">
        <v>2919</v>
      </c>
      <c r="E153" s="1">
        <v>999</v>
      </c>
      <c r="F153" s="28">
        <v>80</v>
      </c>
      <c r="G153" s="1">
        <v>1</v>
      </c>
      <c r="H153" s="1">
        <v>95</v>
      </c>
      <c r="I153" s="1">
        <v>153</v>
      </c>
      <c r="J153" t="str">
        <f t="shared" si="2"/>
        <v>http://www.badatelna.eu/reprodukce/?fondId=241&amp;zaznamId=1133739&amp;reproId=3885809</v>
      </c>
      <c r="K153">
        <f>IF(LEN(TRIM(E153))=0,"",VLOOKUP(E153,Sheet2!$B$1:$E$19,2,FALSE))</f>
        <v>241</v>
      </c>
      <c r="L153">
        <f>IF(LEN(TRIM(E153))=0,"",VLOOKUP(E153,Sheet2!$B$1:$E$19,3,FALSE))</f>
        <v>1133739</v>
      </c>
      <c r="M153">
        <f>IF(LEN(TRIM(E153))=0,"",VLOOKUP(E153,Sheet2!$B$1:$E$19,4,FALSE))+(F153-1)</f>
        <v>3885809</v>
      </c>
    </row>
    <row r="154" spans="1:17" s="1" customFormat="1" ht="15" customHeight="1" x14ac:dyDescent="0.25">
      <c r="A154" s="28" t="s">
        <v>12</v>
      </c>
      <c r="B154" s="28" t="s">
        <v>275</v>
      </c>
      <c r="C154" s="6" t="s">
        <v>1991</v>
      </c>
      <c r="D154" s="1" t="s">
        <v>454</v>
      </c>
      <c r="E154" s="1">
        <v>2173</v>
      </c>
      <c r="F154" s="28">
        <v>183</v>
      </c>
      <c r="G154" s="9">
        <v>13</v>
      </c>
      <c r="H154" s="1">
        <v>185</v>
      </c>
      <c r="I154" s="1">
        <v>412</v>
      </c>
      <c r="J154" t="str">
        <f t="shared" si="2"/>
        <v>http://www.badatelna.eu/reprodukce/?fondId=1073&amp;zaznamId=1108959&amp;reproId=3780176</v>
      </c>
      <c r="K154">
        <f>IF(LEN(TRIM(E154))=0,"",VLOOKUP(E154,Sheet2!$B$1:$E$19,2,FALSE))</f>
        <v>1073</v>
      </c>
      <c r="L154">
        <f>IF(LEN(TRIM(E154))=0,"",VLOOKUP(E154,Sheet2!$B$1:$E$19,3,FALSE))</f>
        <v>1108959</v>
      </c>
      <c r="M154">
        <f>IF(LEN(TRIM(E154))=0,"",VLOOKUP(E154,Sheet2!$B$1:$E$19,4,FALSE))+(F154-1)</f>
        <v>3780176</v>
      </c>
    </row>
    <row r="155" spans="1:17" s="1" customFormat="1" ht="15" customHeight="1" x14ac:dyDescent="0.25">
      <c r="A155" s="28" t="s">
        <v>12</v>
      </c>
      <c r="B155" s="28" t="s">
        <v>2929</v>
      </c>
      <c r="C155" s="1">
        <v>1850</v>
      </c>
      <c r="D155" s="1" t="s">
        <v>2919</v>
      </c>
      <c r="E155" s="1">
        <v>998</v>
      </c>
      <c r="F155" s="28">
        <v>30</v>
      </c>
      <c r="G155" s="1">
        <v>28</v>
      </c>
      <c r="H155" s="1">
        <v>63</v>
      </c>
      <c r="I155" s="1">
        <v>60</v>
      </c>
      <c r="J155" t="str">
        <f t="shared" si="2"/>
        <v>http://www.badatelna.eu/reprodukce/?fondId=241&amp;zaznamId=1133738&amp;reproId=3885676</v>
      </c>
      <c r="K155">
        <f>IF(LEN(TRIM(E155))=0,"",VLOOKUP(E155,Sheet2!$B$1:$E$19,2,FALSE))</f>
        <v>241</v>
      </c>
      <c r="L155">
        <f>IF(LEN(TRIM(E155))=0,"",VLOOKUP(E155,Sheet2!$B$1:$E$19,3,FALSE))</f>
        <v>1133738</v>
      </c>
      <c r="M155">
        <f>IF(LEN(TRIM(E155))=0,"",VLOOKUP(E155,Sheet2!$B$1:$E$19,4,FALSE))+(F155-1)</f>
        <v>3885676</v>
      </c>
      <c r="N155" s="2"/>
      <c r="O155" s="2"/>
      <c r="P155" s="2"/>
      <c r="Q155" s="2"/>
    </row>
    <row r="156" spans="1:17" s="1" customFormat="1" ht="15" customHeight="1" x14ac:dyDescent="0.25">
      <c r="A156" s="28" t="s">
        <v>12</v>
      </c>
      <c r="B156" s="28" t="s">
        <v>40</v>
      </c>
      <c r="C156" s="6" t="s">
        <v>2735</v>
      </c>
      <c r="D156" s="1" t="s">
        <v>454</v>
      </c>
      <c r="E156" s="1">
        <v>2173</v>
      </c>
      <c r="F156" s="28">
        <v>227</v>
      </c>
      <c r="G156" s="9">
        <v>60</v>
      </c>
      <c r="H156" s="1" t="s">
        <v>3073</v>
      </c>
      <c r="I156" s="1" t="s">
        <v>3073</v>
      </c>
      <c r="J156" t="str">
        <f t="shared" si="2"/>
        <v>http://www.badatelna.eu/reprodukce/?fondId=1073&amp;zaznamId=1108959&amp;reproId=3780220</v>
      </c>
      <c r="K156">
        <f>IF(LEN(TRIM(E156))=0,"",VLOOKUP(E156,Sheet2!$B$1:$E$19,2,FALSE))</f>
        <v>1073</v>
      </c>
      <c r="L156">
        <f>IF(LEN(TRIM(E156))=0,"",VLOOKUP(E156,Sheet2!$B$1:$E$19,3,FALSE))</f>
        <v>1108959</v>
      </c>
      <c r="M156">
        <f>IF(LEN(TRIM(E156))=0,"",VLOOKUP(E156,Sheet2!$B$1:$E$19,4,FALSE))+(F156-1)</f>
        <v>3780220</v>
      </c>
    </row>
    <row r="157" spans="1:17" s="1" customFormat="1" ht="15" customHeight="1" x14ac:dyDescent="0.25">
      <c r="A157" s="28" t="s">
        <v>12</v>
      </c>
      <c r="B157" s="28" t="s">
        <v>2942</v>
      </c>
      <c r="C157" s="1">
        <v>1861</v>
      </c>
      <c r="D157" s="1" t="s">
        <v>2919</v>
      </c>
      <c r="E157" s="1">
        <v>998</v>
      </c>
      <c r="F157" s="28">
        <v>61</v>
      </c>
      <c r="G157" s="1">
        <v>58</v>
      </c>
      <c r="H157" s="1">
        <v>64</v>
      </c>
      <c r="I157" s="1">
        <v>61</v>
      </c>
      <c r="J157" t="str">
        <f t="shared" si="2"/>
        <v>http://www.badatelna.eu/reprodukce/?fondId=241&amp;zaznamId=1133738&amp;reproId=3885707</v>
      </c>
      <c r="K157">
        <f>IF(LEN(TRIM(E157))=0,"",VLOOKUP(E157,Sheet2!$B$1:$E$19,2,FALSE))</f>
        <v>241</v>
      </c>
      <c r="L157">
        <f>IF(LEN(TRIM(E157))=0,"",VLOOKUP(E157,Sheet2!$B$1:$E$19,3,FALSE))</f>
        <v>1133738</v>
      </c>
      <c r="M157">
        <f>IF(LEN(TRIM(E157))=0,"",VLOOKUP(E157,Sheet2!$B$1:$E$19,4,FALSE))+(F157-1)</f>
        <v>3885707</v>
      </c>
      <c r="N157" s="2"/>
      <c r="O157" s="2"/>
      <c r="P157" s="2"/>
      <c r="Q157" s="2"/>
    </row>
    <row r="158" spans="1:17" s="1" customFormat="1" ht="15" customHeight="1" x14ac:dyDescent="0.25">
      <c r="A158" s="27" t="s">
        <v>12</v>
      </c>
      <c r="B158" s="27" t="s">
        <v>477</v>
      </c>
      <c r="C158" s="5" t="s">
        <v>1079</v>
      </c>
      <c r="D158" s="3" t="s">
        <v>454</v>
      </c>
      <c r="E158" s="3">
        <v>2170</v>
      </c>
      <c r="F158" s="28">
        <v>23</v>
      </c>
      <c r="G158" s="10">
        <v>19</v>
      </c>
      <c r="H158" s="3">
        <v>61</v>
      </c>
      <c r="I158" s="3">
        <v>57</v>
      </c>
      <c r="J158" t="str">
        <f t="shared" si="2"/>
        <v>http://www.badatelna.eu/reprodukce/?fondId=1073&amp;zaznamId=1108956&amp;reproId=3779615</v>
      </c>
      <c r="K158">
        <f>IF(LEN(TRIM(E158))=0,"",VLOOKUP(E158,Sheet2!$B$1:$E$19,2,FALSE))</f>
        <v>1073</v>
      </c>
      <c r="L158">
        <f>IF(LEN(TRIM(E158))=0,"",VLOOKUP(E158,Sheet2!$B$1:$E$19,3,FALSE))</f>
        <v>1108956</v>
      </c>
      <c r="M158">
        <f>IF(LEN(TRIM(E158))=0,"",VLOOKUP(E158,Sheet2!$B$1:$E$19,4,FALSE))+(F158-1)</f>
        <v>3779615</v>
      </c>
    </row>
    <row r="159" spans="1:17" s="1" customFormat="1" ht="15" customHeight="1" x14ac:dyDescent="0.25">
      <c r="A159" s="28" t="s">
        <v>12</v>
      </c>
      <c r="B159" s="28" t="s">
        <v>87</v>
      </c>
      <c r="C159" s="6" t="s">
        <v>2341</v>
      </c>
      <c r="D159" s="1" t="s">
        <v>454</v>
      </c>
      <c r="E159" s="1">
        <v>2173</v>
      </c>
      <c r="F159" s="28">
        <v>200</v>
      </c>
      <c r="G159" s="9">
        <v>9</v>
      </c>
      <c r="H159" s="1" t="s">
        <v>3073</v>
      </c>
      <c r="I159" s="1" t="s">
        <v>3073</v>
      </c>
      <c r="J159" t="str">
        <f t="shared" si="2"/>
        <v>http://www.badatelna.eu/reprodukce/?fondId=1073&amp;zaznamId=1108959&amp;reproId=3780193</v>
      </c>
      <c r="K159">
        <f>IF(LEN(TRIM(E159))=0,"",VLOOKUP(E159,Sheet2!$B$1:$E$19,2,FALSE))</f>
        <v>1073</v>
      </c>
      <c r="L159">
        <f>IF(LEN(TRIM(E159))=0,"",VLOOKUP(E159,Sheet2!$B$1:$E$19,3,FALSE))</f>
        <v>1108959</v>
      </c>
      <c r="M159">
        <f>IF(LEN(TRIM(E159))=0,"",VLOOKUP(E159,Sheet2!$B$1:$E$19,4,FALSE))+(F159-1)</f>
        <v>3780193</v>
      </c>
      <c r="N159"/>
      <c r="O159"/>
      <c r="P159"/>
      <c r="Q159"/>
    </row>
    <row r="160" spans="1:17" s="1" customFormat="1" ht="15" customHeight="1" x14ac:dyDescent="0.25">
      <c r="A160" s="28" t="s">
        <v>12</v>
      </c>
      <c r="B160" s="28" t="s">
        <v>309</v>
      </c>
      <c r="C160" s="1">
        <v>1849</v>
      </c>
      <c r="D160" s="1" t="s">
        <v>2919</v>
      </c>
      <c r="E160" s="1">
        <v>998</v>
      </c>
      <c r="F160" s="28">
        <v>25</v>
      </c>
      <c r="G160" s="1">
        <v>23</v>
      </c>
      <c r="H160" s="1">
        <v>63</v>
      </c>
      <c r="I160" s="1">
        <v>60</v>
      </c>
      <c r="J160" t="str">
        <f t="shared" si="2"/>
        <v>http://www.badatelna.eu/reprodukce/?fondId=241&amp;zaznamId=1133738&amp;reproId=3885671</v>
      </c>
      <c r="K160">
        <f>IF(LEN(TRIM(E160))=0,"",VLOOKUP(E160,Sheet2!$B$1:$E$19,2,FALSE))</f>
        <v>241</v>
      </c>
      <c r="L160">
        <f>IF(LEN(TRIM(E160))=0,"",VLOOKUP(E160,Sheet2!$B$1:$E$19,3,FALSE))</f>
        <v>1133738</v>
      </c>
      <c r="M160">
        <f>IF(LEN(TRIM(E160))=0,"",VLOOKUP(E160,Sheet2!$B$1:$E$19,4,FALSE))+(F160-1)</f>
        <v>3885671</v>
      </c>
    </row>
    <row r="161" spans="1:17" s="1" customFormat="1" ht="15" customHeight="1" x14ac:dyDescent="0.25">
      <c r="A161" s="28" t="s">
        <v>12</v>
      </c>
      <c r="B161" s="28" t="s">
        <v>274</v>
      </c>
      <c r="C161" s="1">
        <v>1850</v>
      </c>
      <c r="D161" s="1" t="s">
        <v>2919</v>
      </c>
      <c r="E161" s="1">
        <v>998</v>
      </c>
      <c r="F161" s="28">
        <v>29</v>
      </c>
      <c r="G161" s="1">
        <v>27</v>
      </c>
      <c r="H161" s="1">
        <v>63</v>
      </c>
      <c r="I161" s="1">
        <v>60</v>
      </c>
      <c r="J161" t="str">
        <f t="shared" si="2"/>
        <v>http://www.badatelna.eu/reprodukce/?fondId=241&amp;zaznamId=1133738&amp;reproId=3885675</v>
      </c>
      <c r="K161">
        <f>IF(LEN(TRIM(E161))=0,"",VLOOKUP(E161,Sheet2!$B$1:$E$19,2,FALSE))</f>
        <v>241</v>
      </c>
      <c r="L161">
        <f>IF(LEN(TRIM(E161))=0,"",VLOOKUP(E161,Sheet2!$B$1:$E$19,3,FALSE))</f>
        <v>1133738</v>
      </c>
      <c r="M161">
        <f>IF(LEN(TRIM(E161))=0,"",VLOOKUP(E161,Sheet2!$B$1:$E$19,4,FALSE))+(F161-1)</f>
        <v>3885675</v>
      </c>
    </row>
    <row r="162" spans="1:17" s="1" customFormat="1" ht="15" customHeight="1" x14ac:dyDescent="0.25">
      <c r="A162" s="28" t="s">
        <v>12</v>
      </c>
      <c r="B162" s="28" t="s">
        <v>274</v>
      </c>
      <c r="C162" s="6" t="s">
        <v>1988</v>
      </c>
      <c r="D162" s="1" t="s">
        <v>454</v>
      </c>
      <c r="E162" s="1">
        <v>2173</v>
      </c>
      <c r="F162" s="28">
        <v>183</v>
      </c>
      <c r="G162" s="9">
        <v>12</v>
      </c>
      <c r="H162" s="1">
        <v>185</v>
      </c>
      <c r="I162" s="1">
        <v>412</v>
      </c>
      <c r="J162" t="str">
        <f t="shared" si="2"/>
        <v>http://www.badatelna.eu/reprodukce/?fondId=1073&amp;zaznamId=1108959&amp;reproId=3780176</v>
      </c>
      <c r="K162">
        <f>IF(LEN(TRIM(E162))=0,"",VLOOKUP(E162,Sheet2!$B$1:$E$19,2,FALSE))</f>
        <v>1073</v>
      </c>
      <c r="L162">
        <f>IF(LEN(TRIM(E162))=0,"",VLOOKUP(E162,Sheet2!$B$1:$E$19,3,FALSE))</f>
        <v>1108959</v>
      </c>
      <c r="M162">
        <f>IF(LEN(TRIM(E162))=0,"",VLOOKUP(E162,Sheet2!$B$1:$E$19,4,FALSE))+(F162-1)</f>
        <v>3780176</v>
      </c>
      <c r="N162"/>
      <c r="O162"/>
      <c r="P162"/>
      <c r="Q162"/>
    </row>
    <row r="163" spans="1:17" s="1" customFormat="1" ht="15" customHeight="1" x14ac:dyDescent="0.25">
      <c r="A163" s="28" t="s">
        <v>12</v>
      </c>
      <c r="B163" s="28" t="s">
        <v>271</v>
      </c>
      <c r="C163" s="6" t="s">
        <v>2001</v>
      </c>
      <c r="D163" s="1" t="s">
        <v>454</v>
      </c>
      <c r="E163" s="1">
        <v>2173</v>
      </c>
      <c r="F163" s="28">
        <v>182</v>
      </c>
      <c r="G163" s="9">
        <v>10</v>
      </c>
      <c r="H163" s="1">
        <v>185</v>
      </c>
      <c r="I163" s="1">
        <v>412</v>
      </c>
      <c r="J163" t="str">
        <f t="shared" si="2"/>
        <v>http://www.badatelna.eu/reprodukce/?fondId=1073&amp;zaznamId=1108959&amp;reproId=3780175</v>
      </c>
      <c r="K163">
        <f>IF(LEN(TRIM(E163))=0,"",VLOOKUP(E163,Sheet2!$B$1:$E$19,2,FALSE))</f>
        <v>1073</v>
      </c>
      <c r="L163">
        <f>IF(LEN(TRIM(E163))=0,"",VLOOKUP(E163,Sheet2!$B$1:$E$19,3,FALSE))</f>
        <v>1108959</v>
      </c>
      <c r="M163">
        <f>IF(LEN(TRIM(E163))=0,"",VLOOKUP(E163,Sheet2!$B$1:$E$19,4,FALSE))+(F163-1)</f>
        <v>3780175</v>
      </c>
      <c r="N163"/>
      <c r="O163"/>
      <c r="P163"/>
      <c r="Q163"/>
    </row>
    <row r="164" spans="1:17" s="1" customFormat="1" ht="15" customHeight="1" x14ac:dyDescent="0.25">
      <c r="A164" s="28" t="s">
        <v>12</v>
      </c>
      <c r="B164" s="29" t="s">
        <v>2934</v>
      </c>
      <c r="C164" s="1">
        <v>1853</v>
      </c>
      <c r="D164" s="1" t="s">
        <v>2919</v>
      </c>
      <c r="E164" s="1">
        <v>998</v>
      </c>
      <c r="F164" s="28">
        <v>38</v>
      </c>
      <c r="G164" s="1">
        <v>36</v>
      </c>
      <c r="H164" s="1">
        <v>63</v>
      </c>
      <c r="I164" s="1">
        <v>60</v>
      </c>
      <c r="J164" t="str">
        <f t="shared" si="2"/>
        <v>http://www.badatelna.eu/reprodukce/?fondId=241&amp;zaznamId=1133738&amp;reproId=3885684</v>
      </c>
      <c r="K164">
        <f>IF(LEN(TRIM(E164))=0,"",VLOOKUP(E164,Sheet2!$B$1:$E$19,2,FALSE))</f>
        <v>241</v>
      </c>
      <c r="L164">
        <f>IF(LEN(TRIM(E164))=0,"",VLOOKUP(E164,Sheet2!$B$1:$E$19,3,FALSE))</f>
        <v>1133738</v>
      </c>
      <c r="M164">
        <f>IF(LEN(TRIM(E164))=0,"",VLOOKUP(E164,Sheet2!$B$1:$E$19,4,FALSE))+(F164-1)</f>
        <v>3885684</v>
      </c>
    </row>
    <row r="165" spans="1:17" s="1" customFormat="1" ht="15" customHeight="1" x14ac:dyDescent="0.25">
      <c r="A165" s="29" t="s">
        <v>12</v>
      </c>
      <c r="B165" s="28" t="s">
        <v>0</v>
      </c>
      <c r="C165" s="6" t="s">
        <v>2513</v>
      </c>
      <c r="D165" s="1" t="s">
        <v>454</v>
      </c>
      <c r="E165" s="1">
        <v>2173</v>
      </c>
      <c r="F165" s="28">
        <v>206</v>
      </c>
      <c r="G165" s="1">
        <v>22</v>
      </c>
      <c r="H165" s="1" t="s">
        <v>3073</v>
      </c>
      <c r="I165" s="1" t="s">
        <v>3073</v>
      </c>
      <c r="J165" t="str">
        <f t="shared" si="2"/>
        <v>http://www.badatelna.eu/reprodukce/?fondId=1073&amp;zaznamId=1108959&amp;reproId=3780199</v>
      </c>
      <c r="K165">
        <f>IF(LEN(TRIM(E165))=0,"",VLOOKUP(E165,Sheet2!$B$1:$E$19,2,FALSE))</f>
        <v>1073</v>
      </c>
      <c r="L165">
        <f>IF(LEN(TRIM(E165))=0,"",VLOOKUP(E165,Sheet2!$B$1:$E$19,3,FALSE))</f>
        <v>1108959</v>
      </c>
      <c r="M165">
        <f>IF(LEN(TRIM(E165))=0,"",VLOOKUP(E165,Sheet2!$B$1:$E$19,4,FALSE))+(F165-1)</f>
        <v>3780199</v>
      </c>
    </row>
    <row r="166" spans="1:17" s="1" customFormat="1" ht="15" customHeight="1" x14ac:dyDescent="0.25">
      <c r="A166" s="27" t="s">
        <v>12</v>
      </c>
      <c r="B166" s="27" t="s">
        <v>205</v>
      </c>
      <c r="C166" s="5" t="s">
        <v>1068</v>
      </c>
      <c r="D166" s="3" t="s">
        <v>454</v>
      </c>
      <c r="E166" s="3">
        <v>2171</v>
      </c>
      <c r="F166" s="28">
        <v>15</v>
      </c>
      <c r="G166" s="10">
        <v>13</v>
      </c>
      <c r="H166" s="3">
        <v>41</v>
      </c>
      <c r="I166" s="3">
        <v>32</v>
      </c>
      <c r="J166" t="str">
        <f t="shared" si="2"/>
        <v>http://www.badatelna.eu/reprodukce/?fondId=1073&amp;zaznamId=1108957&amp;reproId=3779682</v>
      </c>
      <c r="K166">
        <f>IF(LEN(TRIM(E166))=0,"",VLOOKUP(E166,Sheet2!$B$1:$E$19,2,FALSE))</f>
        <v>1073</v>
      </c>
      <c r="L166">
        <f>IF(LEN(TRIM(E166))=0,"",VLOOKUP(E166,Sheet2!$B$1:$E$19,3,FALSE))</f>
        <v>1108957</v>
      </c>
      <c r="M166">
        <f>IF(LEN(TRIM(E166))=0,"",VLOOKUP(E166,Sheet2!$B$1:$E$19,4,FALSE))+(F166-1)</f>
        <v>3779682</v>
      </c>
    </row>
    <row r="167" spans="1:17" s="1" customFormat="1" ht="15" customHeight="1" x14ac:dyDescent="0.25">
      <c r="A167" s="28" t="s">
        <v>12</v>
      </c>
      <c r="B167" s="28" t="s">
        <v>18</v>
      </c>
      <c r="C167" s="1">
        <v>1852</v>
      </c>
      <c r="D167" s="1" t="s">
        <v>2919</v>
      </c>
      <c r="E167" s="1">
        <v>998</v>
      </c>
      <c r="F167" s="28">
        <v>34</v>
      </c>
      <c r="G167" s="1">
        <v>32</v>
      </c>
      <c r="H167" s="1">
        <v>63</v>
      </c>
      <c r="I167" s="1">
        <v>60</v>
      </c>
      <c r="J167" t="str">
        <f t="shared" si="2"/>
        <v>http://www.badatelna.eu/reprodukce/?fondId=241&amp;zaznamId=1133738&amp;reproId=3885680</v>
      </c>
      <c r="K167">
        <f>IF(LEN(TRIM(E167))=0,"",VLOOKUP(E167,Sheet2!$B$1:$E$19,2,FALSE))</f>
        <v>241</v>
      </c>
      <c r="L167">
        <f>IF(LEN(TRIM(E167))=0,"",VLOOKUP(E167,Sheet2!$B$1:$E$19,3,FALSE))</f>
        <v>1133738</v>
      </c>
      <c r="M167">
        <f>IF(LEN(TRIM(E167))=0,"",VLOOKUP(E167,Sheet2!$B$1:$E$19,4,FALSE))+(F167-1)</f>
        <v>3885680</v>
      </c>
    </row>
    <row r="168" spans="1:17" s="1" customFormat="1" ht="15" customHeight="1" x14ac:dyDescent="0.25">
      <c r="A168" s="28" t="s">
        <v>12</v>
      </c>
      <c r="B168" s="29" t="s">
        <v>713</v>
      </c>
      <c r="C168" s="1">
        <v>1854</v>
      </c>
      <c r="D168" s="1" t="s">
        <v>2919</v>
      </c>
      <c r="E168" s="1">
        <v>998</v>
      </c>
      <c r="F168" s="28">
        <v>39</v>
      </c>
      <c r="G168" s="1">
        <v>37</v>
      </c>
      <c r="H168" s="1">
        <v>63</v>
      </c>
      <c r="I168" s="1">
        <v>60</v>
      </c>
      <c r="J168" t="str">
        <f t="shared" si="2"/>
        <v>http://www.badatelna.eu/reprodukce/?fondId=241&amp;zaznamId=1133738&amp;reproId=3885685</v>
      </c>
      <c r="K168">
        <f>IF(LEN(TRIM(E168))=0,"",VLOOKUP(E168,Sheet2!$B$1:$E$19,2,FALSE))</f>
        <v>241</v>
      </c>
      <c r="L168">
        <f>IF(LEN(TRIM(E168))=0,"",VLOOKUP(E168,Sheet2!$B$1:$E$19,3,FALSE))</f>
        <v>1133738</v>
      </c>
      <c r="M168">
        <f>IF(LEN(TRIM(E168))=0,"",VLOOKUP(E168,Sheet2!$B$1:$E$19,4,FALSE))+(F168-1)</f>
        <v>3885685</v>
      </c>
    </row>
    <row r="169" spans="1:17" s="1" customFormat="1" ht="15" customHeight="1" x14ac:dyDescent="0.25">
      <c r="A169" s="28" t="s">
        <v>12</v>
      </c>
      <c r="B169" s="28" t="s">
        <v>478</v>
      </c>
      <c r="C169" s="1">
        <v>1849</v>
      </c>
      <c r="D169" s="1" t="s">
        <v>2919</v>
      </c>
      <c r="E169" s="1">
        <v>998</v>
      </c>
      <c r="F169" s="28">
        <v>20</v>
      </c>
      <c r="G169" s="1">
        <v>18</v>
      </c>
      <c r="H169" s="1">
        <v>63</v>
      </c>
      <c r="I169" s="1">
        <v>60</v>
      </c>
      <c r="J169" t="str">
        <f t="shared" si="2"/>
        <v>http://www.badatelna.eu/reprodukce/?fondId=241&amp;zaznamId=1133738&amp;reproId=3885666</v>
      </c>
      <c r="K169">
        <f>IF(LEN(TRIM(E169))=0,"",VLOOKUP(E169,Sheet2!$B$1:$E$19,2,FALSE))</f>
        <v>241</v>
      </c>
      <c r="L169">
        <f>IF(LEN(TRIM(E169))=0,"",VLOOKUP(E169,Sheet2!$B$1:$E$19,3,FALSE))</f>
        <v>1133738</v>
      </c>
      <c r="M169">
        <f>IF(LEN(TRIM(E169))=0,"",VLOOKUP(E169,Sheet2!$B$1:$E$19,4,FALSE))+(F169-1)</f>
        <v>3885666</v>
      </c>
      <c r="N169"/>
      <c r="O169"/>
      <c r="P169"/>
      <c r="Q169"/>
    </row>
    <row r="170" spans="1:17" s="1" customFormat="1" ht="15" customHeight="1" x14ac:dyDescent="0.25">
      <c r="A170" s="28" t="s">
        <v>12</v>
      </c>
      <c r="B170" s="28" t="s">
        <v>478</v>
      </c>
      <c r="C170" s="6" t="s">
        <v>1539</v>
      </c>
      <c r="D170" s="1" t="s">
        <v>454</v>
      </c>
      <c r="E170" s="1">
        <v>2172</v>
      </c>
      <c r="F170" s="28">
        <v>17</v>
      </c>
      <c r="G170" s="9">
        <v>16</v>
      </c>
      <c r="H170" s="1" t="s">
        <v>3073</v>
      </c>
      <c r="I170" s="1" t="s">
        <v>3073</v>
      </c>
      <c r="J170" t="str">
        <f t="shared" si="2"/>
        <v>http://www.badatelna.eu/reprodukce/?fondId=1073&amp;zaznamId=1108958&amp;reproId=3779758</v>
      </c>
      <c r="K170">
        <f>IF(LEN(TRIM(E170))=0,"",VLOOKUP(E170,Sheet2!$B$1:$E$19,2,FALSE))</f>
        <v>1073</v>
      </c>
      <c r="L170">
        <f>IF(LEN(TRIM(E170))=0,"",VLOOKUP(E170,Sheet2!$B$1:$E$19,3,FALSE))</f>
        <v>1108958</v>
      </c>
      <c r="M170">
        <f>IF(LEN(TRIM(E170))=0,"",VLOOKUP(E170,Sheet2!$B$1:$E$19,4,FALSE))+(F170-1)</f>
        <v>3779758</v>
      </c>
    </row>
    <row r="171" spans="1:17" s="1" customFormat="1" ht="15" customHeight="1" x14ac:dyDescent="0.25">
      <c r="A171" s="27" t="s">
        <v>12</v>
      </c>
      <c r="B171" s="27" t="s">
        <v>478</v>
      </c>
      <c r="C171" s="5" t="s">
        <v>1077</v>
      </c>
      <c r="D171" s="3" t="s">
        <v>454</v>
      </c>
      <c r="E171" s="3">
        <v>2170</v>
      </c>
      <c r="F171" s="28">
        <v>31</v>
      </c>
      <c r="G171" s="10">
        <v>27</v>
      </c>
      <c r="H171" s="3">
        <v>61</v>
      </c>
      <c r="I171" s="3">
        <v>57</v>
      </c>
      <c r="J171" t="str">
        <f t="shared" si="2"/>
        <v>http://www.badatelna.eu/reprodukce/?fondId=1073&amp;zaznamId=1108956&amp;reproId=3779623</v>
      </c>
      <c r="K171">
        <f>IF(LEN(TRIM(E171))=0,"",VLOOKUP(E171,Sheet2!$B$1:$E$19,2,FALSE))</f>
        <v>1073</v>
      </c>
      <c r="L171">
        <f>IF(LEN(TRIM(E171))=0,"",VLOOKUP(E171,Sheet2!$B$1:$E$19,3,FALSE))</f>
        <v>1108956</v>
      </c>
      <c r="M171">
        <f>IF(LEN(TRIM(E171))=0,"",VLOOKUP(E171,Sheet2!$B$1:$E$19,4,FALSE))+(F171-1)</f>
        <v>3779623</v>
      </c>
    </row>
    <row r="172" spans="1:17" s="1" customFormat="1" ht="15" customHeight="1" x14ac:dyDescent="0.25">
      <c r="A172" s="28" t="s">
        <v>12</v>
      </c>
      <c r="B172" s="28" t="s">
        <v>723</v>
      </c>
      <c r="C172" s="6" t="s">
        <v>1801</v>
      </c>
      <c r="D172" s="1" t="s">
        <v>454</v>
      </c>
      <c r="E172" s="1">
        <v>2172</v>
      </c>
      <c r="F172" s="28">
        <v>163</v>
      </c>
      <c r="G172" s="9">
        <v>157</v>
      </c>
      <c r="H172" s="1">
        <v>164</v>
      </c>
      <c r="I172" s="1">
        <v>158</v>
      </c>
      <c r="J172" t="str">
        <f t="shared" si="2"/>
        <v>http://www.badatelna.eu/reprodukce/?fondId=1073&amp;zaznamId=1108958&amp;reproId=3779904</v>
      </c>
      <c r="K172">
        <f>IF(LEN(TRIM(E172))=0,"",VLOOKUP(E172,Sheet2!$B$1:$E$19,2,FALSE))</f>
        <v>1073</v>
      </c>
      <c r="L172">
        <f>IF(LEN(TRIM(E172))=0,"",VLOOKUP(E172,Sheet2!$B$1:$E$19,3,FALSE))</f>
        <v>1108958</v>
      </c>
      <c r="M172">
        <f>IF(LEN(TRIM(E172))=0,"",VLOOKUP(E172,Sheet2!$B$1:$E$19,4,FALSE))+(F172-1)</f>
        <v>3779904</v>
      </c>
    </row>
    <row r="173" spans="1:17" s="1" customFormat="1" ht="15" customHeight="1" x14ac:dyDescent="0.25">
      <c r="A173" s="28" t="s">
        <v>12</v>
      </c>
      <c r="B173" s="28" t="s">
        <v>2926</v>
      </c>
      <c r="C173" s="1">
        <v>1849</v>
      </c>
      <c r="D173" s="1" t="s">
        <v>2919</v>
      </c>
      <c r="E173" s="1">
        <v>998</v>
      </c>
      <c r="F173" s="28">
        <v>27</v>
      </c>
      <c r="G173" s="1">
        <v>25</v>
      </c>
      <c r="H173" s="1">
        <v>63</v>
      </c>
      <c r="I173" s="1">
        <v>60</v>
      </c>
      <c r="J173" t="str">
        <f t="shared" si="2"/>
        <v>http://www.badatelna.eu/reprodukce/?fondId=241&amp;zaznamId=1133738&amp;reproId=3885673</v>
      </c>
      <c r="K173">
        <f>IF(LEN(TRIM(E173))=0,"",VLOOKUP(E173,Sheet2!$B$1:$E$19,2,FALSE))</f>
        <v>241</v>
      </c>
      <c r="L173">
        <f>IF(LEN(TRIM(E173))=0,"",VLOOKUP(E173,Sheet2!$B$1:$E$19,3,FALSE))</f>
        <v>1133738</v>
      </c>
      <c r="M173">
        <f>IF(LEN(TRIM(E173))=0,"",VLOOKUP(E173,Sheet2!$B$1:$E$19,4,FALSE))+(F173-1)</f>
        <v>3885673</v>
      </c>
    </row>
    <row r="174" spans="1:17" s="1" customFormat="1" ht="15" customHeight="1" x14ac:dyDescent="0.25">
      <c r="A174" s="28" t="s">
        <v>12</v>
      </c>
      <c r="B174" s="28" t="s">
        <v>2926</v>
      </c>
      <c r="C174" s="1">
        <v>1849</v>
      </c>
      <c r="D174" s="1" t="s">
        <v>2919</v>
      </c>
      <c r="E174" s="1">
        <v>998</v>
      </c>
      <c r="F174" s="28">
        <v>28</v>
      </c>
      <c r="G174" s="1">
        <v>26</v>
      </c>
      <c r="H174" s="1">
        <v>63</v>
      </c>
      <c r="I174" s="1">
        <v>60</v>
      </c>
      <c r="J174" t="str">
        <f t="shared" si="2"/>
        <v>http://www.badatelna.eu/reprodukce/?fondId=241&amp;zaznamId=1133738&amp;reproId=3885674</v>
      </c>
      <c r="K174">
        <f>IF(LEN(TRIM(E174))=0,"",VLOOKUP(E174,Sheet2!$B$1:$E$19,2,FALSE))</f>
        <v>241</v>
      </c>
      <c r="L174">
        <f>IF(LEN(TRIM(E174))=0,"",VLOOKUP(E174,Sheet2!$B$1:$E$19,3,FALSE))</f>
        <v>1133738</v>
      </c>
      <c r="M174">
        <f>IF(LEN(TRIM(E174))=0,"",VLOOKUP(E174,Sheet2!$B$1:$E$19,4,FALSE))+(F174-1)</f>
        <v>3885674</v>
      </c>
    </row>
    <row r="175" spans="1:17" s="1" customFormat="1" ht="15" customHeight="1" x14ac:dyDescent="0.25">
      <c r="A175" s="28" t="s">
        <v>12</v>
      </c>
      <c r="B175" s="28" t="s">
        <v>2926</v>
      </c>
      <c r="C175" s="1">
        <v>1865</v>
      </c>
      <c r="D175" s="1" t="s">
        <v>2919</v>
      </c>
      <c r="E175" s="1">
        <v>999</v>
      </c>
      <c r="F175" s="28">
        <v>88</v>
      </c>
      <c r="G175" s="1">
        <v>9</v>
      </c>
      <c r="H175" s="1">
        <v>95</v>
      </c>
      <c r="I175" s="1">
        <v>153</v>
      </c>
      <c r="J175" t="str">
        <f t="shared" si="2"/>
        <v>http://www.badatelna.eu/reprodukce/?fondId=241&amp;zaznamId=1133739&amp;reproId=3885817</v>
      </c>
      <c r="K175">
        <f>IF(LEN(TRIM(E175))=0,"",VLOOKUP(E175,Sheet2!$B$1:$E$19,2,FALSE))</f>
        <v>241</v>
      </c>
      <c r="L175">
        <f>IF(LEN(TRIM(E175))=0,"",VLOOKUP(E175,Sheet2!$B$1:$E$19,3,FALSE))</f>
        <v>1133739</v>
      </c>
      <c r="M175">
        <f>IF(LEN(TRIM(E175))=0,"",VLOOKUP(E175,Sheet2!$B$1:$E$19,4,FALSE))+(F175-1)</f>
        <v>3885817</v>
      </c>
    </row>
    <row r="176" spans="1:17" s="1" customFormat="1" ht="15" customHeight="1" x14ac:dyDescent="0.25">
      <c r="A176" s="28" t="s">
        <v>12</v>
      </c>
      <c r="B176" s="28" t="s">
        <v>2982</v>
      </c>
      <c r="C176" s="1">
        <v>1862</v>
      </c>
      <c r="D176" s="1" t="s">
        <v>2919</v>
      </c>
      <c r="E176" s="1">
        <v>999</v>
      </c>
      <c r="F176" s="28">
        <v>80</v>
      </c>
      <c r="G176" s="1">
        <v>1</v>
      </c>
      <c r="H176" s="1">
        <v>95</v>
      </c>
      <c r="I176" s="1">
        <v>153</v>
      </c>
      <c r="J176" t="str">
        <f t="shared" si="2"/>
        <v>http://www.badatelna.eu/reprodukce/?fondId=241&amp;zaznamId=1133739&amp;reproId=3885809</v>
      </c>
      <c r="K176">
        <f>IF(LEN(TRIM(E176))=0,"",VLOOKUP(E176,Sheet2!$B$1:$E$19,2,FALSE))</f>
        <v>241</v>
      </c>
      <c r="L176">
        <f>IF(LEN(TRIM(E176))=0,"",VLOOKUP(E176,Sheet2!$B$1:$E$19,3,FALSE))</f>
        <v>1133739</v>
      </c>
      <c r="M176">
        <f>IF(LEN(TRIM(E176))=0,"",VLOOKUP(E176,Sheet2!$B$1:$E$19,4,FALSE))+(F176-1)</f>
        <v>3885809</v>
      </c>
    </row>
    <row r="177" spans="1:17" s="1" customFormat="1" ht="15" customHeight="1" x14ac:dyDescent="0.25">
      <c r="A177" s="28" t="s">
        <v>12</v>
      </c>
      <c r="B177" s="28" t="s">
        <v>552</v>
      </c>
      <c r="C177" s="1">
        <v>1853</v>
      </c>
      <c r="D177" s="1" t="s">
        <v>2919</v>
      </c>
      <c r="E177" s="1">
        <v>998</v>
      </c>
      <c r="F177" s="28">
        <v>37</v>
      </c>
      <c r="G177" s="1">
        <v>35</v>
      </c>
      <c r="H177" s="1">
        <v>63</v>
      </c>
      <c r="I177" s="1">
        <v>60</v>
      </c>
      <c r="J177" t="str">
        <f t="shared" si="2"/>
        <v>http://www.badatelna.eu/reprodukce/?fondId=241&amp;zaznamId=1133738&amp;reproId=3885683</v>
      </c>
      <c r="K177">
        <f>IF(LEN(TRIM(E177))=0,"",VLOOKUP(E177,Sheet2!$B$1:$E$19,2,FALSE))</f>
        <v>241</v>
      </c>
      <c r="L177">
        <f>IF(LEN(TRIM(E177))=0,"",VLOOKUP(E177,Sheet2!$B$1:$E$19,3,FALSE))</f>
        <v>1133738</v>
      </c>
      <c r="M177">
        <f>IF(LEN(TRIM(E177))=0,"",VLOOKUP(E177,Sheet2!$B$1:$E$19,4,FALSE))+(F177-1)</f>
        <v>3885683</v>
      </c>
      <c r="N177"/>
      <c r="O177"/>
      <c r="P177"/>
      <c r="Q177"/>
    </row>
    <row r="178" spans="1:17" s="1" customFormat="1" ht="15" customHeight="1" x14ac:dyDescent="0.25">
      <c r="A178" s="28" t="s">
        <v>12</v>
      </c>
      <c r="B178" s="28" t="s">
        <v>84</v>
      </c>
      <c r="C178" s="1">
        <v>1887</v>
      </c>
      <c r="D178" s="1" t="s">
        <v>454</v>
      </c>
      <c r="E178" s="1">
        <v>2172</v>
      </c>
      <c r="F178" s="28">
        <v>59</v>
      </c>
      <c r="G178" s="9">
        <v>60</v>
      </c>
      <c r="H178" s="1">
        <v>60</v>
      </c>
      <c r="I178" s="1">
        <v>61</v>
      </c>
      <c r="J178" t="str">
        <f t="shared" si="2"/>
        <v>http://www.badatelna.eu/reprodukce/?fondId=1073&amp;zaznamId=1108958&amp;reproId=3779800</v>
      </c>
      <c r="K178">
        <f>IF(LEN(TRIM(E178))=0,"",VLOOKUP(E178,Sheet2!$B$1:$E$19,2,FALSE))</f>
        <v>1073</v>
      </c>
      <c r="L178">
        <f>IF(LEN(TRIM(E178))=0,"",VLOOKUP(E178,Sheet2!$B$1:$E$19,3,FALSE))</f>
        <v>1108958</v>
      </c>
      <c r="M178">
        <f>IF(LEN(TRIM(E178))=0,"",VLOOKUP(E178,Sheet2!$B$1:$E$19,4,FALSE))+(F178-1)</f>
        <v>3779800</v>
      </c>
    </row>
    <row r="179" spans="1:17" s="1" customFormat="1" ht="15" customHeight="1" x14ac:dyDescent="0.25">
      <c r="A179" s="28" t="s">
        <v>12</v>
      </c>
      <c r="B179" s="28" t="s">
        <v>522</v>
      </c>
      <c r="C179" s="1">
        <v>1856</v>
      </c>
      <c r="D179" s="1" t="s">
        <v>2919</v>
      </c>
      <c r="E179" s="1">
        <v>998</v>
      </c>
      <c r="F179" s="28">
        <v>50</v>
      </c>
      <c r="G179" s="1">
        <v>48</v>
      </c>
      <c r="H179" s="1">
        <v>64</v>
      </c>
      <c r="I179" s="1">
        <v>61</v>
      </c>
      <c r="J179" t="str">
        <f t="shared" si="2"/>
        <v>http://www.badatelna.eu/reprodukce/?fondId=241&amp;zaznamId=1133738&amp;reproId=3885696</v>
      </c>
      <c r="K179">
        <f>IF(LEN(TRIM(E179))=0,"",VLOOKUP(E179,Sheet2!$B$1:$E$19,2,FALSE))</f>
        <v>241</v>
      </c>
      <c r="L179">
        <f>IF(LEN(TRIM(E179))=0,"",VLOOKUP(E179,Sheet2!$B$1:$E$19,3,FALSE))</f>
        <v>1133738</v>
      </c>
      <c r="M179">
        <f>IF(LEN(TRIM(E179))=0,"",VLOOKUP(E179,Sheet2!$B$1:$E$19,4,FALSE))+(F179-1)</f>
        <v>3885696</v>
      </c>
    </row>
    <row r="180" spans="1:17" s="1" customFormat="1" ht="15" customHeight="1" x14ac:dyDescent="0.25">
      <c r="A180" s="28" t="s">
        <v>12</v>
      </c>
      <c r="B180" s="28" t="s">
        <v>80</v>
      </c>
      <c r="C180" s="6" t="s">
        <v>1993</v>
      </c>
      <c r="D180" s="1" t="s">
        <v>454</v>
      </c>
      <c r="E180" s="1">
        <v>2173</v>
      </c>
      <c r="F180" s="28">
        <v>182</v>
      </c>
      <c r="G180" s="9">
        <v>10</v>
      </c>
      <c r="H180" s="1">
        <v>185</v>
      </c>
      <c r="I180" s="1">
        <v>412</v>
      </c>
      <c r="J180" t="str">
        <f t="shared" si="2"/>
        <v>http://www.badatelna.eu/reprodukce/?fondId=1073&amp;zaznamId=1108959&amp;reproId=3780175</v>
      </c>
      <c r="K180">
        <f>IF(LEN(TRIM(E180))=0,"",VLOOKUP(E180,Sheet2!$B$1:$E$19,2,FALSE))</f>
        <v>1073</v>
      </c>
      <c r="L180">
        <f>IF(LEN(TRIM(E180))=0,"",VLOOKUP(E180,Sheet2!$B$1:$E$19,3,FALSE))</f>
        <v>1108959</v>
      </c>
      <c r="M180">
        <f>IF(LEN(TRIM(E180))=0,"",VLOOKUP(E180,Sheet2!$B$1:$E$19,4,FALSE))+(F180-1)</f>
        <v>3780175</v>
      </c>
    </row>
    <row r="181" spans="1:17" s="1" customFormat="1" ht="15" customHeight="1" x14ac:dyDescent="0.25">
      <c r="A181" s="28" t="s">
        <v>12</v>
      </c>
      <c r="B181" s="28" t="s">
        <v>45</v>
      </c>
      <c r="C181" s="6" t="s">
        <v>2572</v>
      </c>
      <c r="D181" s="1" t="s">
        <v>454</v>
      </c>
      <c r="E181" s="1">
        <v>2173</v>
      </c>
      <c r="F181" s="28">
        <v>213</v>
      </c>
      <c r="G181" s="9">
        <v>36</v>
      </c>
      <c r="H181" s="1" t="s">
        <v>3073</v>
      </c>
      <c r="I181" s="1" t="s">
        <v>3073</v>
      </c>
      <c r="J181" t="str">
        <f t="shared" si="2"/>
        <v>http://www.badatelna.eu/reprodukce/?fondId=1073&amp;zaznamId=1108959&amp;reproId=3780206</v>
      </c>
      <c r="K181">
        <f>IF(LEN(TRIM(E181))=0,"",VLOOKUP(E181,Sheet2!$B$1:$E$19,2,FALSE))</f>
        <v>1073</v>
      </c>
      <c r="L181">
        <f>IF(LEN(TRIM(E181))=0,"",VLOOKUP(E181,Sheet2!$B$1:$E$19,3,FALSE))</f>
        <v>1108959</v>
      </c>
      <c r="M181">
        <f>IF(LEN(TRIM(E181))=0,"",VLOOKUP(E181,Sheet2!$B$1:$E$19,4,FALSE))+(F181-1)</f>
        <v>3780206</v>
      </c>
      <c r="N181"/>
      <c r="O181"/>
      <c r="P181"/>
      <c r="Q181"/>
    </row>
    <row r="182" spans="1:17" s="1" customFormat="1" ht="15" customHeight="1" x14ac:dyDescent="0.25">
      <c r="A182" s="28" t="s">
        <v>12</v>
      </c>
      <c r="B182" s="28" t="s">
        <v>31</v>
      </c>
      <c r="C182" s="6" t="s">
        <v>2890</v>
      </c>
      <c r="D182" s="1" t="s">
        <v>454</v>
      </c>
      <c r="E182" s="1">
        <v>2173</v>
      </c>
      <c r="F182" s="28">
        <v>211</v>
      </c>
      <c r="G182" s="9" t="s">
        <v>2881</v>
      </c>
      <c r="H182" s="1" t="s">
        <v>3073</v>
      </c>
      <c r="I182" s="1" t="s">
        <v>3073</v>
      </c>
      <c r="J182" t="str">
        <f t="shared" si="2"/>
        <v>http://www.badatelna.eu/reprodukce/?fondId=1073&amp;zaznamId=1108959&amp;reproId=3780204</v>
      </c>
      <c r="K182">
        <f>IF(LEN(TRIM(E182))=0,"",VLOOKUP(E182,Sheet2!$B$1:$E$19,2,FALSE))</f>
        <v>1073</v>
      </c>
      <c r="L182">
        <f>IF(LEN(TRIM(E182))=0,"",VLOOKUP(E182,Sheet2!$B$1:$E$19,3,FALSE))</f>
        <v>1108959</v>
      </c>
      <c r="M182">
        <f>IF(LEN(TRIM(E182))=0,"",VLOOKUP(E182,Sheet2!$B$1:$E$19,4,FALSE))+(F182-1)</f>
        <v>3780204</v>
      </c>
      <c r="N182"/>
      <c r="O182"/>
      <c r="P182"/>
      <c r="Q182"/>
    </row>
    <row r="183" spans="1:17" s="1" customFormat="1" ht="15" customHeight="1" x14ac:dyDescent="0.25">
      <c r="A183" s="28" t="s">
        <v>12</v>
      </c>
      <c r="B183" s="28" t="s">
        <v>240</v>
      </c>
      <c r="C183" s="6" t="s">
        <v>2554</v>
      </c>
      <c r="D183" s="1" t="s">
        <v>454</v>
      </c>
      <c r="E183" s="1">
        <v>2173</v>
      </c>
      <c r="F183" s="28">
        <v>208</v>
      </c>
      <c r="G183" s="1">
        <v>25</v>
      </c>
      <c r="H183" s="1" t="s">
        <v>3073</v>
      </c>
      <c r="I183" s="1" t="s">
        <v>3073</v>
      </c>
      <c r="J183" t="str">
        <f t="shared" si="2"/>
        <v>http://www.badatelna.eu/reprodukce/?fondId=1073&amp;zaznamId=1108959&amp;reproId=3780201</v>
      </c>
      <c r="K183">
        <f>IF(LEN(TRIM(E183))=0,"",VLOOKUP(E183,Sheet2!$B$1:$E$19,2,FALSE))</f>
        <v>1073</v>
      </c>
      <c r="L183">
        <f>IF(LEN(TRIM(E183))=0,"",VLOOKUP(E183,Sheet2!$B$1:$E$19,3,FALSE))</f>
        <v>1108959</v>
      </c>
      <c r="M183">
        <f>IF(LEN(TRIM(E183))=0,"",VLOOKUP(E183,Sheet2!$B$1:$E$19,4,FALSE))+(F183-1)</f>
        <v>3780201</v>
      </c>
    </row>
    <row r="184" spans="1:17" s="1" customFormat="1" ht="15" customHeight="1" x14ac:dyDescent="0.25">
      <c r="A184" s="27" t="s">
        <v>12</v>
      </c>
      <c r="B184" s="27" t="s">
        <v>479</v>
      </c>
      <c r="C184" s="5" t="s">
        <v>1076</v>
      </c>
      <c r="D184" s="3" t="s">
        <v>454</v>
      </c>
      <c r="E184" s="3">
        <v>2170</v>
      </c>
      <c r="F184" s="28">
        <v>48</v>
      </c>
      <c r="G184" s="10">
        <v>44</v>
      </c>
      <c r="H184" s="3">
        <v>61</v>
      </c>
      <c r="I184" s="3">
        <v>57</v>
      </c>
      <c r="J184" t="str">
        <f t="shared" si="2"/>
        <v>http://www.badatelna.eu/reprodukce/?fondId=1073&amp;zaznamId=1108956&amp;reproId=3779640</v>
      </c>
      <c r="K184">
        <f>IF(LEN(TRIM(E184))=0,"",VLOOKUP(E184,Sheet2!$B$1:$E$19,2,FALSE))</f>
        <v>1073</v>
      </c>
      <c r="L184">
        <f>IF(LEN(TRIM(E184))=0,"",VLOOKUP(E184,Sheet2!$B$1:$E$19,3,FALSE))</f>
        <v>1108956</v>
      </c>
      <c r="M184">
        <f>IF(LEN(TRIM(E184))=0,"",VLOOKUP(E184,Sheet2!$B$1:$E$19,4,FALSE))+(F184-1)</f>
        <v>3779640</v>
      </c>
      <c r="N184"/>
      <c r="O184"/>
      <c r="P184"/>
      <c r="Q184"/>
    </row>
    <row r="185" spans="1:17" s="1" customFormat="1" ht="15" customHeight="1" x14ac:dyDescent="0.25">
      <c r="A185" s="28" t="s">
        <v>12</v>
      </c>
      <c r="B185" s="28" t="s">
        <v>443</v>
      </c>
      <c r="C185" s="1">
        <v>1861</v>
      </c>
      <c r="D185" s="1" t="s">
        <v>2919</v>
      </c>
      <c r="E185" s="1">
        <v>998</v>
      </c>
      <c r="F185" s="28">
        <v>61</v>
      </c>
      <c r="G185" s="1">
        <v>58</v>
      </c>
      <c r="H185" s="1">
        <v>64</v>
      </c>
      <c r="I185" s="1">
        <v>61</v>
      </c>
      <c r="J185" t="str">
        <f t="shared" si="2"/>
        <v>http://www.badatelna.eu/reprodukce/?fondId=241&amp;zaznamId=1133738&amp;reproId=3885707</v>
      </c>
      <c r="K185">
        <f>IF(LEN(TRIM(E185))=0,"",VLOOKUP(E185,Sheet2!$B$1:$E$19,2,FALSE))</f>
        <v>241</v>
      </c>
      <c r="L185">
        <f>IF(LEN(TRIM(E185))=0,"",VLOOKUP(E185,Sheet2!$B$1:$E$19,3,FALSE))</f>
        <v>1133738</v>
      </c>
      <c r="M185">
        <f>IF(LEN(TRIM(E185))=0,"",VLOOKUP(E185,Sheet2!$B$1:$E$19,4,FALSE))+(F185-1)</f>
        <v>3885707</v>
      </c>
    </row>
    <row r="186" spans="1:17" s="1" customFormat="1" ht="15" customHeight="1" x14ac:dyDescent="0.25">
      <c r="A186" s="28" t="s">
        <v>12</v>
      </c>
      <c r="B186" s="28" t="s">
        <v>443</v>
      </c>
      <c r="C186" s="6" t="s">
        <v>2394</v>
      </c>
      <c r="D186" s="1" t="s">
        <v>454</v>
      </c>
      <c r="E186" s="1">
        <v>2173</v>
      </c>
      <c r="F186" s="28">
        <v>202</v>
      </c>
      <c r="G186" s="9">
        <v>13</v>
      </c>
      <c r="H186" s="1" t="s">
        <v>3073</v>
      </c>
      <c r="I186" s="1" t="s">
        <v>3073</v>
      </c>
      <c r="J186" t="str">
        <f t="shared" si="2"/>
        <v>http://www.badatelna.eu/reprodukce/?fondId=1073&amp;zaznamId=1108959&amp;reproId=3780195</v>
      </c>
      <c r="K186">
        <f>IF(LEN(TRIM(E186))=0,"",VLOOKUP(E186,Sheet2!$B$1:$E$19,2,FALSE))</f>
        <v>1073</v>
      </c>
      <c r="L186">
        <f>IF(LEN(TRIM(E186))=0,"",VLOOKUP(E186,Sheet2!$B$1:$E$19,3,FALSE))</f>
        <v>1108959</v>
      </c>
      <c r="M186">
        <f>IF(LEN(TRIM(E186))=0,"",VLOOKUP(E186,Sheet2!$B$1:$E$19,4,FALSE))+(F186-1)</f>
        <v>3780195</v>
      </c>
    </row>
    <row r="187" spans="1:17" s="1" customFormat="1" ht="15" customHeight="1" x14ac:dyDescent="0.25">
      <c r="A187" s="28" t="s">
        <v>12</v>
      </c>
      <c r="B187" s="28" t="s">
        <v>19</v>
      </c>
      <c r="C187" s="1">
        <v>1887</v>
      </c>
      <c r="D187" s="1" t="s">
        <v>454</v>
      </c>
      <c r="E187" s="1">
        <v>2172</v>
      </c>
      <c r="F187" s="28">
        <v>58</v>
      </c>
      <c r="G187" s="9">
        <v>59</v>
      </c>
      <c r="H187" s="1">
        <v>60</v>
      </c>
      <c r="I187" s="1">
        <v>61</v>
      </c>
      <c r="J187" t="str">
        <f t="shared" si="2"/>
        <v>http://www.badatelna.eu/reprodukce/?fondId=1073&amp;zaznamId=1108958&amp;reproId=3779799</v>
      </c>
      <c r="K187">
        <f>IF(LEN(TRIM(E187))=0,"",VLOOKUP(E187,Sheet2!$B$1:$E$19,2,FALSE))</f>
        <v>1073</v>
      </c>
      <c r="L187">
        <f>IF(LEN(TRIM(E187))=0,"",VLOOKUP(E187,Sheet2!$B$1:$E$19,3,FALSE))</f>
        <v>1108958</v>
      </c>
      <c r="M187">
        <f>IF(LEN(TRIM(E187))=0,"",VLOOKUP(E187,Sheet2!$B$1:$E$19,4,FALSE))+(F187-1)</f>
        <v>3779799</v>
      </c>
    </row>
    <row r="188" spans="1:17" s="1" customFormat="1" ht="15" customHeight="1" x14ac:dyDescent="0.25">
      <c r="A188" s="28" t="s">
        <v>12</v>
      </c>
      <c r="B188" s="28" t="s">
        <v>25</v>
      </c>
      <c r="C188" s="26">
        <v>1855</v>
      </c>
      <c r="D188" s="1" t="s">
        <v>454</v>
      </c>
      <c r="E188" s="1">
        <v>2173</v>
      </c>
      <c r="F188" s="28">
        <v>228</v>
      </c>
      <c r="G188" s="9">
        <v>61</v>
      </c>
      <c r="H188" s="1" t="s">
        <v>3073</v>
      </c>
      <c r="I188" s="1" t="s">
        <v>3073</v>
      </c>
      <c r="J188" t="str">
        <f t="shared" si="2"/>
        <v>http://www.badatelna.eu/reprodukce/?fondId=1073&amp;zaznamId=1108959&amp;reproId=3780221</v>
      </c>
      <c r="K188">
        <f>IF(LEN(TRIM(E188))=0,"",VLOOKUP(E188,Sheet2!$B$1:$E$19,2,FALSE))</f>
        <v>1073</v>
      </c>
      <c r="L188">
        <f>IF(LEN(TRIM(E188))=0,"",VLOOKUP(E188,Sheet2!$B$1:$E$19,3,FALSE))</f>
        <v>1108959</v>
      </c>
      <c r="M188">
        <f>IF(LEN(TRIM(E188))=0,"",VLOOKUP(E188,Sheet2!$B$1:$E$19,4,FALSE))+(F188-1)</f>
        <v>3780221</v>
      </c>
    </row>
    <row r="189" spans="1:17" s="1" customFormat="1" ht="15" customHeight="1" x14ac:dyDescent="0.25">
      <c r="A189" s="28" t="s">
        <v>12</v>
      </c>
      <c r="B189" s="28" t="s">
        <v>25</v>
      </c>
      <c r="C189" s="6" t="s">
        <v>2337</v>
      </c>
      <c r="D189" s="1" t="s">
        <v>454</v>
      </c>
      <c r="E189" s="1">
        <v>2173</v>
      </c>
      <c r="F189" s="28">
        <v>200</v>
      </c>
      <c r="G189" s="9">
        <v>10</v>
      </c>
      <c r="H189" s="1" t="s">
        <v>3073</v>
      </c>
      <c r="I189" s="1" t="s">
        <v>3073</v>
      </c>
      <c r="J189" t="str">
        <f t="shared" si="2"/>
        <v>http://www.badatelna.eu/reprodukce/?fondId=1073&amp;zaznamId=1108959&amp;reproId=3780193</v>
      </c>
      <c r="K189">
        <f>IF(LEN(TRIM(E189))=0,"",VLOOKUP(E189,Sheet2!$B$1:$E$19,2,FALSE))</f>
        <v>1073</v>
      </c>
      <c r="L189">
        <f>IF(LEN(TRIM(E189))=0,"",VLOOKUP(E189,Sheet2!$B$1:$E$19,3,FALSE))</f>
        <v>1108959</v>
      </c>
      <c r="M189">
        <f>IF(LEN(TRIM(E189))=0,"",VLOOKUP(E189,Sheet2!$B$1:$E$19,4,FALSE))+(F189-1)</f>
        <v>3780193</v>
      </c>
    </row>
    <row r="190" spans="1:17" s="1" customFormat="1" ht="15" customHeight="1" x14ac:dyDescent="0.25">
      <c r="A190" s="27" t="s">
        <v>12</v>
      </c>
      <c r="B190" s="27" t="s">
        <v>25</v>
      </c>
      <c r="C190" s="5" t="s">
        <v>1082</v>
      </c>
      <c r="D190" s="3" t="s">
        <v>454</v>
      </c>
      <c r="E190" s="3">
        <v>2170</v>
      </c>
      <c r="F190" s="28">
        <v>43</v>
      </c>
      <c r="G190" s="10">
        <v>39</v>
      </c>
      <c r="H190" s="3">
        <v>61</v>
      </c>
      <c r="I190" s="3">
        <v>57</v>
      </c>
      <c r="J190" t="str">
        <f t="shared" si="2"/>
        <v>http://www.badatelna.eu/reprodukce/?fondId=1073&amp;zaznamId=1108956&amp;reproId=3779635</v>
      </c>
      <c r="K190">
        <f>IF(LEN(TRIM(E190))=0,"",VLOOKUP(E190,Sheet2!$B$1:$E$19,2,FALSE))</f>
        <v>1073</v>
      </c>
      <c r="L190">
        <f>IF(LEN(TRIM(E190))=0,"",VLOOKUP(E190,Sheet2!$B$1:$E$19,3,FALSE))</f>
        <v>1108956</v>
      </c>
      <c r="M190">
        <f>IF(LEN(TRIM(E190))=0,"",VLOOKUP(E190,Sheet2!$B$1:$E$19,4,FALSE))+(F190-1)</f>
        <v>3779635</v>
      </c>
      <c r="N190"/>
      <c r="O190"/>
      <c r="P190"/>
      <c r="Q190"/>
    </row>
    <row r="191" spans="1:17" s="1" customFormat="1" ht="15" customHeight="1" x14ac:dyDescent="0.25">
      <c r="A191" s="28" t="s">
        <v>12</v>
      </c>
      <c r="B191" s="28" t="s">
        <v>400</v>
      </c>
      <c r="C191" s="6" t="s">
        <v>2603</v>
      </c>
      <c r="D191" s="1" t="s">
        <v>454</v>
      </c>
      <c r="E191" s="1">
        <v>2173</v>
      </c>
      <c r="F191" s="28">
        <v>218</v>
      </c>
      <c r="G191" s="9">
        <v>46</v>
      </c>
      <c r="H191" s="1" t="s">
        <v>3073</v>
      </c>
      <c r="I191" s="1" t="s">
        <v>3073</v>
      </c>
      <c r="J191" t="str">
        <f t="shared" si="2"/>
        <v>http://www.badatelna.eu/reprodukce/?fondId=1073&amp;zaznamId=1108959&amp;reproId=3780211</v>
      </c>
      <c r="K191">
        <f>IF(LEN(TRIM(E191))=0,"",VLOOKUP(E191,Sheet2!$B$1:$E$19,2,FALSE))</f>
        <v>1073</v>
      </c>
      <c r="L191">
        <f>IF(LEN(TRIM(E191))=0,"",VLOOKUP(E191,Sheet2!$B$1:$E$19,3,FALSE))</f>
        <v>1108959</v>
      </c>
      <c r="M191">
        <f>IF(LEN(TRIM(E191))=0,"",VLOOKUP(E191,Sheet2!$B$1:$E$19,4,FALSE))+(F191-1)</f>
        <v>3780211</v>
      </c>
    </row>
    <row r="192" spans="1:17" s="1" customFormat="1" ht="15" customHeight="1" x14ac:dyDescent="0.25">
      <c r="A192" s="28" t="s">
        <v>12</v>
      </c>
      <c r="B192" s="28" t="s">
        <v>208</v>
      </c>
      <c r="C192" s="6" t="s">
        <v>2474</v>
      </c>
      <c r="D192" s="1" t="s">
        <v>454</v>
      </c>
      <c r="E192" s="1">
        <v>2173</v>
      </c>
      <c r="F192" s="28">
        <v>205</v>
      </c>
      <c r="G192" s="1">
        <v>19</v>
      </c>
      <c r="H192" s="1" t="s">
        <v>3073</v>
      </c>
      <c r="I192" s="1" t="s">
        <v>3073</v>
      </c>
      <c r="J192" t="str">
        <f t="shared" si="2"/>
        <v>http://www.badatelna.eu/reprodukce/?fondId=1073&amp;zaznamId=1108959&amp;reproId=3780198</v>
      </c>
      <c r="K192">
        <f>IF(LEN(TRIM(E192))=0,"",VLOOKUP(E192,Sheet2!$B$1:$E$19,2,FALSE))</f>
        <v>1073</v>
      </c>
      <c r="L192">
        <f>IF(LEN(TRIM(E192))=0,"",VLOOKUP(E192,Sheet2!$B$1:$E$19,3,FALSE))</f>
        <v>1108959</v>
      </c>
      <c r="M192">
        <f>IF(LEN(TRIM(E192))=0,"",VLOOKUP(E192,Sheet2!$B$1:$E$19,4,FALSE))+(F192-1)</f>
        <v>3780198</v>
      </c>
    </row>
    <row r="193" spans="1:17" s="1" customFormat="1" ht="15" customHeight="1" x14ac:dyDescent="0.25">
      <c r="A193" s="28" t="s">
        <v>12</v>
      </c>
      <c r="B193" s="28" t="s">
        <v>241</v>
      </c>
      <c r="C193" s="6" t="s">
        <v>2555</v>
      </c>
      <c r="D193" s="1" t="s">
        <v>454</v>
      </c>
      <c r="E193" s="1">
        <v>2173</v>
      </c>
      <c r="F193" s="28">
        <v>208</v>
      </c>
      <c r="G193" s="1">
        <v>25</v>
      </c>
      <c r="H193" s="1" t="s">
        <v>3073</v>
      </c>
      <c r="I193" s="1" t="s">
        <v>3073</v>
      </c>
      <c r="J193" t="str">
        <f t="shared" si="2"/>
        <v>http://www.badatelna.eu/reprodukce/?fondId=1073&amp;zaznamId=1108959&amp;reproId=3780201</v>
      </c>
      <c r="K193">
        <f>IF(LEN(TRIM(E193))=0,"",VLOOKUP(E193,Sheet2!$B$1:$E$19,2,FALSE))</f>
        <v>1073</v>
      </c>
      <c r="L193">
        <f>IF(LEN(TRIM(E193))=0,"",VLOOKUP(E193,Sheet2!$B$1:$E$19,3,FALSE))</f>
        <v>1108959</v>
      </c>
      <c r="M193">
        <f>IF(LEN(TRIM(E193))=0,"",VLOOKUP(E193,Sheet2!$B$1:$E$19,4,FALSE))+(F193-1)</f>
        <v>3780201</v>
      </c>
    </row>
    <row r="194" spans="1:17" s="1" customFormat="1" ht="15" customHeight="1" x14ac:dyDescent="0.25">
      <c r="A194" s="28" t="s">
        <v>12</v>
      </c>
      <c r="B194" s="28" t="s">
        <v>590</v>
      </c>
      <c r="C194" s="1">
        <v>1865</v>
      </c>
      <c r="D194" s="1" t="s">
        <v>2919</v>
      </c>
      <c r="E194" s="1">
        <v>999</v>
      </c>
      <c r="F194" s="28">
        <v>88</v>
      </c>
      <c r="G194" s="1">
        <v>9</v>
      </c>
      <c r="H194" s="1">
        <v>95</v>
      </c>
      <c r="I194" s="1">
        <v>153</v>
      </c>
      <c r="J194" t="str">
        <f t="shared" si="2"/>
        <v>http://www.badatelna.eu/reprodukce/?fondId=241&amp;zaznamId=1133739&amp;reproId=3885817</v>
      </c>
      <c r="K194">
        <f>IF(LEN(TRIM(E194))=0,"",VLOOKUP(E194,Sheet2!$B$1:$E$19,2,FALSE))</f>
        <v>241</v>
      </c>
      <c r="L194">
        <f>IF(LEN(TRIM(E194))=0,"",VLOOKUP(E194,Sheet2!$B$1:$E$19,3,FALSE))</f>
        <v>1133739</v>
      </c>
      <c r="M194">
        <f>IF(LEN(TRIM(E194))=0,"",VLOOKUP(E194,Sheet2!$B$1:$E$19,4,FALSE))+(F194-1)</f>
        <v>3885817</v>
      </c>
      <c r="N194"/>
      <c r="O194"/>
      <c r="P194"/>
      <c r="Q194"/>
    </row>
    <row r="195" spans="1:17" s="1" customFormat="1" ht="15" customHeight="1" x14ac:dyDescent="0.25">
      <c r="A195" s="28" t="s">
        <v>12</v>
      </c>
      <c r="B195" s="28" t="s">
        <v>480</v>
      </c>
      <c r="C195" s="1">
        <v>1866</v>
      </c>
      <c r="D195" s="1" t="s">
        <v>2919</v>
      </c>
      <c r="E195" s="1">
        <v>999</v>
      </c>
      <c r="F195" s="28">
        <v>92</v>
      </c>
      <c r="G195" s="1">
        <v>13</v>
      </c>
      <c r="H195" s="1">
        <v>95</v>
      </c>
      <c r="I195" s="1">
        <v>153</v>
      </c>
      <c r="J195" t="str">
        <f t="shared" ref="J195:J258" si="3">IF(LEN(TRIM(E195))=0,"","http://www.badatelna.eu/reprodukce/?fondId="&amp;K195&amp;"&amp;zaznamId="&amp;L195&amp;"&amp;reproId="&amp;M195)</f>
        <v>http://www.badatelna.eu/reprodukce/?fondId=241&amp;zaznamId=1133739&amp;reproId=3885821</v>
      </c>
      <c r="K195">
        <f>IF(LEN(TRIM(E195))=0,"",VLOOKUP(E195,Sheet2!$B$1:$E$19,2,FALSE))</f>
        <v>241</v>
      </c>
      <c r="L195">
        <f>IF(LEN(TRIM(E195))=0,"",VLOOKUP(E195,Sheet2!$B$1:$E$19,3,FALSE))</f>
        <v>1133739</v>
      </c>
      <c r="M195">
        <f>IF(LEN(TRIM(E195))=0,"",VLOOKUP(E195,Sheet2!$B$1:$E$19,4,FALSE))+(F195-1)</f>
        <v>3885821</v>
      </c>
      <c r="N195"/>
      <c r="O195"/>
      <c r="P195"/>
      <c r="Q195"/>
    </row>
    <row r="196" spans="1:17" s="1" customFormat="1" ht="15" customHeight="1" x14ac:dyDescent="0.25">
      <c r="A196" s="27" t="s">
        <v>12</v>
      </c>
      <c r="B196" s="27" t="s">
        <v>480</v>
      </c>
      <c r="C196" s="5" t="s">
        <v>1073</v>
      </c>
      <c r="D196" s="3" t="s">
        <v>454</v>
      </c>
      <c r="E196" s="3">
        <v>2170</v>
      </c>
      <c r="F196" s="37">
        <v>19</v>
      </c>
      <c r="G196" s="10">
        <v>15</v>
      </c>
      <c r="H196" s="3">
        <v>61</v>
      </c>
      <c r="I196" s="3">
        <v>57</v>
      </c>
      <c r="J196" t="str">
        <f t="shared" si="3"/>
        <v>http://www.badatelna.eu/reprodukce/?fondId=1073&amp;zaznamId=1108956&amp;reproId=3779611</v>
      </c>
      <c r="K196">
        <f>IF(LEN(TRIM(E196))=0,"",VLOOKUP(E196,Sheet2!$B$1:$E$19,2,FALSE))</f>
        <v>1073</v>
      </c>
      <c r="L196">
        <f>IF(LEN(TRIM(E196))=0,"",VLOOKUP(E196,Sheet2!$B$1:$E$19,3,FALSE))</f>
        <v>1108956</v>
      </c>
      <c r="M196">
        <f>IF(LEN(TRIM(E196))=0,"",VLOOKUP(E196,Sheet2!$B$1:$E$19,4,FALSE))+(F196-1)</f>
        <v>3779611</v>
      </c>
    </row>
    <row r="197" spans="1:17" s="1" customFormat="1" ht="15" customHeight="1" x14ac:dyDescent="0.25">
      <c r="A197" s="28" t="s">
        <v>12</v>
      </c>
      <c r="B197" s="28" t="s">
        <v>10</v>
      </c>
      <c r="C197" s="1">
        <v>1886</v>
      </c>
      <c r="D197" s="1" t="s">
        <v>454</v>
      </c>
      <c r="E197" s="1">
        <v>2172</v>
      </c>
      <c r="F197" s="28">
        <v>52</v>
      </c>
      <c r="G197" s="9">
        <v>53</v>
      </c>
      <c r="H197" s="1">
        <v>54</v>
      </c>
      <c r="I197" s="1">
        <v>55</v>
      </c>
      <c r="J197" t="str">
        <f t="shared" si="3"/>
        <v>http://www.badatelna.eu/reprodukce/?fondId=1073&amp;zaznamId=1108958&amp;reproId=3779793</v>
      </c>
      <c r="K197">
        <f>IF(LEN(TRIM(E197))=0,"",VLOOKUP(E197,Sheet2!$B$1:$E$19,2,FALSE))</f>
        <v>1073</v>
      </c>
      <c r="L197">
        <f>IF(LEN(TRIM(E197))=0,"",VLOOKUP(E197,Sheet2!$B$1:$E$19,3,FALSE))</f>
        <v>1108958</v>
      </c>
      <c r="M197">
        <f>IF(LEN(TRIM(E197))=0,"",VLOOKUP(E197,Sheet2!$B$1:$E$19,4,FALSE))+(F197-1)</f>
        <v>3779793</v>
      </c>
    </row>
    <row r="198" spans="1:17" s="1" customFormat="1" ht="15" customHeight="1" x14ac:dyDescent="0.25">
      <c r="A198" s="28" t="s">
        <v>12</v>
      </c>
      <c r="B198" s="28" t="s">
        <v>16</v>
      </c>
      <c r="C198" s="6" t="s">
        <v>2310</v>
      </c>
      <c r="D198" s="1" t="s">
        <v>454</v>
      </c>
      <c r="E198" s="1">
        <v>2173</v>
      </c>
      <c r="F198" s="31">
        <v>199</v>
      </c>
      <c r="G198" s="9">
        <v>7</v>
      </c>
      <c r="H198" s="1" t="s">
        <v>3073</v>
      </c>
      <c r="I198" s="1" t="s">
        <v>3073</v>
      </c>
      <c r="J198" t="str">
        <f t="shared" si="3"/>
        <v>http://www.badatelna.eu/reprodukce/?fondId=1073&amp;zaznamId=1108959&amp;reproId=3780192</v>
      </c>
      <c r="K198">
        <f>IF(LEN(TRIM(E198))=0,"",VLOOKUP(E198,Sheet2!$B$1:$E$19,2,FALSE))</f>
        <v>1073</v>
      </c>
      <c r="L198">
        <f>IF(LEN(TRIM(E198))=0,"",VLOOKUP(E198,Sheet2!$B$1:$E$19,3,FALSE))</f>
        <v>1108959</v>
      </c>
      <c r="M198">
        <f>IF(LEN(TRIM(E198))=0,"",VLOOKUP(E198,Sheet2!$B$1:$E$19,4,FALSE))+(F198-1)</f>
        <v>3780192</v>
      </c>
    </row>
    <row r="199" spans="1:17" s="1" customFormat="1" ht="15" customHeight="1" x14ac:dyDescent="0.25">
      <c r="A199" s="28" t="s">
        <v>12</v>
      </c>
      <c r="B199" s="28" t="s">
        <v>16</v>
      </c>
      <c r="C199" s="6" t="s">
        <v>1990</v>
      </c>
      <c r="D199" s="1" t="s">
        <v>454</v>
      </c>
      <c r="E199" s="1">
        <v>2173</v>
      </c>
      <c r="F199" s="28">
        <v>208</v>
      </c>
      <c r="G199" s="1">
        <v>26</v>
      </c>
      <c r="H199" s="1" t="s">
        <v>3073</v>
      </c>
      <c r="I199" s="1" t="s">
        <v>3073</v>
      </c>
      <c r="J199" t="str">
        <f t="shared" si="3"/>
        <v>http://www.badatelna.eu/reprodukce/?fondId=1073&amp;zaznamId=1108959&amp;reproId=3780201</v>
      </c>
      <c r="K199">
        <f>IF(LEN(TRIM(E199))=0,"",VLOOKUP(E199,Sheet2!$B$1:$E$19,2,FALSE))</f>
        <v>1073</v>
      </c>
      <c r="L199">
        <f>IF(LEN(TRIM(E199))=0,"",VLOOKUP(E199,Sheet2!$B$1:$E$19,3,FALSE))</f>
        <v>1108959</v>
      </c>
      <c r="M199">
        <f>IF(LEN(TRIM(E199))=0,"",VLOOKUP(E199,Sheet2!$B$1:$E$19,4,FALSE))+(F199-1)</f>
        <v>3780201</v>
      </c>
    </row>
    <row r="200" spans="1:17" s="1" customFormat="1" ht="15" customHeight="1" x14ac:dyDescent="0.25">
      <c r="A200" s="28" t="s">
        <v>12</v>
      </c>
      <c r="B200" s="28" t="s">
        <v>251</v>
      </c>
      <c r="C200" s="6" t="s">
        <v>1990</v>
      </c>
      <c r="D200" s="1" t="s">
        <v>454</v>
      </c>
      <c r="E200" s="1">
        <v>2173</v>
      </c>
      <c r="F200" s="28">
        <v>178</v>
      </c>
      <c r="G200" s="9">
        <v>2</v>
      </c>
      <c r="H200" s="1">
        <v>185</v>
      </c>
      <c r="I200" s="1">
        <v>412</v>
      </c>
      <c r="J200" t="str">
        <f t="shared" si="3"/>
        <v>http://www.badatelna.eu/reprodukce/?fondId=1073&amp;zaznamId=1108959&amp;reproId=3780171</v>
      </c>
      <c r="K200">
        <f>IF(LEN(TRIM(E200))=0,"",VLOOKUP(E200,Sheet2!$B$1:$E$19,2,FALSE))</f>
        <v>1073</v>
      </c>
      <c r="L200">
        <f>IF(LEN(TRIM(E200))=0,"",VLOOKUP(E200,Sheet2!$B$1:$E$19,3,FALSE))</f>
        <v>1108959</v>
      </c>
      <c r="M200">
        <f>IF(LEN(TRIM(E200))=0,"",VLOOKUP(E200,Sheet2!$B$1:$E$19,4,FALSE))+(F200-1)</f>
        <v>3780171</v>
      </c>
    </row>
    <row r="201" spans="1:17" s="1" customFormat="1" ht="15" customHeight="1" x14ac:dyDescent="0.25">
      <c r="A201" s="27" t="s">
        <v>12</v>
      </c>
      <c r="B201" s="27" t="s">
        <v>481</v>
      </c>
      <c r="C201" s="5" t="s">
        <v>1078</v>
      </c>
      <c r="D201" s="3" t="s">
        <v>454</v>
      </c>
      <c r="E201" s="3">
        <v>2170</v>
      </c>
      <c r="F201" s="28">
        <v>28</v>
      </c>
      <c r="G201" s="10">
        <v>24</v>
      </c>
      <c r="H201" s="3">
        <v>61</v>
      </c>
      <c r="I201" s="3">
        <v>57</v>
      </c>
      <c r="J201" t="str">
        <f t="shared" si="3"/>
        <v>http://www.badatelna.eu/reprodukce/?fondId=1073&amp;zaznamId=1108956&amp;reproId=3779620</v>
      </c>
      <c r="K201">
        <f>IF(LEN(TRIM(E201))=0,"",VLOOKUP(E201,Sheet2!$B$1:$E$19,2,FALSE))</f>
        <v>1073</v>
      </c>
      <c r="L201">
        <f>IF(LEN(TRIM(E201))=0,"",VLOOKUP(E201,Sheet2!$B$1:$E$19,3,FALSE))</f>
        <v>1108956</v>
      </c>
      <c r="M201">
        <f>IF(LEN(TRIM(E201))=0,"",VLOOKUP(E201,Sheet2!$B$1:$E$19,4,FALSE))+(F201-1)</f>
        <v>3779620</v>
      </c>
    </row>
    <row r="202" spans="1:17" s="1" customFormat="1" ht="15" customHeight="1" x14ac:dyDescent="0.25">
      <c r="A202" s="28" t="s">
        <v>12</v>
      </c>
      <c r="B202" s="28" t="s">
        <v>74</v>
      </c>
      <c r="C202" s="6" t="s">
        <v>3063</v>
      </c>
      <c r="D202" s="1" t="s">
        <v>454</v>
      </c>
      <c r="E202" s="1">
        <v>2173</v>
      </c>
      <c r="F202" s="28">
        <v>181</v>
      </c>
      <c r="G202" s="9">
        <v>8</v>
      </c>
      <c r="H202" s="1">
        <v>185</v>
      </c>
      <c r="I202" s="1">
        <v>412</v>
      </c>
      <c r="J202" t="str">
        <f t="shared" si="3"/>
        <v>http://www.badatelna.eu/reprodukce/?fondId=1073&amp;zaznamId=1108959&amp;reproId=3780174</v>
      </c>
      <c r="K202">
        <f>IF(LEN(TRIM(E202))=0,"",VLOOKUP(E202,Sheet2!$B$1:$E$19,2,FALSE))</f>
        <v>1073</v>
      </c>
      <c r="L202">
        <f>IF(LEN(TRIM(E202))=0,"",VLOOKUP(E202,Sheet2!$B$1:$E$19,3,FALSE))</f>
        <v>1108959</v>
      </c>
      <c r="M202">
        <f>IF(LEN(TRIM(E202))=0,"",VLOOKUP(E202,Sheet2!$B$1:$E$19,4,FALSE))+(F202-1)</f>
        <v>3780174</v>
      </c>
    </row>
    <row r="203" spans="1:17" s="1" customFormat="1" ht="15" customHeight="1" x14ac:dyDescent="0.25">
      <c r="A203" s="27" t="s">
        <v>12</v>
      </c>
      <c r="B203" s="27" t="s">
        <v>74</v>
      </c>
      <c r="C203" s="5" t="s">
        <v>1266</v>
      </c>
      <c r="D203" s="3" t="s">
        <v>454</v>
      </c>
      <c r="E203" s="3">
        <v>2170</v>
      </c>
      <c r="F203" s="28">
        <v>53</v>
      </c>
      <c r="G203" s="10">
        <v>49</v>
      </c>
      <c r="H203" s="3">
        <v>67</v>
      </c>
      <c r="I203" s="3">
        <v>63</v>
      </c>
      <c r="J203" t="str">
        <f t="shared" si="3"/>
        <v>http://www.badatelna.eu/reprodukce/?fondId=1073&amp;zaznamId=1108956&amp;reproId=3779645</v>
      </c>
      <c r="K203">
        <f>IF(LEN(TRIM(E203))=0,"",VLOOKUP(E203,Sheet2!$B$1:$E$19,2,FALSE))</f>
        <v>1073</v>
      </c>
      <c r="L203">
        <f>IF(LEN(TRIM(E203))=0,"",VLOOKUP(E203,Sheet2!$B$1:$E$19,3,FALSE))</f>
        <v>1108956</v>
      </c>
      <c r="M203">
        <f>IF(LEN(TRIM(E203))=0,"",VLOOKUP(E203,Sheet2!$B$1:$E$19,4,FALSE))+(F203-1)</f>
        <v>3779645</v>
      </c>
    </row>
    <row r="204" spans="1:17" s="1" customFormat="1" ht="15" customHeight="1" x14ac:dyDescent="0.25">
      <c r="A204" s="27" t="s">
        <v>12</v>
      </c>
      <c r="B204" s="27" t="s">
        <v>74</v>
      </c>
      <c r="C204" s="5" t="s">
        <v>1266</v>
      </c>
      <c r="D204" s="3" t="s">
        <v>454</v>
      </c>
      <c r="E204" s="3">
        <v>2171</v>
      </c>
      <c r="F204" s="28">
        <v>54</v>
      </c>
      <c r="G204" s="10">
        <v>41</v>
      </c>
      <c r="H204" s="3">
        <v>54</v>
      </c>
      <c r="I204" s="3">
        <v>41</v>
      </c>
      <c r="J204" t="str">
        <f t="shared" si="3"/>
        <v>http://www.badatelna.eu/reprodukce/?fondId=1073&amp;zaznamId=1108957&amp;reproId=3779721</v>
      </c>
      <c r="K204">
        <f>IF(LEN(TRIM(E204))=0,"",VLOOKUP(E204,Sheet2!$B$1:$E$19,2,FALSE))</f>
        <v>1073</v>
      </c>
      <c r="L204">
        <f>IF(LEN(TRIM(E204))=0,"",VLOOKUP(E204,Sheet2!$B$1:$E$19,3,FALSE))</f>
        <v>1108957</v>
      </c>
      <c r="M204">
        <f>IF(LEN(TRIM(E204))=0,"",VLOOKUP(E204,Sheet2!$B$1:$E$19,4,FALSE))+(F204-1)</f>
        <v>3779721</v>
      </c>
    </row>
    <row r="205" spans="1:17" s="1" customFormat="1" ht="15" customHeight="1" x14ac:dyDescent="0.25">
      <c r="A205" s="28" t="s">
        <v>12</v>
      </c>
      <c r="B205" s="28" t="s">
        <v>74</v>
      </c>
      <c r="C205" s="6" t="s">
        <v>2006</v>
      </c>
      <c r="D205" s="1" t="s">
        <v>454</v>
      </c>
      <c r="E205" s="1">
        <v>2173</v>
      </c>
      <c r="F205" s="28">
        <v>211</v>
      </c>
      <c r="G205" s="9" t="s">
        <v>2760</v>
      </c>
      <c r="H205" s="1" t="s">
        <v>3073</v>
      </c>
      <c r="I205" s="1" t="s">
        <v>3073</v>
      </c>
      <c r="J205" t="str">
        <f t="shared" si="3"/>
        <v>http://www.badatelna.eu/reprodukce/?fondId=1073&amp;zaznamId=1108959&amp;reproId=3780204</v>
      </c>
      <c r="K205">
        <f>IF(LEN(TRIM(E205))=0,"",VLOOKUP(E205,Sheet2!$B$1:$E$19,2,FALSE))</f>
        <v>1073</v>
      </c>
      <c r="L205">
        <f>IF(LEN(TRIM(E205))=0,"",VLOOKUP(E205,Sheet2!$B$1:$E$19,3,FALSE))</f>
        <v>1108959</v>
      </c>
      <c r="M205">
        <f>IF(LEN(TRIM(E205))=0,"",VLOOKUP(E205,Sheet2!$B$1:$E$19,4,FALSE))+(F205-1)</f>
        <v>3780204</v>
      </c>
    </row>
    <row r="206" spans="1:17" s="1" customFormat="1" ht="15" customHeight="1" x14ac:dyDescent="0.25">
      <c r="A206" s="28" t="s">
        <v>12</v>
      </c>
      <c r="B206" s="28" t="s">
        <v>49</v>
      </c>
      <c r="C206" s="1">
        <v>1850</v>
      </c>
      <c r="D206" s="1" t="s">
        <v>2919</v>
      </c>
      <c r="E206" s="1">
        <v>998</v>
      </c>
      <c r="F206" s="28">
        <v>30</v>
      </c>
      <c r="G206" s="1">
        <v>28</v>
      </c>
      <c r="H206" s="1">
        <v>63</v>
      </c>
      <c r="I206" s="1">
        <v>60</v>
      </c>
      <c r="J206" t="str">
        <f t="shared" si="3"/>
        <v>http://www.badatelna.eu/reprodukce/?fondId=241&amp;zaznamId=1133738&amp;reproId=3885676</v>
      </c>
      <c r="K206">
        <f>IF(LEN(TRIM(E206))=0,"",VLOOKUP(E206,Sheet2!$B$1:$E$19,2,FALSE))</f>
        <v>241</v>
      </c>
      <c r="L206">
        <f>IF(LEN(TRIM(E206))=0,"",VLOOKUP(E206,Sheet2!$B$1:$E$19,3,FALSE))</f>
        <v>1133738</v>
      </c>
      <c r="M206">
        <f>IF(LEN(TRIM(E206))=0,"",VLOOKUP(E206,Sheet2!$B$1:$E$19,4,FALSE))+(F206-1)</f>
        <v>3885676</v>
      </c>
      <c r="N206"/>
      <c r="O206"/>
      <c r="P206"/>
      <c r="Q206"/>
    </row>
    <row r="207" spans="1:17" s="1" customFormat="1" ht="15" customHeight="1" x14ac:dyDescent="0.25">
      <c r="A207" s="28" t="s">
        <v>12</v>
      </c>
      <c r="B207" s="28" t="s">
        <v>168</v>
      </c>
      <c r="C207" s="6" t="s">
        <v>2397</v>
      </c>
      <c r="D207" s="1" t="s">
        <v>454</v>
      </c>
      <c r="E207" s="1">
        <v>2173</v>
      </c>
      <c r="F207" s="28">
        <v>202</v>
      </c>
      <c r="G207" s="9">
        <v>14</v>
      </c>
      <c r="H207" s="1" t="s">
        <v>3073</v>
      </c>
      <c r="I207" s="1" t="s">
        <v>3073</v>
      </c>
      <c r="J207" t="str">
        <f t="shared" si="3"/>
        <v>http://www.badatelna.eu/reprodukce/?fondId=1073&amp;zaznamId=1108959&amp;reproId=3780195</v>
      </c>
      <c r="K207">
        <f>IF(LEN(TRIM(E207))=0,"",VLOOKUP(E207,Sheet2!$B$1:$E$19,2,FALSE))</f>
        <v>1073</v>
      </c>
      <c r="L207">
        <f>IF(LEN(TRIM(E207))=0,"",VLOOKUP(E207,Sheet2!$B$1:$E$19,3,FALSE))</f>
        <v>1108959</v>
      </c>
      <c r="M207">
        <f>IF(LEN(TRIM(E207))=0,"",VLOOKUP(E207,Sheet2!$B$1:$E$19,4,FALSE))+(F207-1)</f>
        <v>3780195</v>
      </c>
    </row>
    <row r="208" spans="1:17" s="1" customFormat="1" ht="15" customHeight="1" x14ac:dyDescent="0.25">
      <c r="A208" s="28" t="s">
        <v>12</v>
      </c>
      <c r="B208" s="28" t="s">
        <v>185</v>
      </c>
      <c r="C208" s="6" t="s">
        <v>2415</v>
      </c>
      <c r="D208" s="1" t="s">
        <v>454</v>
      </c>
      <c r="E208" s="1">
        <v>2173</v>
      </c>
      <c r="F208" s="28">
        <v>203</v>
      </c>
      <c r="G208" s="1">
        <v>16</v>
      </c>
      <c r="H208" s="1" t="s">
        <v>3073</v>
      </c>
      <c r="I208" s="1" t="s">
        <v>3073</v>
      </c>
      <c r="J208" t="str">
        <f t="shared" si="3"/>
        <v>http://www.badatelna.eu/reprodukce/?fondId=1073&amp;zaznamId=1108959&amp;reproId=3780196</v>
      </c>
      <c r="K208">
        <f>IF(LEN(TRIM(E208))=0,"",VLOOKUP(E208,Sheet2!$B$1:$E$19,2,FALSE))</f>
        <v>1073</v>
      </c>
      <c r="L208">
        <f>IF(LEN(TRIM(E208))=0,"",VLOOKUP(E208,Sheet2!$B$1:$E$19,3,FALSE))</f>
        <v>1108959</v>
      </c>
      <c r="M208">
        <f>IF(LEN(TRIM(E208))=0,"",VLOOKUP(E208,Sheet2!$B$1:$E$19,4,FALSE))+(F208-1)</f>
        <v>3780196</v>
      </c>
    </row>
    <row r="209" spans="1:17" s="1" customFormat="1" ht="15" customHeight="1" x14ac:dyDescent="0.25">
      <c r="A209" s="28" t="s">
        <v>12</v>
      </c>
      <c r="B209" s="28" t="s">
        <v>338</v>
      </c>
      <c r="C209" s="6" t="s">
        <v>2707</v>
      </c>
      <c r="D209" s="1" t="s">
        <v>454</v>
      </c>
      <c r="E209" s="1">
        <v>2173</v>
      </c>
      <c r="F209" s="28">
        <v>225</v>
      </c>
      <c r="G209" s="9">
        <v>55</v>
      </c>
      <c r="H209" s="1" t="s">
        <v>3073</v>
      </c>
      <c r="I209" s="1" t="s">
        <v>3073</v>
      </c>
      <c r="J209" t="str">
        <f t="shared" si="3"/>
        <v>http://www.badatelna.eu/reprodukce/?fondId=1073&amp;zaznamId=1108959&amp;reproId=3780218</v>
      </c>
      <c r="K209">
        <f>IF(LEN(TRIM(E209))=0,"",VLOOKUP(E209,Sheet2!$B$1:$E$19,2,FALSE))</f>
        <v>1073</v>
      </c>
      <c r="L209">
        <f>IF(LEN(TRIM(E209))=0,"",VLOOKUP(E209,Sheet2!$B$1:$E$19,3,FALSE))</f>
        <v>1108959</v>
      </c>
      <c r="M209">
        <f>IF(LEN(TRIM(E209))=0,"",VLOOKUP(E209,Sheet2!$B$1:$E$19,4,FALSE))+(F209-1)</f>
        <v>3780218</v>
      </c>
    </row>
    <row r="210" spans="1:17" s="1" customFormat="1" ht="15" customHeight="1" x14ac:dyDescent="0.25">
      <c r="A210" s="28" t="s">
        <v>12</v>
      </c>
      <c r="B210" s="28" t="s">
        <v>263</v>
      </c>
      <c r="C210" s="1">
        <v>1852</v>
      </c>
      <c r="D210" s="1" t="s">
        <v>2919</v>
      </c>
      <c r="E210" s="1">
        <v>998</v>
      </c>
      <c r="F210" s="28">
        <v>36</v>
      </c>
      <c r="G210" s="1">
        <v>34</v>
      </c>
      <c r="H210" s="1">
        <v>63</v>
      </c>
      <c r="I210" s="1">
        <v>60</v>
      </c>
      <c r="J210" t="str">
        <f t="shared" si="3"/>
        <v>http://www.badatelna.eu/reprodukce/?fondId=241&amp;zaznamId=1133738&amp;reproId=3885682</v>
      </c>
      <c r="K210">
        <f>IF(LEN(TRIM(E210))=0,"",VLOOKUP(E210,Sheet2!$B$1:$E$19,2,FALSE))</f>
        <v>241</v>
      </c>
      <c r="L210">
        <f>IF(LEN(TRIM(E210))=0,"",VLOOKUP(E210,Sheet2!$B$1:$E$19,3,FALSE))</f>
        <v>1133738</v>
      </c>
      <c r="M210">
        <f>IF(LEN(TRIM(E210))=0,"",VLOOKUP(E210,Sheet2!$B$1:$E$19,4,FALSE))+(F210-1)</f>
        <v>3885682</v>
      </c>
      <c r="N210"/>
      <c r="O210"/>
      <c r="P210"/>
      <c r="Q210"/>
    </row>
    <row r="211" spans="1:17" s="1" customFormat="1" ht="15" customHeight="1" x14ac:dyDescent="0.25">
      <c r="A211" s="28" t="s">
        <v>12</v>
      </c>
      <c r="B211" s="28" t="s">
        <v>263</v>
      </c>
      <c r="C211" s="1">
        <v>1855</v>
      </c>
      <c r="D211" s="1" t="s">
        <v>2919</v>
      </c>
      <c r="E211" s="1">
        <v>998</v>
      </c>
      <c r="F211" s="28">
        <v>48</v>
      </c>
      <c r="G211" s="1">
        <v>46</v>
      </c>
      <c r="H211" s="1">
        <v>63</v>
      </c>
      <c r="I211" s="1">
        <v>60</v>
      </c>
      <c r="J211" t="str">
        <f t="shared" si="3"/>
        <v>http://www.badatelna.eu/reprodukce/?fondId=241&amp;zaznamId=1133738&amp;reproId=3885694</v>
      </c>
      <c r="K211">
        <f>IF(LEN(TRIM(E211))=0,"",VLOOKUP(E211,Sheet2!$B$1:$E$19,2,FALSE))</f>
        <v>241</v>
      </c>
      <c r="L211">
        <f>IF(LEN(TRIM(E211))=0,"",VLOOKUP(E211,Sheet2!$B$1:$E$19,3,FALSE))</f>
        <v>1133738</v>
      </c>
      <c r="M211">
        <f>IF(LEN(TRIM(E211))=0,"",VLOOKUP(E211,Sheet2!$B$1:$E$19,4,FALSE))+(F211-1)</f>
        <v>3885694</v>
      </c>
      <c r="N211"/>
      <c r="O211"/>
      <c r="P211"/>
      <c r="Q211"/>
    </row>
    <row r="212" spans="1:17" s="1" customFormat="1" ht="15" customHeight="1" x14ac:dyDescent="0.25">
      <c r="A212" s="28" t="s">
        <v>12</v>
      </c>
      <c r="B212" s="28" t="s">
        <v>263</v>
      </c>
      <c r="C212" s="6" t="s">
        <v>1996</v>
      </c>
      <c r="D212" s="1" t="s">
        <v>454</v>
      </c>
      <c r="E212" s="1">
        <v>2173</v>
      </c>
      <c r="F212" s="28">
        <v>180</v>
      </c>
      <c r="G212" s="9">
        <v>6</v>
      </c>
      <c r="H212" s="1">
        <v>185</v>
      </c>
      <c r="I212" s="1">
        <v>412</v>
      </c>
      <c r="J212" t="str">
        <f t="shared" si="3"/>
        <v>http://www.badatelna.eu/reprodukce/?fondId=1073&amp;zaznamId=1108959&amp;reproId=3780173</v>
      </c>
      <c r="K212">
        <f>IF(LEN(TRIM(E212))=0,"",VLOOKUP(E212,Sheet2!$B$1:$E$19,2,FALSE))</f>
        <v>1073</v>
      </c>
      <c r="L212">
        <f>IF(LEN(TRIM(E212))=0,"",VLOOKUP(E212,Sheet2!$B$1:$E$19,3,FALSE))</f>
        <v>1108959</v>
      </c>
      <c r="M212">
        <f>IF(LEN(TRIM(E212))=0,"",VLOOKUP(E212,Sheet2!$B$1:$E$19,4,FALSE))+(F212-1)</f>
        <v>3780173</v>
      </c>
    </row>
    <row r="213" spans="1:17" s="1" customFormat="1" ht="15" customHeight="1" x14ac:dyDescent="0.25">
      <c r="A213" s="27" t="s">
        <v>12</v>
      </c>
      <c r="B213" s="27" t="s">
        <v>471</v>
      </c>
      <c r="C213" s="5" t="s">
        <v>1188</v>
      </c>
      <c r="D213" s="3" t="s">
        <v>454</v>
      </c>
      <c r="E213" s="3">
        <v>2170</v>
      </c>
      <c r="F213" s="28">
        <v>49</v>
      </c>
      <c r="G213" s="10">
        <v>45</v>
      </c>
      <c r="H213" s="3">
        <v>67</v>
      </c>
      <c r="I213" s="3">
        <v>63</v>
      </c>
      <c r="J213" t="str">
        <f t="shared" si="3"/>
        <v>http://www.badatelna.eu/reprodukce/?fondId=1073&amp;zaznamId=1108956&amp;reproId=3779641</v>
      </c>
      <c r="K213">
        <f>IF(LEN(TRIM(E213))=0,"",VLOOKUP(E213,Sheet2!$B$1:$E$19,2,FALSE))</f>
        <v>1073</v>
      </c>
      <c r="L213">
        <f>IF(LEN(TRIM(E213))=0,"",VLOOKUP(E213,Sheet2!$B$1:$E$19,3,FALSE))</f>
        <v>1108956</v>
      </c>
      <c r="M213">
        <f>IF(LEN(TRIM(E213))=0,"",VLOOKUP(E213,Sheet2!$B$1:$E$19,4,FALSE))+(F213-1)</f>
        <v>3779641</v>
      </c>
    </row>
    <row r="214" spans="1:17" s="1" customFormat="1" ht="15" customHeight="1" x14ac:dyDescent="0.25">
      <c r="A214" s="30" t="s">
        <v>12</v>
      </c>
      <c r="B214" s="27" t="s">
        <v>1038</v>
      </c>
      <c r="C214" s="5" t="s">
        <v>1063</v>
      </c>
      <c r="D214" s="3" t="s">
        <v>454</v>
      </c>
      <c r="E214" s="3">
        <v>2170</v>
      </c>
      <c r="F214" s="28">
        <v>14</v>
      </c>
      <c r="G214" s="10">
        <v>10</v>
      </c>
      <c r="H214" s="3">
        <v>60</v>
      </c>
      <c r="I214" s="3">
        <v>56</v>
      </c>
      <c r="J214" t="str">
        <f t="shared" si="3"/>
        <v>http://www.badatelna.eu/reprodukce/?fondId=1073&amp;zaznamId=1108956&amp;reproId=3779606</v>
      </c>
      <c r="K214">
        <f>IF(LEN(TRIM(E214))=0,"",VLOOKUP(E214,Sheet2!$B$1:$E$19,2,FALSE))</f>
        <v>1073</v>
      </c>
      <c r="L214">
        <f>IF(LEN(TRIM(E214))=0,"",VLOOKUP(E214,Sheet2!$B$1:$E$19,3,FALSE))</f>
        <v>1108956</v>
      </c>
      <c r="M214">
        <f>IF(LEN(TRIM(E214))=0,"",VLOOKUP(E214,Sheet2!$B$1:$E$19,4,FALSE))+(F214-1)</f>
        <v>3779606</v>
      </c>
    </row>
    <row r="215" spans="1:17" s="1" customFormat="1" ht="15" customHeight="1" x14ac:dyDescent="0.25">
      <c r="A215" s="28" t="s">
        <v>12</v>
      </c>
      <c r="B215" s="28" t="s">
        <v>359</v>
      </c>
      <c r="C215" s="1">
        <v>1848</v>
      </c>
      <c r="D215" s="1" t="s">
        <v>2919</v>
      </c>
      <c r="E215" s="1">
        <v>998</v>
      </c>
      <c r="F215" s="28">
        <v>14</v>
      </c>
      <c r="G215" s="1">
        <v>12</v>
      </c>
      <c r="H215" s="1">
        <v>63</v>
      </c>
      <c r="I215" s="1">
        <v>60</v>
      </c>
      <c r="J215" t="str">
        <f t="shared" si="3"/>
        <v>http://www.badatelna.eu/reprodukce/?fondId=241&amp;zaznamId=1133738&amp;reproId=3885660</v>
      </c>
      <c r="K215">
        <f>IF(LEN(TRIM(E215))=0,"",VLOOKUP(E215,Sheet2!$B$1:$E$19,2,FALSE))</f>
        <v>241</v>
      </c>
      <c r="L215">
        <f>IF(LEN(TRIM(E215))=0,"",VLOOKUP(E215,Sheet2!$B$1:$E$19,3,FALSE))</f>
        <v>1133738</v>
      </c>
      <c r="M215">
        <f>IF(LEN(TRIM(E215))=0,"",VLOOKUP(E215,Sheet2!$B$1:$E$19,4,FALSE))+(F215-1)</f>
        <v>3885660</v>
      </c>
    </row>
    <row r="216" spans="1:17" s="1" customFormat="1" ht="15" customHeight="1" x14ac:dyDescent="0.25">
      <c r="A216" s="28" t="s">
        <v>12</v>
      </c>
      <c r="B216" s="28" t="s">
        <v>359</v>
      </c>
      <c r="C216" s="1">
        <v>1859</v>
      </c>
      <c r="D216" s="1" t="s">
        <v>2919</v>
      </c>
      <c r="E216" s="1">
        <v>998</v>
      </c>
      <c r="F216" s="28">
        <v>56</v>
      </c>
      <c r="G216" s="1" t="s">
        <v>2941</v>
      </c>
      <c r="H216" s="1">
        <v>64</v>
      </c>
      <c r="I216" s="1">
        <v>61</v>
      </c>
      <c r="J216" t="str">
        <f t="shared" si="3"/>
        <v>http://www.badatelna.eu/reprodukce/?fondId=241&amp;zaznamId=1133738&amp;reproId=3885702</v>
      </c>
      <c r="K216">
        <f>IF(LEN(TRIM(E216))=0,"",VLOOKUP(E216,Sheet2!$B$1:$E$19,2,FALSE))</f>
        <v>241</v>
      </c>
      <c r="L216">
        <f>IF(LEN(TRIM(E216))=0,"",VLOOKUP(E216,Sheet2!$B$1:$E$19,3,FALSE))</f>
        <v>1133738</v>
      </c>
      <c r="M216">
        <f>IF(LEN(TRIM(E216))=0,"",VLOOKUP(E216,Sheet2!$B$1:$E$19,4,FALSE))+(F216-1)</f>
        <v>3885702</v>
      </c>
    </row>
    <row r="217" spans="1:17" s="1" customFormat="1" ht="15" customHeight="1" x14ac:dyDescent="0.25">
      <c r="A217" s="28" t="s">
        <v>12</v>
      </c>
      <c r="B217" s="28" t="s">
        <v>272</v>
      </c>
      <c r="C217" s="6" t="s">
        <v>1791</v>
      </c>
      <c r="D217" s="1" t="s">
        <v>454</v>
      </c>
      <c r="E217" s="1">
        <v>2172</v>
      </c>
      <c r="F217" s="28">
        <v>157</v>
      </c>
      <c r="G217" s="9">
        <v>151</v>
      </c>
      <c r="H217" s="1">
        <v>160</v>
      </c>
      <c r="I217" s="1">
        <v>154</v>
      </c>
      <c r="J217" t="str">
        <f t="shared" si="3"/>
        <v>http://www.badatelna.eu/reprodukce/?fondId=1073&amp;zaznamId=1108958&amp;reproId=3779898</v>
      </c>
      <c r="K217">
        <f>IF(LEN(TRIM(E217))=0,"",VLOOKUP(E217,Sheet2!$B$1:$E$19,2,FALSE))</f>
        <v>1073</v>
      </c>
      <c r="L217">
        <f>IF(LEN(TRIM(E217))=0,"",VLOOKUP(E217,Sheet2!$B$1:$E$19,3,FALSE))</f>
        <v>1108958</v>
      </c>
      <c r="M217">
        <f>IF(LEN(TRIM(E217))=0,"",VLOOKUP(E217,Sheet2!$B$1:$E$19,4,FALSE))+(F217-1)</f>
        <v>3779898</v>
      </c>
    </row>
    <row r="218" spans="1:17" s="1" customFormat="1" ht="15" customHeight="1" x14ac:dyDescent="0.25">
      <c r="A218" s="28" t="s">
        <v>12</v>
      </c>
      <c r="B218" s="28" t="s">
        <v>774</v>
      </c>
      <c r="C218" s="6" t="s">
        <v>1634</v>
      </c>
      <c r="D218" s="1" t="s">
        <v>454</v>
      </c>
      <c r="E218" s="1">
        <v>2172</v>
      </c>
      <c r="F218" s="28">
        <v>95</v>
      </c>
      <c r="G218" s="9">
        <v>94</v>
      </c>
      <c r="H218" s="1">
        <v>96</v>
      </c>
      <c r="I218" s="1">
        <v>95</v>
      </c>
      <c r="J218" t="str">
        <f t="shared" si="3"/>
        <v>http://www.badatelna.eu/reprodukce/?fondId=1073&amp;zaznamId=1108958&amp;reproId=3779836</v>
      </c>
      <c r="K218">
        <f>IF(LEN(TRIM(E218))=0,"",VLOOKUP(E218,Sheet2!$B$1:$E$19,2,FALSE))</f>
        <v>1073</v>
      </c>
      <c r="L218">
        <f>IF(LEN(TRIM(E218))=0,"",VLOOKUP(E218,Sheet2!$B$1:$E$19,3,FALSE))</f>
        <v>1108958</v>
      </c>
      <c r="M218">
        <f>IF(LEN(TRIM(E218))=0,"",VLOOKUP(E218,Sheet2!$B$1:$E$19,4,FALSE))+(F218-1)</f>
        <v>3779836</v>
      </c>
    </row>
    <row r="219" spans="1:17" s="1" customFormat="1" ht="15" customHeight="1" x14ac:dyDescent="0.25">
      <c r="A219" s="28" t="s">
        <v>12</v>
      </c>
      <c r="B219" s="28" t="s">
        <v>46</v>
      </c>
      <c r="C219" s="1">
        <v>1852</v>
      </c>
      <c r="D219" s="1" t="s">
        <v>2919</v>
      </c>
      <c r="E219" s="1">
        <v>998</v>
      </c>
      <c r="F219" s="28">
        <v>36</v>
      </c>
      <c r="G219" s="1">
        <v>34</v>
      </c>
      <c r="H219" s="1">
        <v>63</v>
      </c>
      <c r="I219" s="1">
        <v>60</v>
      </c>
      <c r="J219" t="str">
        <f t="shared" si="3"/>
        <v>http://www.badatelna.eu/reprodukce/?fondId=241&amp;zaznamId=1133738&amp;reproId=3885682</v>
      </c>
      <c r="K219">
        <f>IF(LEN(TRIM(E219))=0,"",VLOOKUP(E219,Sheet2!$B$1:$E$19,2,FALSE))</f>
        <v>241</v>
      </c>
      <c r="L219">
        <f>IF(LEN(TRIM(E219))=0,"",VLOOKUP(E219,Sheet2!$B$1:$E$19,3,FALSE))</f>
        <v>1133738</v>
      </c>
      <c r="M219">
        <f>IF(LEN(TRIM(E219))=0,"",VLOOKUP(E219,Sheet2!$B$1:$E$19,4,FALSE))+(F219-1)</f>
        <v>3885682</v>
      </c>
    </row>
    <row r="220" spans="1:17" s="1" customFormat="1" ht="15" customHeight="1" x14ac:dyDescent="0.25">
      <c r="A220" s="28" t="s">
        <v>12</v>
      </c>
      <c r="B220" s="28" t="s">
        <v>213</v>
      </c>
      <c r="C220" s="6" t="s">
        <v>1886</v>
      </c>
      <c r="D220" s="1" t="s">
        <v>454</v>
      </c>
      <c r="E220" s="1">
        <v>2172</v>
      </c>
      <c r="F220" s="28">
        <v>195</v>
      </c>
      <c r="G220" s="9">
        <v>185</v>
      </c>
      <c r="H220" s="1" t="s">
        <v>3073</v>
      </c>
      <c r="I220" s="1" t="s">
        <v>3073</v>
      </c>
      <c r="J220" t="str">
        <f t="shared" si="3"/>
        <v>http://www.badatelna.eu/reprodukce/?fondId=1073&amp;zaznamId=1108958&amp;reproId=3779936</v>
      </c>
      <c r="K220">
        <f>IF(LEN(TRIM(E220))=0,"",VLOOKUP(E220,Sheet2!$B$1:$E$19,2,FALSE))</f>
        <v>1073</v>
      </c>
      <c r="L220">
        <f>IF(LEN(TRIM(E220))=0,"",VLOOKUP(E220,Sheet2!$B$1:$E$19,3,FALSE))</f>
        <v>1108958</v>
      </c>
      <c r="M220">
        <f>IF(LEN(TRIM(E220))=0,"",VLOOKUP(E220,Sheet2!$B$1:$E$19,4,FALSE))+(F220-1)</f>
        <v>3779936</v>
      </c>
    </row>
    <row r="221" spans="1:17" s="1" customFormat="1" ht="15" customHeight="1" x14ac:dyDescent="0.25">
      <c r="A221" s="28" t="s">
        <v>12</v>
      </c>
      <c r="B221" s="28" t="s">
        <v>213</v>
      </c>
      <c r="C221" s="6" t="s">
        <v>1999</v>
      </c>
      <c r="D221" s="1" t="s">
        <v>454</v>
      </c>
      <c r="E221" s="1">
        <v>2173</v>
      </c>
      <c r="F221" s="28">
        <v>180</v>
      </c>
      <c r="G221" s="9">
        <v>7</v>
      </c>
      <c r="H221" s="1">
        <v>185</v>
      </c>
      <c r="I221" s="1">
        <v>412</v>
      </c>
      <c r="J221" t="str">
        <f t="shared" si="3"/>
        <v>http://www.badatelna.eu/reprodukce/?fondId=1073&amp;zaznamId=1108959&amp;reproId=3780173</v>
      </c>
      <c r="K221">
        <f>IF(LEN(TRIM(E221))=0,"",VLOOKUP(E221,Sheet2!$B$1:$E$19,2,FALSE))</f>
        <v>1073</v>
      </c>
      <c r="L221">
        <f>IF(LEN(TRIM(E221))=0,"",VLOOKUP(E221,Sheet2!$B$1:$E$19,3,FALSE))</f>
        <v>1108959</v>
      </c>
      <c r="M221">
        <f>IF(LEN(TRIM(E221))=0,"",VLOOKUP(E221,Sheet2!$B$1:$E$19,4,FALSE))+(F221-1)</f>
        <v>3780173</v>
      </c>
    </row>
    <row r="222" spans="1:17" s="1" customFormat="1" ht="15" customHeight="1" x14ac:dyDescent="0.25">
      <c r="A222" s="28" t="s">
        <v>12</v>
      </c>
      <c r="B222" s="28" t="s">
        <v>213</v>
      </c>
      <c r="C222" s="6" t="s">
        <v>2502</v>
      </c>
      <c r="D222" s="1" t="s">
        <v>454</v>
      </c>
      <c r="E222" s="1">
        <v>2173</v>
      </c>
      <c r="F222" s="28">
        <v>206</v>
      </c>
      <c r="G222" s="1">
        <v>21</v>
      </c>
      <c r="H222" s="1" t="s">
        <v>3073</v>
      </c>
      <c r="I222" s="1" t="s">
        <v>3073</v>
      </c>
      <c r="J222" t="str">
        <f t="shared" si="3"/>
        <v>http://www.badatelna.eu/reprodukce/?fondId=1073&amp;zaznamId=1108959&amp;reproId=3780199</v>
      </c>
      <c r="K222">
        <f>IF(LEN(TRIM(E222))=0,"",VLOOKUP(E222,Sheet2!$B$1:$E$19,2,FALSE))</f>
        <v>1073</v>
      </c>
      <c r="L222">
        <f>IF(LEN(TRIM(E222))=0,"",VLOOKUP(E222,Sheet2!$B$1:$E$19,3,FALSE))</f>
        <v>1108959</v>
      </c>
      <c r="M222">
        <f>IF(LEN(TRIM(E222))=0,"",VLOOKUP(E222,Sheet2!$B$1:$E$19,4,FALSE))+(F222-1)</f>
        <v>3780199</v>
      </c>
    </row>
    <row r="223" spans="1:17" s="1" customFormat="1" ht="15" customHeight="1" x14ac:dyDescent="0.25">
      <c r="A223" s="28" t="s">
        <v>12</v>
      </c>
      <c r="B223" s="28" t="s">
        <v>2930</v>
      </c>
      <c r="C223" s="1">
        <v>1850</v>
      </c>
      <c r="D223" s="1" t="s">
        <v>2919</v>
      </c>
      <c r="E223" s="1">
        <v>998</v>
      </c>
      <c r="F223" s="28">
        <v>29</v>
      </c>
      <c r="G223" s="1">
        <v>27</v>
      </c>
      <c r="H223" s="1">
        <v>63</v>
      </c>
      <c r="I223" s="1">
        <v>60</v>
      </c>
      <c r="J223" t="str">
        <f t="shared" si="3"/>
        <v>http://www.badatelna.eu/reprodukce/?fondId=241&amp;zaznamId=1133738&amp;reproId=3885675</v>
      </c>
      <c r="K223">
        <f>IF(LEN(TRIM(E223))=0,"",VLOOKUP(E223,Sheet2!$B$1:$E$19,2,FALSE))</f>
        <v>241</v>
      </c>
      <c r="L223">
        <f>IF(LEN(TRIM(E223))=0,"",VLOOKUP(E223,Sheet2!$B$1:$E$19,3,FALSE))</f>
        <v>1133738</v>
      </c>
      <c r="M223">
        <f>IF(LEN(TRIM(E223))=0,"",VLOOKUP(E223,Sheet2!$B$1:$E$19,4,FALSE))+(F223-1)</f>
        <v>3885675</v>
      </c>
    </row>
    <row r="224" spans="1:17" s="1" customFormat="1" ht="15" customHeight="1" x14ac:dyDescent="0.25">
      <c r="A224" s="28" t="s">
        <v>12</v>
      </c>
      <c r="B224" s="28" t="s">
        <v>28</v>
      </c>
      <c r="C224" s="1">
        <v>1849</v>
      </c>
      <c r="D224" s="1" t="s">
        <v>2919</v>
      </c>
      <c r="E224" s="1">
        <v>998</v>
      </c>
      <c r="F224" s="28">
        <v>25</v>
      </c>
      <c r="G224" s="1">
        <v>23</v>
      </c>
      <c r="H224" s="1">
        <v>63</v>
      </c>
      <c r="I224" s="1">
        <v>60</v>
      </c>
      <c r="J224" t="str">
        <f t="shared" si="3"/>
        <v>http://www.badatelna.eu/reprodukce/?fondId=241&amp;zaznamId=1133738&amp;reproId=3885671</v>
      </c>
      <c r="K224">
        <f>IF(LEN(TRIM(E224))=0,"",VLOOKUP(E224,Sheet2!$B$1:$E$19,2,FALSE))</f>
        <v>241</v>
      </c>
      <c r="L224">
        <f>IF(LEN(TRIM(E224))=0,"",VLOOKUP(E224,Sheet2!$B$1:$E$19,3,FALSE))</f>
        <v>1133738</v>
      </c>
      <c r="M224">
        <f>IF(LEN(TRIM(E224))=0,"",VLOOKUP(E224,Sheet2!$B$1:$E$19,4,FALSE))+(F224-1)</f>
        <v>3885671</v>
      </c>
    </row>
    <row r="225" spans="1:17" s="1" customFormat="1" ht="15" customHeight="1" x14ac:dyDescent="0.25">
      <c r="A225" s="28" t="s">
        <v>12</v>
      </c>
      <c r="B225" s="28" t="s">
        <v>28</v>
      </c>
      <c r="C225" s="1">
        <v>1854</v>
      </c>
      <c r="D225" s="1" t="s">
        <v>2919</v>
      </c>
      <c r="E225" s="1">
        <v>998</v>
      </c>
      <c r="F225" s="28">
        <v>43</v>
      </c>
      <c r="G225" s="1">
        <v>41</v>
      </c>
      <c r="H225" s="1">
        <v>63</v>
      </c>
      <c r="I225" s="1">
        <v>60</v>
      </c>
      <c r="J225" t="str">
        <f t="shared" si="3"/>
        <v>http://www.badatelna.eu/reprodukce/?fondId=241&amp;zaznamId=1133738&amp;reproId=3885689</v>
      </c>
      <c r="K225">
        <f>IF(LEN(TRIM(E225))=0,"",VLOOKUP(E225,Sheet2!$B$1:$E$19,2,FALSE))</f>
        <v>241</v>
      </c>
      <c r="L225">
        <f>IF(LEN(TRIM(E225))=0,"",VLOOKUP(E225,Sheet2!$B$1:$E$19,3,FALSE))</f>
        <v>1133738</v>
      </c>
      <c r="M225">
        <f>IF(LEN(TRIM(E225))=0,"",VLOOKUP(E225,Sheet2!$B$1:$E$19,4,FALSE))+(F225-1)</f>
        <v>3885689</v>
      </c>
    </row>
    <row r="226" spans="1:17" s="1" customFormat="1" ht="15" customHeight="1" x14ac:dyDescent="0.25">
      <c r="A226" s="28" t="s">
        <v>12</v>
      </c>
      <c r="B226" s="28" t="s">
        <v>28</v>
      </c>
      <c r="C226" s="1">
        <v>1855</v>
      </c>
      <c r="D226" s="1" t="s">
        <v>2919</v>
      </c>
      <c r="E226" s="1">
        <v>998</v>
      </c>
      <c r="F226" s="28">
        <v>47</v>
      </c>
      <c r="G226" s="1">
        <v>45</v>
      </c>
      <c r="H226" s="1">
        <v>63</v>
      </c>
      <c r="I226" s="1">
        <v>60</v>
      </c>
      <c r="J226" t="str">
        <f t="shared" si="3"/>
        <v>http://www.badatelna.eu/reprodukce/?fondId=241&amp;zaznamId=1133738&amp;reproId=3885693</v>
      </c>
      <c r="K226">
        <f>IF(LEN(TRIM(E226))=0,"",VLOOKUP(E226,Sheet2!$B$1:$E$19,2,FALSE))</f>
        <v>241</v>
      </c>
      <c r="L226">
        <f>IF(LEN(TRIM(E226))=0,"",VLOOKUP(E226,Sheet2!$B$1:$E$19,3,FALSE))</f>
        <v>1133738</v>
      </c>
      <c r="M226">
        <f>IF(LEN(TRIM(E226))=0,"",VLOOKUP(E226,Sheet2!$B$1:$E$19,4,FALSE))+(F226-1)</f>
        <v>3885693</v>
      </c>
      <c r="N226"/>
      <c r="O226"/>
      <c r="P226"/>
      <c r="Q226"/>
    </row>
    <row r="227" spans="1:17" s="1" customFormat="1" ht="15" customHeight="1" x14ac:dyDescent="0.25">
      <c r="A227" s="28" t="s">
        <v>12</v>
      </c>
      <c r="B227" s="28" t="s">
        <v>28</v>
      </c>
      <c r="C227" s="6" t="s">
        <v>2734</v>
      </c>
      <c r="D227" s="1" t="s">
        <v>454</v>
      </c>
      <c r="E227" s="1">
        <v>2173</v>
      </c>
      <c r="F227" s="28">
        <v>227</v>
      </c>
      <c r="G227" s="9">
        <v>60</v>
      </c>
      <c r="H227" s="1" t="s">
        <v>3073</v>
      </c>
      <c r="I227" s="1" t="s">
        <v>3073</v>
      </c>
      <c r="J227" t="str">
        <f t="shared" si="3"/>
        <v>http://www.badatelna.eu/reprodukce/?fondId=1073&amp;zaznamId=1108959&amp;reproId=3780220</v>
      </c>
      <c r="K227">
        <f>IF(LEN(TRIM(E227))=0,"",VLOOKUP(E227,Sheet2!$B$1:$E$19,2,FALSE))</f>
        <v>1073</v>
      </c>
      <c r="L227">
        <f>IF(LEN(TRIM(E227))=0,"",VLOOKUP(E227,Sheet2!$B$1:$E$19,3,FALSE))</f>
        <v>1108959</v>
      </c>
      <c r="M227">
        <f>IF(LEN(TRIM(E227))=0,"",VLOOKUP(E227,Sheet2!$B$1:$E$19,4,FALSE))+(F227-1)</f>
        <v>3780220</v>
      </c>
    </row>
    <row r="228" spans="1:17" s="1" customFormat="1" ht="15" customHeight="1" x14ac:dyDescent="0.25">
      <c r="A228" s="29" t="s">
        <v>12</v>
      </c>
      <c r="B228" s="28" t="s">
        <v>154</v>
      </c>
      <c r="C228" s="6" t="s">
        <v>2612</v>
      </c>
      <c r="D228" s="1" t="s">
        <v>454</v>
      </c>
      <c r="E228" s="1">
        <v>2173</v>
      </c>
      <c r="F228" s="28">
        <v>219</v>
      </c>
      <c r="G228" s="9">
        <v>47</v>
      </c>
      <c r="H228" s="1" t="s">
        <v>3073</v>
      </c>
      <c r="I228" s="1" t="s">
        <v>3073</v>
      </c>
      <c r="J228" t="str">
        <f t="shared" si="3"/>
        <v>http://www.badatelna.eu/reprodukce/?fondId=1073&amp;zaznamId=1108959&amp;reproId=3780212</v>
      </c>
      <c r="K228">
        <f>IF(LEN(TRIM(E228))=0,"",VLOOKUP(E228,Sheet2!$B$1:$E$19,2,FALSE))</f>
        <v>1073</v>
      </c>
      <c r="L228">
        <f>IF(LEN(TRIM(E228))=0,"",VLOOKUP(E228,Sheet2!$B$1:$E$19,3,FALSE))</f>
        <v>1108959</v>
      </c>
      <c r="M228">
        <f>IF(LEN(TRIM(E228))=0,"",VLOOKUP(E228,Sheet2!$B$1:$E$19,4,FALSE))+(F228-1)</f>
        <v>3780212</v>
      </c>
    </row>
    <row r="229" spans="1:17" s="1" customFormat="1" ht="15" customHeight="1" x14ac:dyDescent="0.25">
      <c r="A229" s="28" t="s">
        <v>12</v>
      </c>
      <c r="B229" s="28" t="s">
        <v>249</v>
      </c>
      <c r="C229" s="6" t="s">
        <v>1997</v>
      </c>
      <c r="D229" s="1" t="s">
        <v>454</v>
      </c>
      <c r="E229" s="1">
        <v>2173</v>
      </c>
      <c r="F229" s="28">
        <v>177</v>
      </c>
      <c r="G229" s="9">
        <v>1</v>
      </c>
      <c r="H229" s="1">
        <v>185</v>
      </c>
      <c r="I229" s="1">
        <v>412</v>
      </c>
      <c r="J229" t="str">
        <f t="shared" si="3"/>
        <v>http://www.badatelna.eu/reprodukce/?fondId=1073&amp;zaznamId=1108959&amp;reproId=3780170</v>
      </c>
      <c r="K229">
        <f>IF(LEN(TRIM(E229))=0,"",VLOOKUP(E229,Sheet2!$B$1:$E$19,2,FALSE))</f>
        <v>1073</v>
      </c>
      <c r="L229">
        <f>IF(LEN(TRIM(E229))=0,"",VLOOKUP(E229,Sheet2!$B$1:$E$19,3,FALSE))</f>
        <v>1108959</v>
      </c>
      <c r="M229">
        <f>IF(LEN(TRIM(E229))=0,"",VLOOKUP(E229,Sheet2!$B$1:$E$19,4,FALSE))+(F229-1)</f>
        <v>3780170</v>
      </c>
    </row>
    <row r="230" spans="1:17" s="1" customFormat="1" ht="15" customHeight="1" x14ac:dyDescent="0.25">
      <c r="A230" s="28" t="s">
        <v>12</v>
      </c>
      <c r="B230" s="28" t="s">
        <v>257</v>
      </c>
      <c r="C230" s="6" t="s">
        <v>1998</v>
      </c>
      <c r="D230" s="1" t="s">
        <v>454</v>
      </c>
      <c r="E230" s="1">
        <v>2173</v>
      </c>
      <c r="F230" s="28">
        <v>179</v>
      </c>
      <c r="G230" s="9">
        <v>4</v>
      </c>
      <c r="H230" s="1">
        <v>185</v>
      </c>
      <c r="I230" s="1">
        <v>412</v>
      </c>
      <c r="J230" t="str">
        <f t="shared" si="3"/>
        <v>http://www.badatelna.eu/reprodukce/?fondId=1073&amp;zaznamId=1108959&amp;reproId=3780172</v>
      </c>
      <c r="K230">
        <f>IF(LEN(TRIM(E230))=0,"",VLOOKUP(E230,Sheet2!$B$1:$E$19,2,FALSE))</f>
        <v>1073</v>
      </c>
      <c r="L230">
        <f>IF(LEN(TRIM(E230))=0,"",VLOOKUP(E230,Sheet2!$B$1:$E$19,3,FALSE))</f>
        <v>1108959</v>
      </c>
      <c r="M230">
        <f>IF(LEN(TRIM(E230))=0,"",VLOOKUP(E230,Sheet2!$B$1:$E$19,4,FALSE))+(F230-1)</f>
        <v>3780172</v>
      </c>
    </row>
    <row r="231" spans="1:17" s="1" customFormat="1" ht="15" customHeight="1" x14ac:dyDescent="0.25">
      <c r="A231" s="28" t="s">
        <v>12</v>
      </c>
      <c r="B231" s="28" t="s">
        <v>314</v>
      </c>
      <c r="C231" s="1">
        <v>1857</v>
      </c>
      <c r="D231" s="1" t="s">
        <v>2919</v>
      </c>
      <c r="E231" s="1">
        <v>998</v>
      </c>
      <c r="F231" s="28">
        <v>52</v>
      </c>
      <c r="G231" s="1">
        <v>50</v>
      </c>
      <c r="H231" s="1">
        <v>64</v>
      </c>
      <c r="I231" s="1">
        <v>61</v>
      </c>
      <c r="J231" t="str">
        <f t="shared" si="3"/>
        <v>http://www.badatelna.eu/reprodukce/?fondId=241&amp;zaznamId=1133738&amp;reproId=3885698</v>
      </c>
      <c r="K231">
        <f>IF(LEN(TRIM(E231))=0,"",VLOOKUP(E231,Sheet2!$B$1:$E$19,2,FALSE))</f>
        <v>241</v>
      </c>
      <c r="L231">
        <f>IF(LEN(TRIM(E231))=0,"",VLOOKUP(E231,Sheet2!$B$1:$E$19,3,FALSE))</f>
        <v>1133738</v>
      </c>
      <c r="M231">
        <f>IF(LEN(TRIM(E231))=0,"",VLOOKUP(E231,Sheet2!$B$1:$E$19,4,FALSE))+(F231-1)</f>
        <v>3885698</v>
      </c>
    </row>
    <row r="232" spans="1:17" s="1" customFormat="1" ht="15" customHeight="1" x14ac:dyDescent="0.25">
      <c r="A232" s="28" t="s">
        <v>12</v>
      </c>
      <c r="B232" s="28" t="s">
        <v>314</v>
      </c>
      <c r="C232" s="1">
        <v>1884</v>
      </c>
      <c r="D232" s="1" t="s">
        <v>454</v>
      </c>
      <c r="E232" s="1">
        <v>2172</v>
      </c>
      <c r="F232" s="28">
        <v>40</v>
      </c>
      <c r="G232" s="9" t="s">
        <v>2762</v>
      </c>
      <c r="H232" s="1">
        <v>42</v>
      </c>
      <c r="I232" s="1">
        <v>41</v>
      </c>
      <c r="J232" t="str">
        <f t="shared" si="3"/>
        <v>http://www.badatelna.eu/reprodukce/?fondId=1073&amp;zaznamId=1108958&amp;reproId=3779781</v>
      </c>
      <c r="K232">
        <f>IF(LEN(TRIM(E232))=0,"",VLOOKUP(E232,Sheet2!$B$1:$E$19,2,FALSE))</f>
        <v>1073</v>
      </c>
      <c r="L232">
        <f>IF(LEN(TRIM(E232))=0,"",VLOOKUP(E232,Sheet2!$B$1:$E$19,3,FALSE))</f>
        <v>1108958</v>
      </c>
      <c r="M232">
        <f>IF(LEN(TRIM(E232))=0,"",VLOOKUP(E232,Sheet2!$B$1:$E$19,4,FALSE))+(F232-1)</f>
        <v>3779781</v>
      </c>
    </row>
    <row r="233" spans="1:17" s="1" customFormat="1" ht="15" customHeight="1" x14ac:dyDescent="0.25">
      <c r="A233" s="28" t="s">
        <v>12</v>
      </c>
      <c r="B233" s="28" t="s">
        <v>39</v>
      </c>
      <c r="C233" s="1">
        <v>1853</v>
      </c>
      <c r="D233" s="1" t="s">
        <v>2919</v>
      </c>
      <c r="E233" s="1">
        <v>998</v>
      </c>
      <c r="F233" s="28">
        <v>36</v>
      </c>
      <c r="G233" s="1">
        <v>34</v>
      </c>
      <c r="H233" s="1">
        <v>63</v>
      </c>
      <c r="I233" s="1">
        <v>60</v>
      </c>
      <c r="J233" t="str">
        <f t="shared" si="3"/>
        <v>http://www.badatelna.eu/reprodukce/?fondId=241&amp;zaznamId=1133738&amp;reproId=3885682</v>
      </c>
      <c r="K233">
        <f>IF(LEN(TRIM(E233))=0,"",VLOOKUP(E233,Sheet2!$B$1:$E$19,2,FALSE))</f>
        <v>241</v>
      </c>
      <c r="L233">
        <f>IF(LEN(TRIM(E233))=0,"",VLOOKUP(E233,Sheet2!$B$1:$E$19,3,FALSE))</f>
        <v>1133738</v>
      </c>
      <c r="M233">
        <f>IF(LEN(TRIM(E233))=0,"",VLOOKUP(E233,Sheet2!$B$1:$E$19,4,FALSE))+(F233-1)</f>
        <v>3885682</v>
      </c>
      <c r="N233"/>
      <c r="O233"/>
      <c r="P233"/>
      <c r="Q233"/>
    </row>
    <row r="234" spans="1:17" s="1" customFormat="1" ht="15" customHeight="1" x14ac:dyDescent="0.25">
      <c r="A234" s="27" t="s">
        <v>12</v>
      </c>
      <c r="B234" s="27" t="s">
        <v>39</v>
      </c>
      <c r="C234" s="5" t="s">
        <v>1075</v>
      </c>
      <c r="D234" s="3" t="s">
        <v>454</v>
      </c>
      <c r="E234" s="3">
        <v>2170</v>
      </c>
      <c r="F234" s="28">
        <v>34</v>
      </c>
      <c r="G234" s="10">
        <v>30</v>
      </c>
      <c r="H234" s="3">
        <v>61</v>
      </c>
      <c r="I234" s="3">
        <v>57</v>
      </c>
      <c r="J234" t="str">
        <f t="shared" si="3"/>
        <v>http://www.badatelna.eu/reprodukce/?fondId=1073&amp;zaznamId=1108956&amp;reproId=3779626</v>
      </c>
      <c r="K234">
        <f>IF(LEN(TRIM(E234))=0,"",VLOOKUP(E234,Sheet2!$B$1:$E$19,2,FALSE))</f>
        <v>1073</v>
      </c>
      <c r="L234">
        <f>IF(LEN(TRIM(E234))=0,"",VLOOKUP(E234,Sheet2!$B$1:$E$19,3,FALSE))</f>
        <v>1108956</v>
      </c>
      <c r="M234">
        <f>IF(LEN(TRIM(E234))=0,"",VLOOKUP(E234,Sheet2!$B$1:$E$19,4,FALSE))+(F234-1)</f>
        <v>3779626</v>
      </c>
    </row>
    <row r="235" spans="1:17" s="1" customFormat="1" ht="15" customHeight="1" x14ac:dyDescent="0.25">
      <c r="A235" s="28" t="s">
        <v>12</v>
      </c>
      <c r="B235" s="28" t="s">
        <v>39</v>
      </c>
      <c r="C235" s="6" t="s">
        <v>2285</v>
      </c>
      <c r="D235" s="1" t="s">
        <v>454</v>
      </c>
      <c r="E235" s="1">
        <v>2173</v>
      </c>
      <c r="F235" s="28">
        <v>198</v>
      </c>
      <c r="G235" s="9">
        <v>5</v>
      </c>
      <c r="H235" s="1" t="s">
        <v>3073</v>
      </c>
      <c r="I235" s="1" t="s">
        <v>3073</v>
      </c>
      <c r="J235" t="str">
        <f t="shared" si="3"/>
        <v>http://www.badatelna.eu/reprodukce/?fondId=1073&amp;zaznamId=1108959&amp;reproId=3780191</v>
      </c>
      <c r="K235">
        <f>IF(LEN(TRIM(E235))=0,"",VLOOKUP(E235,Sheet2!$B$1:$E$19,2,FALSE))</f>
        <v>1073</v>
      </c>
      <c r="L235">
        <f>IF(LEN(TRIM(E235))=0,"",VLOOKUP(E235,Sheet2!$B$1:$E$19,3,FALSE))</f>
        <v>1108959</v>
      </c>
      <c r="M235">
        <f>IF(LEN(TRIM(E235))=0,"",VLOOKUP(E235,Sheet2!$B$1:$E$19,4,FALSE))+(F235-1)</f>
        <v>3780191</v>
      </c>
    </row>
    <row r="236" spans="1:17" s="1" customFormat="1" ht="15" customHeight="1" x14ac:dyDescent="0.25">
      <c r="A236" s="28" t="s">
        <v>12</v>
      </c>
      <c r="B236" s="28" t="s">
        <v>39</v>
      </c>
      <c r="C236" s="6" t="s">
        <v>2651</v>
      </c>
      <c r="D236" s="1" t="s">
        <v>454</v>
      </c>
      <c r="E236" s="1">
        <v>2173</v>
      </c>
      <c r="F236" s="28">
        <v>222</v>
      </c>
      <c r="G236" s="9">
        <v>50</v>
      </c>
      <c r="H236" s="1" t="s">
        <v>3073</v>
      </c>
      <c r="I236" s="1" t="s">
        <v>3073</v>
      </c>
      <c r="J236" t="str">
        <f t="shared" si="3"/>
        <v>http://www.badatelna.eu/reprodukce/?fondId=1073&amp;zaznamId=1108959&amp;reproId=3780215</v>
      </c>
      <c r="K236">
        <f>IF(LEN(TRIM(E236))=0,"",VLOOKUP(E236,Sheet2!$B$1:$E$19,2,FALSE))</f>
        <v>1073</v>
      </c>
      <c r="L236">
        <f>IF(LEN(TRIM(E236))=0,"",VLOOKUP(E236,Sheet2!$B$1:$E$19,3,FALSE))</f>
        <v>1108959</v>
      </c>
      <c r="M236">
        <f>IF(LEN(TRIM(E236))=0,"",VLOOKUP(E236,Sheet2!$B$1:$E$19,4,FALSE))+(F236-1)</f>
        <v>3780215</v>
      </c>
      <c r="N236"/>
      <c r="O236"/>
      <c r="P236"/>
      <c r="Q236"/>
    </row>
    <row r="237" spans="1:17" s="1" customFormat="1" ht="15" customHeight="1" x14ac:dyDescent="0.25">
      <c r="A237" s="28" t="s">
        <v>12</v>
      </c>
      <c r="B237" s="28" t="s">
        <v>411</v>
      </c>
      <c r="C237" s="6" t="s">
        <v>2652</v>
      </c>
      <c r="D237" s="1" t="s">
        <v>454</v>
      </c>
      <c r="E237" s="1">
        <v>2173</v>
      </c>
      <c r="F237" s="28">
        <v>222</v>
      </c>
      <c r="G237" s="9">
        <v>49</v>
      </c>
      <c r="H237" s="1" t="s">
        <v>3073</v>
      </c>
      <c r="I237" s="1" t="s">
        <v>3073</v>
      </c>
      <c r="J237" t="str">
        <f t="shared" si="3"/>
        <v>http://www.badatelna.eu/reprodukce/?fondId=1073&amp;zaznamId=1108959&amp;reproId=3780215</v>
      </c>
      <c r="K237">
        <f>IF(LEN(TRIM(E237))=0,"",VLOOKUP(E237,Sheet2!$B$1:$E$19,2,FALSE))</f>
        <v>1073</v>
      </c>
      <c r="L237">
        <f>IF(LEN(TRIM(E237))=0,"",VLOOKUP(E237,Sheet2!$B$1:$E$19,3,FALSE))</f>
        <v>1108959</v>
      </c>
      <c r="M237">
        <f>IF(LEN(TRIM(E237))=0,"",VLOOKUP(E237,Sheet2!$B$1:$E$19,4,FALSE))+(F237-1)</f>
        <v>3780215</v>
      </c>
      <c r="N237"/>
      <c r="O237"/>
      <c r="P237"/>
      <c r="Q237"/>
    </row>
    <row r="238" spans="1:17" s="1" customFormat="1" ht="15" customHeight="1" x14ac:dyDescent="0.25">
      <c r="A238" s="28" t="s">
        <v>12</v>
      </c>
      <c r="B238" s="28" t="s">
        <v>2921</v>
      </c>
      <c r="C238" s="1">
        <v>1847</v>
      </c>
      <c r="D238" s="1" t="s">
        <v>2919</v>
      </c>
      <c r="E238" s="1">
        <v>998</v>
      </c>
      <c r="F238" s="28">
        <v>4</v>
      </c>
      <c r="G238" s="1">
        <v>2</v>
      </c>
      <c r="H238" s="1">
        <v>63</v>
      </c>
      <c r="I238" s="1">
        <v>60</v>
      </c>
      <c r="J238" t="str">
        <f t="shared" si="3"/>
        <v>http://www.badatelna.eu/reprodukce/?fondId=241&amp;zaznamId=1133738&amp;reproId=3885650</v>
      </c>
      <c r="K238">
        <f>IF(LEN(TRIM(E238))=0,"",VLOOKUP(E238,Sheet2!$B$1:$E$19,2,FALSE))</f>
        <v>241</v>
      </c>
      <c r="L238">
        <f>IF(LEN(TRIM(E238))=0,"",VLOOKUP(E238,Sheet2!$B$1:$E$19,3,FALSE))</f>
        <v>1133738</v>
      </c>
      <c r="M238">
        <f>IF(LEN(TRIM(E238))=0,"",VLOOKUP(E238,Sheet2!$B$1:$E$19,4,FALSE))+(F238-1)</f>
        <v>3885650</v>
      </c>
      <c r="N238"/>
      <c r="O238"/>
      <c r="P238"/>
      <c r="Q238"/>
    </row>
    <row r="239" spans="1:17" s="1" customFormat="1" ht="15" customHeight="1" x14ac:dyDescent="0.25">
      <c r="A239" s="27" t="s">
        <v>12</v>
      </c>
      <c r="B239" s="27" t="s">
        <v>482</v>
      </c>
      <c r="C239" s="5" t="s">
        <v>1081</v>
      </c>
      <c r="D239" s="3" t="s">
        <v>454</v>
      </c>
      <c r="E239" s="3">
        <v>2170</v>
      </c>
      <c r="F239" s="28">
        <v>42</v>
      </c>
      <c r="G239" s="10">
        <v>38</v>
      </c>
      <c r="H239" s="3">
        <v>61</v>
      </c>
      <c r="I239" s="3">
        <v>57</v>
      </c>
      <c r="J239" t="str">
        <f t="shared" si="3"/>
        <v>http://www.badatelna.eu/reprodukce/?fondId=1073&amp;zaznamId=1108956&amp;reproId=3779634</v>
      </c>
      <c r="K239">
        <f>IF(LEN(TRIM(E239))=0,"",VLOOKUP(E239,Sheet2!$B$1:$E$19,2,FALSE))</f>
        <v>1073</v>
      </c>
      <c r="L239">
        <f>IF(LEN(TRIM(E239))=0,"",VLOOKUP(E239,Sheet2!$B$1:$E$19,3,FALSE))</f>
        <v>1108956</v>
      </c>
      <c r="M239">
        <f>IF(LEN(TRIM(E239))=0,"",VLOOKUP(E239,Sheet2!$B$1:$E$19,4,FALSE))+(F239-1)</f>
        <v>3779634</v>
      </c>
    </row>
    <row r="240" spans="1:17" s="1" customFormat="1" ht="15" customHeight="1" x14ac:dyDescent="0.25">
      <c r="A240" s="28" t="s">
        <v>12</v>
      </c>
      <c r="B240" s="28" t="s">
        <v>424</v>
      </c>
      <c r="C240" s="1">
        <v>1849</v>
      </c>
      <c r="D240" s="1" t="s">
        <v>2919</v>
      </c>
      <c r="E240" s="1">
        <v>998</v>
      </c>
      <c r="F240" s="28">
        <v>25</v>
      </c>
      <c r="G240" s="1">
        <v>23</v>
      </c>
      <c r="H240" s="1">
        <v>63</v>
      </c>
      <c r="I240" s="1">
        <v>60</v>
      </c>
      <c r="J240" t="str">
        <f t="shared" si="3"/>
        <v>http://www.badatelna.eu/reprodukce/?fondId=241&amp;zaznamId=1133738&amp;reproId=3885671</v>
      </c>
      <c r="K240">
        <f>IF(LEN(TRIM(E240))=0,"",VLOOKUP(E240,Sheet2!$B$1:$E$19,2,FALSE))</f>
        <v>241</v>
      </c>
      <c r="L240">
        <f>IF(LEN(TRIM(E240))=0,"",VLOOKUP(E240,Sheet2!$B$1:$E$19,3,FALSE))</f>
        <v>1133738</v>
      </c>
      <c r="M240">
        <f>IF(LEN(TRIM(E240))=0,"",VLOOKUP(E240,Sheet2!$B$1:$E$19,4,FALSE))+(F240-1)</f>
        <v>3885671</v>
      </c>
    </row>
    <row r="241" spans="1:17" s="1" customFormat="1" ht="15" customHeight="1" x14ac:dyDescent="0.25">
      <c r="A241" s="28" t="s">
        <v>12</v>
      </c>
      <c r="B241" s="28" t="s">
        <v>424</v>
      </c>
      <c r="C241" s="1">
        <v>1866</v>
      </c>
      <c r="D241" s="1" t="s">
        <v>2919</v>
      </c>
      <c r="E241" s="1">
        <v>999</v>
      </c>
      <c r="F241" s="28">
        <v>90</v>
      </c>
      <c r="G241" s="1">
        <v>11</v>
      </c>
      <c r="H241" s="1">
        <v>95</v>
      </c>
      <c r="I241" s="1">
        <v>153</v>
      </c>
      <c r="J241" t="str">
        <f t="shared" si="3"/>
        <v>http://www.badatelna.eu/reprodukce/?fondId=241&amp;zaznamId=1133739&amp;reproId=3885819</v>
      </c>
      <c r="K241">
        <f>IF(LEN(TRIM(E241))=0,"",VLOOKUP(E241,Sheet2!$B$1:$E$19,2,FALSE))</f>
        <v>241</v>
      </c>
      <c r="L241">
        <f>IF(LEN(TRIM(E241))=0,"",VLOOKUP(E241,Sheet2!$B$1:$E$19,3,FALSE))</f>
        <v>1133739</v>
      </c>
      <c r="M241">
        <f>IF(LEN(TRIM(E241))=0,"",VLOOKUP(E241,Sheet2!$B$1:$E$19,4,FALSE))+(F241-1)</f>
        <v>3885819</v>
      </c>
      <c r="N241"/>
      <c r="O241"/>
      <c r="P241"/>
      <c r="Q241"/>
    </row>
    <row r="242" spans="1:17" s="1" customFormat="1" ht="15" customHeight="1" x14ac:dyDescent="0.25">
      <c r="A242" s="27" t="s">
        <v>12</v>
      </c>
      <c r="B242" s="27" t="s">
        <v>424</v>
      </c>
      <c r="C242" s="5" t="s">
        <v>1058</v>
      </c>
      <c r="D242" s="3" t="s">
        <v>454</v>
      </c>
      <c r="E242" s="3">
        <v>2170</v>
      </c>
      <c r="F242" s="28">
        <v>17</v>
      </c>
      <c r="G242" s="10">
        <v>13</v>
      </c>
      <c r="H242" s="3">
        <v>60</v>
      </c>
      <c r="I242" s="3">
        <v>56</v>
      </c>
      <c r="J242" t="str">
        <f t="shared" si="3"/>
        <v>http://www.badatelna.eu/reprodukce/?fondId=1073&amp;zaznamId=1108956&amp;reproId=3779609</v>
      </c>
      <c r="K242">
        <f>IF(LEN(TRIM(E242))=0,"",VLOOKUP(E242,Sheet2!$B$1:$E$19,2,FALSE))</f>
        <v>1073</v>
      </c>
      <c r="L242">
        <f>IF(LEN(TRIM(E242))=0,"",VLOOKUP(E242,Sheet2!$B$1:$E$19,3,FALSE))</f>
        <v>1108956</v>
      </c>
      <c r="M242">
        <f>IF(LEN(TRIM(E242))=0,"",VLOOKUP(E242,Sheet2!$B$1:$E$19,4,FALSE))+(F242-1)</f>
        <v>3779609</v>
      </c>
    </row>
    <row r="243" spans="1:17" s="1" customFormat="1" ht="15" customHeight="1" x14ac:dyDescent="0.25">
      <c r="A243" s="28" t="s">
        <v>12</v>
      </c>
      <c r="B243" s="28" t="s">
        <v>239</v>
      </c>
      <c r="C243" s="6" t="s">
        <v>2008</v>
      </c>
      <c r="D243" s="1" t="s">
        <v>454</v>
      </c>
      <c r="E243" s="1">
        <v>2173</v>
      </c>
      <c r="F243" s="28">
        <v>208</v>
      </c>
      <c r="G243" s="1">
        <v>25</v>
      </c>
      <c r="H243" s="1" t="s">
        <v>3073</v>
      </c>
      <c r="I243" s="1" t="s">
        <v>3073</v>
      </c>
      <c r="J243" t="str">
        <f t="shared" si="3"/>
        <v>http://www.badatelna.eu/reprodukce/?fondId=1073&amp;zaznamId=1108959&amp;reproId=3780201</v>
      </c>
      <c r="K243">
        <f>IF(LEN(TRIM(E243))=0,"",VLOOKUP(E243,Sheet2!$B$1:$E$19,2,FALSE))</f>
        <v>1073</v>
      </c>
      <c r="L243">
        <f>IF(LEN(TRIM(E243))=0,"",VLOOKUP(E243,Sheet2!$B$1:$E$19,3,FALSE))</f>
        <v>1108959</v>
      </c>
      <c r="M243">
        <f>IF(LEN(TRIM(E243))=0,"",VLOOKUP(E243,Sheet2!$B$1:$E$19,4,FALSE))+(F243-1)</f>
        <v>3780201</v>
      </c>
      <c r="N243"/>
      <c r="O243"/>
      <c r="P243"/>
      <c r="Q243"/>
    </row>
    <row r="244" spans="1:17" s="1" customFormat="1" ht="15" customHeight="1" x14ac:dyDescent="0.25">
      <c r="A244" s="28" t="s">
        <v>12</v>
      </c>
      <c r="B244" s="28" t="s">
        <v>483</v>
      </c>
      <c r="C244" s="1">
        <v>1851</v>
      </c>
      <c r="D244" s="1" t="s">
        <v>2919</v>
      </c>
      <c r="E244" s="1">
        <v>998</v>
      </c>
      <c r="F244" s="28">
        <v>32</v>
      </c>
      <c r="G244" s="1">
        <v>30</v>
      </c>
      <c r="H244" s="1">
        <v>63</v>
      </c>
      <c r="I244" s="1">
        <v>60</v>
      </c>
      <c r="J244" t="str">
        <f t="shared" si="3"/>
        <v>http://www.badatelna.eu/reprodukce/?fondId=241&amp;zaznamId=1133738&amp;reproId=3885678</v>
      </c>
      <c r="K244">
        <f>IF(LEN(TRIM(E244))=0,"",VLOOKUP(E244,Sheet2!$B$1:$E$19,2,FALSE))</f>
        <v>241</v>
      </c>
      <c r="L244">
        <f>IF(LEN(TRIM(E244))=0,"",VLOOKUP(E244,Sheet2!$B$1:$E$19,3,FALSE))</f>
        <v>1133738</v>
      </c>
      <c r="M244">
        <f>IF(LEN(TRIM(E244))=0,"",VLOOKUP(E244,Sheet2!$B$1:$E$19,4,FALSE))+(F244-1)</f>
        <v>3885678</v>
      </c>
    </row>
    <row r="245" spans="1:17" s="1" customFormat="1" ht="15" customHeight="1" x14ac:dyDescent="0.25">
      <c r="A245" s="28" t="s">
        <v>12</v>
      </c>
      <c r="B245" s="28" t="s">
        <v>483</v>
      </c>
      <c r="C245" s="1">
        <v>1865</v>
      </c>
      <c r="D245" s="1" t="s">
        <v>2919</v>
      </c>
      <c r="E245" s="1">
        <v>999</v>
      </c>
      <c r="F245" s="28">
        <v>87</v>
      </c>
      <c r="G245" s="1">
        <v>8</v>
      </c>
      <c r="H245" s="1">
        <v>95</v>
      </c>
      <c r="I245" s="1">
        <v>153</v>
      </c>
      <c r="J245" t="str">
        <f t="shared" si="3"/>
        <v>http://www.badatelna.eu/reprodukce/?fondId=241&amp;zaznamId=1133739&amp;reproId=3885816</v>
      </c>
      <c r="K245">
        <f>IF(LEN(TRIM(E245))=0,"",VLOOKUP(E245,Sheet2!$B$1:$E$19,2,FALSE))</f>
        <v>241</v>
      </c>
      <c r="L245">
        <f>IF(LEN(TRIM(E245))=0,"",VLOOKUP(E245,Sheet2!$B$1:$E$19,3,FALSE))</f>
        <v>1133739</v>
      </c>
      <c r="M245">
        <f>IF(LEN(TRIM(E245))=0,"",VLOOKUP(E245,Sheet2!$B$1:$E$19,4,FALSE))+(F245-1)</f>
        <v>3885816</v>
      </c>
    </row>
    <row r="246" spans="1:17" s="1" customFormat="1" ht="15" customHeight="1" x14ac:dyDescent="0.25">
      <c r="A246" s="27" t="s">
        <v>12</v>
      </c>
      <c r="B246" s="27" t="s">
        <v>483</v>
      </c>
      <c r="C246" s="5" t="s">
        <v>1057</v>
      </c>
      <c r="D246" s="3" t="s">
        <v>454</v>
      </c>
      <c r="E246" s="3">
        <v>2170</v>
      </c>
      <c r="F246" s="28">
        <v>13</v>
      </c>
      <c r="G246" s="10">
        <v>9</v>
      </c>
      <c r="H246" s="3">
        <v>60</v>
      </c>
      <c r="I246" s="3">
        <v>56</v>
      </c>
      <c r="J246" t="str">
        <f t="shared" si="3"/>
        <v>http://www.badatelna.eu/reprodukce/?fondId=1073&amp;zaznamId=1108956&amp;reproId=3779605</v>
      </c>
      <c r="K246">
        <f>IF(LEN(TRIM(E246))=0,"",VLOOKUP(E246,Sheet2!$B$1:$E$19,2,FALSE))</f>
        <v>1073</v>
      </c>
      <c r="L246">
        <f>IF(LEN(TRIM(E246))=0,"",VLOOKUP(E246,Sheet2!$B$1:$E$19,3,FALSE))</f>
        <v>1108956</v>
      </c>
      <c r="M246">
        <f>IF(LEN(TRIM(E246))=0,"",VLOOKUP(E246,Sheet2!$B$1:$E$19,4,FALSE))+(F246-1)</f>
        <v>3779605</v>
      </c>
    </row>
    <row r="247" spans="1:17" s="1" customFormat="1" ht="15" customHeight="1" x14ac:dyDescent="0.25">
      <c r="A247" s="28" t="s">
        <v>12</v>
      </c>
      <c r="B247" s="28" t="s">
        <v>405</v>
      </c>
      <c r="C247" s="6" t="s">
        <v>2623</v>
      </c>
      <c r="D247" s="1" t="s">
        <v>454</v>
      </c>
      <c r="E247" s="1">
        <v>2173</v>
      </c>
      <c r="F247" s="28">
        <v>220</v>
      </c>
      <c r="G247" s="9">
        <v>48</v>
      </c>
      <c r="H247" s="1" t="s">
        <v>3073</v>
      </c>
      <c r="I247" s="1" t="s">
        <v>3073</v>
      </c>
      <c r="J247" t="str">
        <f t="shared" si="3"/>
        <v>http://www.badatelna.eu/reprodukce/?fondId=1073&amp;zaznamId=1108959&amp;reproId=3780213</v>
      </c>
      <c r="K247">
        <f>IF(LEN(TRIM(E247))=0,"",VLOOKUP(E247,Sheet2!$B$1:$E$19,2,FALSE))</f>
        <v>1073</v>
      </c>
      <c r="L247">
        <f>IF(LEN(TRIM(E247))=0,"",VLOOKUP(E247,Sheet2!$B$1:$E$19,3,FALSE))</f>
        <v>1108959</v>
      </c>
      <c r="M247">
        <f>IF(LEN(TRIM(E247))=0,"",VLOOKUP(E247,Sheet2!$B$1:$E$19,4,FALSE))+(F247-1)</f>
        <v>3780213</v>
      </c>
    </row>
    <row r="248" spans="1:17" s="1" customFormat="1" ht="15" customHeight="1" x14ac:dyDescent="0.25">
      <c r="A248" s="28" t="s">
        <v>12</v>
      </c>
      <c r="B248" s="28" t="s">
        <v>135</v>
      </c>
      <c r="C248" s="6" t="s">
        <v>2666</v>
      </c>
      <c r="D248" s="1" t="s">
        <v>454</v>
      </c>
      <c r="E248" s="1">
        <v>2173</v>
      </c>
      <c r="F248" s="28">
        <v>223</v>
      </c>
      <c r="G248" s="9">
        <v>52</v>
      </c>
      <c r="H248" s="1" t="s">
        <v>3073</v>
      </c>
      <c r="I248" s="1" t="s">
        <v>3073</v>
      </c>
      <c r="J248" t="str">
        <f t="shared" si="3"/>
        <v>http://www.badatelna.eu/reprodukce/?fondId=1073&amp;zaznamId=1108959&amp;reproId=3780216</v>
      </c>
      <c r="K248">
        <f>IF(LEN(TRIM(E248))=0,"",VLOOKUP(E248,Sheet2!$B$1:$E$19,2,FALSE))</f>
        <v>1073</v>
      </c>
      <c r="L248">
        <f>IF(LEN(TRIM(E248))=0,"",VLOOKUP(E248,Sheet2!$B$1:$E$19,3,FALSE))</f>
        <v>1108959</v>
      </c>
      <c r="M248">
        <f>IF(LEN(TRIM(E248))=0,"",VLOOKUP(E248,Sheet2!$B$1:$E$19,4,FALSE))+(F248-1)</f>
        <v>3780216</v>
      </c>
    </row>
    <row r="249" spans="1:17" s="1" customFormat="1" ht="15" customHeight="1" x14ac:dyDescent="0.25">
      <c r="A249" s="28" t="s">
        <v>12</v>
      </c>
      <c r="B249" s="28" t="s">
        <v>413</v>
      </c>
      <c r="C249" s="6" t="s">
        <v>414</v>
      </c>
      <c r="D249" s="1" t="s">
        <v>454</v>
      </c>
      <c r="E249" s="1">
        <v>2173</v>
      </c>
      <c r="F249" s="28">
        <v>222</v>
      </c>
      <c r="G249" s="9">
        <v>50</v>
      </c>
      <c r="H249" s="1" t="s">
        <v>3073</v>
      </c>
      <c r="I249" s="1" t="s">
        <v>3073</v>
      </c>
      <c r="J249" t="str">
        <f t="shared" si="3"/>
        <v>http://www.badatelna.eu/reprodukce/?fondId=1073&amp;zaznamId=1108959&amp;reproId=3780215</v>
      </c>
      <c r="K249">
        <f>IF(LEN(TRIM(E249))=0,"",VLOOKUP(E249,Sheet2!$B$1:$E$19,2,FALSE))</f>
        <v>1073</v>
      </c>
      <c r="L249">
        <f>IF(LEN(TRIM(E249))=0,"",VLOOKUP(E249,Sheet2!$B$1:$E$19,3,FALSE))</f>
        <v>1108959</v>
      </c>
      <c r="M249">
        <f>IF(LEN(TRIM(E249))=0,"",VLOOKUP(E249,Sheet2!$B$1:$E$19,4,FALSE))+(F249-1)</f>
        <v>3780215</v>
      </c>
    </row>
    <row r="250" spans="1:17" s="1" customFormat="1" ht="15" customHeight="1" x14ac:dyDescent="0.25">
      <c r="A250" s="28" t="s">
        <v>12</v>
      </c>
      <c r="B250" s="28" t="s">
        <v>173</v>
      </c>
      <c r="C250" s="6" t="s">
        <v>2396</v>
      </c>
      <c r="D250" s="1" t="s">
        <v>454</v>
      </c>
      <c r="E250" s="1">
        <v>2173</v>
      </c>
      <c r="F250" s="28">
        <v>202</v>
      </c>
      <c r="G250" s="9">
        <v>14</v>
      </c>
      <c r="H250" s="1" t="s">
        <v>3073</v>
      </c>
      <c r="I250" s="1" t="s">
        <v>3073</v>
      </c>
      <c r="J250" t="str">
        <f t="shared" si="3"/>
        <v>http://www.badatelna.eu/reprodukce/?fondId=1073&amp;zaznamId=1108959&amp;reproId=3780195</v>
      </c>
      <c r="K250">
        <f>IF(LEN(TRIM(E250))=0,"",VLOOKUP(E250,Sheet2!$B$1:$E$19,2,FALSE))</f>
        <v>1073</v>
      </c>
      <c r="L250">
        <f>IF(LEN(TRIM(E250))=0,"",VLOOKUP(E250,Sheet2!$B$1:$E$19,3,FALSE))</f>
        <v>1108959</v>
      </c>
      <c r="M250">
        <f>IF(LEN(TRIM(E250))=0,"",VLOOKUP(E250,Sheet2!$B$1:$E$19,4,FALSE))+(F250-1)</f>
        <v>3780195</v>
      </c>
    </row>
    <row r="251" spans="1:17" s="1" customFormat="1" ht="15" customHeight="1" x14ac:dyDescent="0.25">
      <c r="A251" s="28" t="s">
        <v>12</v>
      </c>
      <c r="B251" s="28" t="s">
        <v>7</v>
      </c>
      <c r="C251" s="6" t="s">
        <v>1992</v>
      </c>
      <c r="D251" s="1" t="s">
        <v>454</v>
      </c>
      <c r="E251" s="1">
        <v>2173</v>
      </c>
      <c r="F251" s="28">
        <v>180</v>
      </c>
      <c r="G251" s="9">
        <v>6</v>
      </c>
      <c r="H251" s="1">
        <v>185</v>
      </c>
      <c r="I251" s="1">
        <v>412</v>
      </c>
      <c r="J251" t="str">
        <f t="shared" si="3"/>
        <v>http://www.badatelna.eu/reprodukce/?fondId=1073&amp;zaznamId=1108959&amp;reproId=3780173</v>
      </c>
      <c r="K251">
        <f>IF(LEN(TRIM(E251))=0,"",VLOOKUP(E251,Sheet2!$B$1:$E$19,2,FALSE))</f>
        <v>1073</v>
      </c>
      <c r="L251">
        <f>IF(LEN(TRIM(E251))=0,"",VLOOKUP(E251,Sheet2!$B$1:$E$19,3,FALSE))</f>
        <v>1108959</v>
      </c>
      <c r="M251">
        <f>IF(LEN(TRIM(E251))=0,"",VLOOKUP(E251,Sheet2!$B$1:$E$19,4,FALSE))+(F251-1)</f>
        <v>3780173</v>
      </c>
    </row>
    <row r="252" spans="1:17" s="1" customFormat="1" ht="15" customHeight="1" x14ac:dyDescent="0.25">
      <c r="A252" s="28" t="s">
        <v>12</v>
      </c>
      <c r="B252" s="28" t="s">
        <v>484</v>
      </c>
      <c r="C252" s="1">
        <v>1866</v>
      </c>
      <c r="D252" s="1" t="s">
        <v>2919</v>
      </c>
      <c r="E252" s="1">
        <v>999</v>
      </c>
      <c r="F252" s="28">
        <v>92</v>
      </c>
      <c r="G252" s="1">
        <v>13</v>
      </c>
      <c r="H252" s="1">
        <v>95</v>
      </c>
      <c r="I252" s="1">
        <v>153</v>
      </c>
      <c r="J252" t="str">
        <f t="shared" si="3"/>
        <v>http://www.badatelna.eu/reprodukce/?fondId=241&amp;zaznamId=1133739&amp;reproId=3885821</v>
      </c>
      <c r="K252">
        <f>IF(LEN(TRIM(E252))=0,"",VLOOKUP(E252,Sheet2!$B$1:$E$19,2,FALSE))</f>
        <v>241</v>
      </c>
      <c r="L252">
        <f>IF(LEN(TRIM(E252))=0,"",VLOOKUP(E252,Sheet2!$B$1:$E$19,3,FALSE))</f>
        <v>1133739</v>
      </c>
      <c r="M252">
        <f>IF(LEN(TRIM(E252))=0,"",VLOOKUP(E252,Sheet2!$B$1:$E$19,4,FALSE))+(F252-1)</f>
        <v>3885821</v>
      </c>
    </row>
    <row r="253" spans="1:17" s="1" customFormat="1" ht="15" customHeight="1" x14ac:dyDescent="0.25">
      <c r="A253" s="27" t="s">
        <v>12</v>
      </c>
      <c r="B253" s="27" t="s">
        <v>484</v>
      </c>
      <c r="C253" s="5" t="s">
        <v>1074</v>
      </c>
      <c r="D253" s="3" t="s">
        <v>454</v>
      </c>
      <c r="E253" s="3">
        <v>2170</v>
      </c>
      <c r="F253" s="28">
        <v>20</v>
      </c>
      <c r="G253" s="10">
        <v>16</v>
      </c>
      <c r="H253" s="3">
        <v>61</v>
      </c>
      <c r="I253" s="3">
        <v>57</v>
      </c>
      <c r="J253" t="str">
        <f t="shared" si="3"/>
        <v>http://www.badatelna.eu/reprodukce/?fondId=1073&amp;zaznamId=1108956&amp;reproId=3779612</v>
      </c>
      <c r="K253">
        <f>IF(LEN(TRIM(E253))=0,"",VLOOKUP(E253,Sheet2!$B$1:$E$19,2,FALSE))</f>
        <v>1073</v>
      </c>
      <c r="L253">
        <f>IF(LEN(TRIM(E253))=0,"",VLOOKUP(E253,Sheet2!$B$1:$E$19,3,FALSE))</f>
        <v>1108956</v>
      </c>
      <c r="M253">
        <f>IF(LEN(TRIM(E253))=0,"",VLOOKUP(E253,Sheet2!$B$1:$E$19,4,FALSE))+(F253-1)</f>
        <v>3779612</v>
      </c>
    </row>
    <row r="254" spans="1:17" s="1" customFormat="1" ht="15" customHeight="1" x14ac:dyDescent="0.25">
      <c r="A254" s="28" t="s">
        <v>12</v>
      </c>
      <c r="B254" s="28" t="s">
        <v>475</v>
      </c>
      <c r="C254" s="1">
        <v>1861</v>
      </c>
      <c r="D254" s="1" t="s">
        <v>2919</v>
      </c>
      <c r="E254" s="1">
        <v>998</v>
      </c>
      <c r="F254" s="28">
        <v>60</v>
      </c>
      <c r="G254" s="1">
        <v>57</v>
      </c>
      <c r="H254" s="1">
        <v>64</v>
      </c>
      <c r="I254" s="1">
        <v>61</v>
      </c>
      <c r="J254" t="str">
        <f t="shared" si="3"/>
        <v>http://www.badatelna.eu/reprodukce/?fondId=241&amp;zaznamId=1133738&amp;reproId=3885706</v>
      </c>
      <c r="K254">
        <f>IF(LEN(TRIM(E254))=0,"",VLOOKUP(E254,Sheet2!$B$1:$E$19,2,FALSE))</f>
        <v>241</v>
      </c>
      <c r="L254">
        <f>IF(LEN(TRIM(E254))=0,"",VLOOKUP(E254,Sheet2!$B$1:$E$19,3,FALSE))</f>
        <v>1133738</v>
      </c>
      <c r="M254">
        <f>IF(LEN(TRIM(E254))=0,"",VLOOKUP(E254,Sheet2!$B$1:$E$19,4,FALSE))+(F254-1)</f>
        <v>3885706</v>
      </c>
      <c r="N254"/>
      <c r="O254"/>
      <c r="P254"/>
      <c r="Q254"/>
    </row>
    <row r="255" spans="1:17" s="1" customFormat="1" ht="15" customHeight="1" x14ac:dyDescent="0.25">
      <c r="A255" s="28" t="s">
        <v>12</v>
      </c>
      <c r="B255" s="28" t="s">
        <v>775</v>
      </c>
      <c r="C255" s="6" t="s">
        <v>1731</v>
      </c>
      <c r="D255" s="1" t="s">
        <v>454</v>
      </c>
      <c r="E255" s="1">
        <v>2172</v>
      </c>
      <c r="F255" s="28">
        <v>128</v>
      </c>
      <c r="G255" s="9" t="s">
        <v>2779</v>
      </c>
      <c r="H255" s="1">
        <v>132</v>
      </c>
      <c r="I255" s="1">
        <v>131</v>
      </c>
      <c r="J255" t="str">
        <f t="shared" si="3"/>
        <v>http://www.badatelna.eu/reprodukce/?fondId=1073&amp;zaznamId=1108958&amp;reproId=3779869</v>
      </c>
      <c r="K255">
        <f>IF(LEN(TRIM(E255))=0,"",VLOOKUP(E255,Sheet2!$B$1:$E$19,2,FALSE))</f>
        <v>1073</v>
      </c>
      <c r="L255">
        <f>IF(LEN(TRIM(E255))=0,"",VLOOKUP(E255,Sheet2!$B$1:$E$19,3,FALSE))</f>
        <v>1108958</v>
      </c>
      <c r="M255">
        <f>IF(LEN(TRIM(E255))=0,"",VLOOKUP(E255,Sheet2!$B$1:$E$19,4,FALSE))+(F255-1)</f>
        <v>3779869</v>
      </c>
    </row>
    <row r="256" spans="1:17" s="1" customFormat="1" ht="15" customHeight="1" x14ac:dyDescent="0.25">
      <c r="A256" s="27" t="s">
        <v>12</v>
      </c>
      <c r="B256" s="27" t="s">
        <v>343</v>
      </c>
      <c r="C256" s="5" t="s">
        <v>1063</v>
      </c>
      <c r="D256" s="3" t="s">
        <v>454</v>
      </c>
      <c r="E256" s="3">
        <v>2171</v>
      </c>
      <c r="F256" s="28">
        <v>5</v>
      </c>
      <c r="G256" s="10">
        <v>2</v>
      </c>
      <c r="H256" s="3">
        <v>41</v>
      </c>
      <c r="I256" s="3">
        <v>32</v>
      </c>
      <c r="J256" t="str">
        <f t="shared" si="3"/>
        <v>http://www.badatelna.eu/reprodukce/?fondId=1073&amp;zaznamId=1108957&amp;reproId=3779672</v>
      </c>
      <c r="K256">
        <f>IF(LEN(TRIM(E256))=0,"",VLOOKUP(E256,Sheet2!$B$1:$E$19,2,FALSE))</f>
        <v>1073</v>
      </c>
      <c r="L256">
        <f>IF(LEN(TRIM(E256))=0,"",VLOOKUP(E256,Sheet2!$B$1:$E$19,3,FALSE))</f>
        <v>1108957</v>
      </c>
      <c r="M256">
        <f>IF(LEN(TRIM(E256))=0,"",VLOOKUP(E256,Sheet2!$B$1:$E$19,4,FALSE))+(F256-1)</f>
        <v>3779672</v>
      </c>
    </row>
    <row r="257" spans="1:17" s="1" customFormat="1" ht="15" customHeight="1" x14ac:dyDescent="0.25">
      <c r="A257" s="28" t="s">
        <v>12</v>
      </c>
      <c r="B257" s="28" t="s">
        <v>328</v>
      </c>
      <c r="C257" s="1">
        <v>1855</v>
      </c>
      <c r="D257" s="1" t="s">
        <v>2919</v>
      </c>
      <c r="E257" s="1">
        <v>998</v>
      </c>
      <c r="F257" s="28">
        <v>45</v>
      </c>
      <c r="G257" s="1">
        <v>43</v>
      </c>
      <c r="H257" s="1">
        <v>63</v>
      </c>
      <c r="I257" s="1">
        <v>60</v>
      </c>
      <c r="J257" t="str">
        <f t="shared" si="3"/>
        <v>http://www.badatelna.eu/reprodukce/?fondId=241&amp;zaznamId=1133738&amp;reproId=3885691</v>
      </c>
      <c r="K257">
        <f>IF(LEN(TRIM(E257))=0,"",VLOOKUP(E257,Sheet2!$B$1:$E$19,2,FALSE))</f>
        <v>241</v>
      </c>
      <c r="L257">
        <f>IF(LEN(TRIM(E257))=0,"",VLOOKUP(E257,Sheet2!$B$1:$E$19,3,FALSE))</f>
        <v>1133738</v>
      </c>
      <c r="M257">
        <f>IF(LEN(TRIM(E257))=0,"",VLOOKUP(E257,Sheet2!$B$1:$E$19,4,FALSE))+(F257-1)</f>
        <v>3885691</v>
      </c>
    </row>
    <row r="258" spans="1:17" s="1" customFormat="1" ht="15" customHeight="1" x14ac:dyDescent="0.25">
      <c r="A258" s="28" t="s">
        <v>12</v>
      </c>
      <c r="B258" s="29" t="s">
        <v>2927</v>
      </c>
      <c r="C258" s="1">
        <v>1849</v>
      </c>
      <c r="D258" s="1" t="s">
        <v>2919</v>
      </c>
      <c r="E258" s="1">
        <v>998</v>
      </c>
      <c r="F258" s="28">
        <v>23</v>
      </c>
      <c r="G258" s="1">
        <v>21</v>
      </c>
      <c r="H258" s="1">
        <v>63</v>
      </c>
      <c r="I258" s="1">
        <v>60</v>
      </c>
      <c r="J258" t="str">
        <f t="shared" si="3"/>
        <v>http://www.badatelna.eu/reprodukce/?fondId=241&amp;zaznamId=1133738&amp;reproId=3885669</v>
      </c>
      <c r="K258">
        <f>IF(LEN(TRIM(E258))=0,"",VLOOKUP(E258,Sheet2!$B$1:$E$19,2,FALSE))</f>
        <v>241</v>
      </c>
      <c r="L258">
        <f>IF(LEN(TRIM(E258))=0,"",VLOOKUP(E258,Sheet2!$B$1:$E$19,3,FALSE))</f>
        <v>1133738</v>
      </c>
      <c r="M258">
        <f>IF(LEN(TRIM(E258))=0,"",VLOOKUP(E258,Sheet2!$B$1:$E$19,4,FALSE))+(F258-1)</f>
        <v>3885669</v>
      </c>
    </row>
    <row r="259" spans="1:17" s="1" customFormat="1" ht="15" customHeight="1" x14ac:dyDescent="0.25">
      <c r="A259" s="28" t="s">
        <v>12</v>
      </c>
      <c r="B259" s="28" t="s">
        <v>283</v>
      </c>
      <c r="C259" s="1">
        <v>1857</v>
      </c>
      <c r="D259" s="1" t="s">
        <v>2919</v>
      </c>
      <c r="E259" s="1">
        <v>998</v>
      </c>
      <c r="F259" s="28">
        <v>51</v>
      </c>
      <c r="G259" s="1">
        <v>49</v>
      </c>
      <c r="H259" s="1">
        <v>64</v>
      </c>
      <c r="I259" s="1">
        <v>61</v>
      </c>
      <c r="J259" t="str">
        <f t="shared" ref="J259:J322" si="4">IF(LEN(TRIM(E259))=0,"","http://www.badatelna.eu/reprodukce/?fondId="&amp;K259&amp;"&amp;zaznamId="&amp;L259&amp;"&amp;reproId="&amp;M259)</f>
        <v>http://www.badatelna.eu/reprodukce/?fondId=241&amp;zaznamId=1133738&amp;reproId=3885697</v>
      </c>
      <c r="K259">
        <f>IF(LEN(TRIM(E259))=0,"",VLOOKUP(E259,Sheet2!$B$1:$E$19,2,FALSE))</f>
        <v>241</v>
      </c>
      <c r="L259">
        <f>IF(LEN(TRIM(E259))=0,"",VLOOKUP(E259,Sheet2!$B$1:$E$19,3,FALSE))</f>
        <v>1133738</v>
      </c>
      <c r="M259">
        <f>IF(LEN(TRIM(E259))=0,"",VLOOKUP(E259,Sheet2!$B$1:$E$19,4,FALSE))+(F259-1)</f>
        <v>3885697</v>
      </c>
    </row>
    <row r="260" spans="1:17" s="1" customFormat="1" ht="15" customHeight="1" x14ac:dyDescent="0.25">
      <c r="A260" s="27" t="s">
        <v>12</v>
      </c>
      <c r="B260" s="27" t="s">
        <v>485</v>
      </c>
      <c r="C260" s="5" t="s">
        <v>1080</v>
      </c>
      <c r="D260" s="3" t="s">
        <v>454</v>
      </c>
      <c r="E260" s="3">
        <v>2170</v>
      </c>
      <c r="F260" s="28">
        <v>22</v>
      </c>
      <c r="G260" s="10">
        <v>18</v>
      </c>
      <c r="H260" s="3">
        <v>61</v>
      </c>
      <c r="I260" s="3">
        <v>57</v>
      </c>
      <c r="J260" t="str">
        <f t="shared" si="4"/>
        <v>http://www.badatelna.eu/reprodukce/?fondId=1073&amp;zaznamId=1108956&amp;reproId=3779614</v>
      </c>
      <c r="K260">
        <f>IF(LEN(TRIM(E260))=0,"",VLOOKUP(E260,Sheet2!$B$1:$E$19,2,FALSE))</f>
        <v>1073</v>
      </c>
      <c r="L260">
        <f>IF(LEN(TRIM(E260))=0,"",VLOOKUP(E260,Sheet2!$B$1:$E$19,3,FALSE))</f>
        <v>1108956</v>
      </c>
      <c r="M260">
        <f>IF(LEN(TRIM(E260))=0,"",VLOOKUP(E260,Sheet2!$B$1:$E$19,4,FALSE))+(F260-1)</f>
        <v>3779614</v>
      </c>
    </row>
    <row r="261" spans="1:17" s="1" customFormat="1" ht="15" customHeight="1" x14ac:dyDescent="0.25">
      <c r="A261" s="28" t="s">
        <v>12</v>
      </c>
      <c r="B261" s="28" t="s">
        <v>254</v>
      </c>
      <c r="C261" s="1">
        <v>1885</v>
      </c>
      <c r="D261" s="1" t="s">
        <v>454</v>
      </c>
      <c r="E261" s="1">
        <v>2172</v>
      </c>
      <c r="F261" s="28">
        <v>48</v>
      </c>
      <c r="G261" s="9">
        <v>47</v>
      </c>
      <c r="H261" s="1">
        <v>48</v>
      </c>
      <c r="I261" s="1">
        <v>49</v>
      </c>
      <c r="J261" t="str">
        <f t="shared" si="4"/>
        <v>http://www.badatelna.eu/reprodukce/?fondId=1073&amp;zaznamId=1108958&amp;reproId=3779789</v>
      </c>
      <c r="K261">
        <f>IF(LEN(TRIM(E261))=0,"",VLOOKUP(E261,Sheet2!$B$1:$E$19,2,FALSE))</f>
        <v>1073</v>
      </c>
      <c r="L261">
        <f>IF(LEN(TRIM(E261))=0,"",VLOOKUP(E261,Sheet2!$B$1:$E$19,3,FALSE))</f>
        <v>1108958</v>
      </c>
      <c r="M261">
        <f>IF(LEN(TRIM(E261))=0,"",VLOOKUP(E261,Sheet2!$B$1:$E$19,4,FALSE))+(F261-1)</f>
        <v>3779789</v>
      </c>
    </row>
    <row r="262" spans="1:17" s="1" customFormat="1" ht="15" customHeight="1" x14ac:dyDescent="0.25">
      <c r="A262" s="28" t="s">
        <v>12</v>
      </c>
      <c r="B262" s="28" t="s">
        <v>253</v>
      </c>
      <c r="C262" s="6" t="s">
        <v>2005</v>
      </c>
      <c r="D262" s="1" t="s">
        <v>454</v>
      </c>
      <c r="E262" s="1">
        <v>2173</v>
      </c>
      <c r="F262" s="28">
        <v>178</v>
      </c>
      <c r="G262" s="9">
        <v>3</v>
      </c>
      <c r="H262" s="1">
        <v>185</v>
      </c>
      <c r="I262" s="1">
        <v>412</v>
      </c>
      <c r="J262" t="str">
        <f t="shared" si="4"/>
        <v>http://www.badatelna.eu/reprodukce/?fondId=1073&amp;zaznamId=1108959&amp;reproId=3780171</v>
      </c>
      <c r="K262">
        <f>IF(LEN(TRIM(E262))=0,"",VLOOKUP(E262,Sheet2!$B$1:$E$19,2,FALSE))</f>
        <v>1073</v>
      </c>
      <c r="L262">
        <f>IF(LEN(TRIM(E262))=0,"",VLOOKUP(E262,Sheet2!$B$1:$E$19,3,FALSE))</f>
        <v>1108959</v>
      </c>
      <c r="M262">
        <f>IF(LEN(TRIM(E262))=0,"",VLOOKUP(E262,Sheet2!$B$1:$E$19,4,FALSE))+(F262-1)</f>
        <v>3780171</v>
      </c>
    </row>
    <row r="263" spans="1:17" s="1" customFormat="1" ht="15" customHeight="1" x14ac:dyDescent="0.25">
      <c r="A263" s="28" t="s">
        <v>12</v>
      </c>
      <c r="B263" s="28" t="s">
        <v>76</v>
      </c>
      <c r="C263" s="6" t="s">
        <v>1995</v>
      </c>
      <c r="D263" s="1" t="s">
        <v>454</v>
      </c>
      <c r="E263" s="1">
        <v>2173</v>
      </c>
      <c r="F263" s="28">
        <v>179</v>
      </c>
      <c r="G263" s="9">
        <v>5</v>
      </c>
      <c r="H263" s="1">
        <v>185</v>
      </c>
      <c r="I263" s="1">
        <v>412</v>
      </c>
      <c r="J263" t="str">
        <f t="shared" si="4"/>
        <v>http://www.badatelna.eu/reprodukce/?fondId=1073&amp;zaznamId=1108959&amp;reproId=3780172</v>
      </c>
      <c r="K263">
        <f>IF(LEN(TRIM(E263))=0,"",VLOOKUP(E263,Sheet2!$B$1:$E$19,2,FALSE))</f>
        <v>1073</v>
      </c>
      <c r="L263">
        <f>IF(LEN(TRIM(E263))=0,"",VLOOKUP(E263,Sheet2!$B$1:$E$19,3,FALSE))</f>
        <v>1108959</v>
      </c>
      <c r="M263">
        <f>IF(LEN(TRIM(E263))=0,"",VLOOKUP(E263,Sheet2!$B$1:$E$19,4,FALSE))+(F263-1)</f>
        <v>3780172</v>
      </c>
    </row>
    <row r="264" spans="1:17" s="1" customFormat="1" ht="15" customHeight="1" x14ac:dyDescent="0.25">
      <c r="A264" s="28" t="s">
        <v>12</v>
      </c>
      <c r="B264" s="29" t="s">
        <v>2936</v>
      </c>
      <c r="C264" s="1">
        <v>1854</v>
      </c>
      <c r="D264" s="1" t="s">
        <v>2919</v>
      </c>
      <c r="E264" s="1">
        <v>998</v>
      </c>
      <c r="F264" s="28">
        <v>40</v>
      </c>
      <c r="G264" s="1">
        <v>38</v>
      </c>
      <c r="H264" s="1">
        <v>63</v>
      </c>
      <c r="I264" s="1">
        <v>60</v>
      </c>
      <c r="J264" t="str">
        <f t="shared" si="4"/>
        <v>http://www.badatelna.eu/reprodukce/?fondId=241&amp;zaznamId=1133738&amp;reproId=3885686</v>
      </c>
      <c r="K264">
        <f>IF(LEN(TRIM(E264))=0,"",VLOOKUP(E264,Sheet2!$B$1:$E$19,2,FALSE))</f>
        <v>241</v>
      </c>
      <c r="L264">
        <f>IF(LEN(TRIM(E264))=0,"",VLOOKUP(E264,Sheet2!$B$1:$E$19,3,FALSE))</f>
        <v>1133738</v>
      </c>
      <c r="M264">
        <f>IF(LEN(TRIM(E264))=0,"",VLOOKUP(E264,Sheet2!$B$1:$E$19,4,FALSE))+(F264-1)</f>
        <v>3885686</v>
      </c>
    </row>
    <row r="265" spans="1:17" s="1" customFormat="1" ht="15" customHeight="1" x14ac:dyDescent="0.25">
      <c r="A265" s="28" t="s">
        <v>12</v>
      </c>
      <c r="B265" s="28" t="s">
        <v>469</v>
      </c>
      <c r="C265" s="1">
        <v>1854</v>
      </c>
      <c r="D265" s="1" t="s">
        <v>2919</v>
      </c>
      <c r="E265" s="1">
        <v>998</v>
      </c>
      <c r="F265" s="28">
        <v>42</v>
      </c>
      <c r="G265" s="1">
        <v>40</v>
      </c>
      <c r="H265" s="1">
        <v>63</v>
      </c>
      <c r="I265" s="1">
        <v>60</v>
      </c>
      <c r="J265" t="str">
        <f t="shared" si="4"/>
        <v>http://www.badatelna.eu/reprodukce/?fondId=241&amp;zaznamId=1133738&amp;reproId=3885688</v>
      </c>
      <c r="K265">
        <f>IF(LEN(TRIM(E265))=0,"",VLOOKUP(E265,Sheet2!$B$1:$E$19,2,FALSE))</f>
        <v>241</v>
      </c>
      <c r="L265">
        <f>IF(LEN(TRIM(E265))=0,"",VLOOKUP(E265,Sheet2!$B$1:$E$19,3,FALSE))</f>
        <v>1133738</v>
      </c>
      <c r="M265">
        <f>IF(LEN(TRIM(E265))=0,"",VLOOKUP(E265,Sheet2!$B$1:$E$19,4,FALSE))+(F265-1)</f>
        <v>3885688</v>
      </c>
      <c r="N265"/>
      <c r="O265"/>
      <c r="P265"/>
      <c r="Q265"/>
    </row>
    <row r="266" spans="1:17" s="1" customFormat="1" ht="15" customHeight="1" x14ac:dyDescent="0.25">
      <c r="A266" s="28" t="s">
        <v>12</v>
      </c>
      <c r="B266" s="28" t="s">
        <v>21</v>
      </c>
      <c r="C266" s="6" t="s">
        <v>1989</v>
      </c>
      <c r="D266" s="1" t="s">
        <v>454</v>
      </c>
      <c r="E266" s="1">
        <v>2173</v>
      </c>
      <c r="F266" s="28">
        <v>213</v>
      </c>
      <c r="G266" s="9" t="s">
        <v>2915</v>
      </c>
      <c r="H266" s="1" t="s">
        <v>3073</v>
      </c>
      <c r="I266" s="1" t="s">
        <v>3073</v>
      </c>
      <c r="J266" t="str">
        <f t="shared" si="4"/>
        <v>http://www.badatelna.eu/reprodukce/?fondId=1073&amp;zaznamId=1108959&amp;reproId=3780206</v>
      </c>
      <c r="K266">
        <f>IF(LEN(TRIM(E266))=0,"",VLOOKUP(E266,Sheet2!$B$1:$E$19,2,FALSE))</f>
        <v>1073</v>
      </c>
      <c r="L266">
        <f>IF(LEN(TRIM(E266))=0,"",VLOOKUP(E266,Sheet2!$B$1:$E$19,3,FALSE))</f>
        <v>1108959</v>
      </c>
      <c r="M266">
        <f>IF(LEN(TRIM(E266))=0,"",VLOOKUP(E266,Sheet2!$B$1:$E$19,4,FALSE))+(F266-1)</f>
        <v>3780206</v>
      </c>
    </row>
    <row r="267" spans="1:17" s="1" customFormat="1" ht="15" customHeight="1" x14ac:dyDescent="0.25">
      <c r="A267" s="28" t="s">
        <v>12</v>
      </c>
      <c r="B267" s="28" t="s">
        <v>21</v>
      </c>
      <c r="C267" s="6" t="s">
        <v>2503</v>
      </c>
      <c r="D267" s="1" t="s">
        <v>454</v>
      </c>
      <c r="E267" s="1">
        <v>2173</v>
      </c>
      <c r="F267" s="28">
        <v>206</v>
      </c>
      <c r="G267" s="1">
        <v>21</v>
      </c>
      <c r="H267" s="1" t="s">
        <v>3073</v>
      </c>
      <c r="I267" s="1" t="s">
        <v>3073</v>
      </c>
      <c r="J267" t="str">
        <f t="shared" si="4"/>
        <v>http://www.badatelna.eu/reprodukce/?fondId=1073&amp;zaznamId=1108959&amp;reproId=3780199</v>
      </c>
      <c r="K267">
        <f>IF(LEN(TRIM(E267))=0,"",VLOOKUP(E267,Sheet2!$B$1:$E$19,2,FALSE))</f>
        <v>1073</v>
      </c>
      <c r="L267">
        <f>IF(LEN(TRIM(E267))=0,"",VLOOKUP(E267,Sheet2!$B$1:$E$19,3,FALSE))</f>
        <v>1108959</v>
      </c>
      <c r="M267">
        <f>IF(LEN(TRIM(E267))=0,"",VLOOKUP(E267,Sheet2!$B$1:$E$19,4,FALSE))+(F267-1)</f>
        <v>3780199</v>
      </c>
    </row>
    <row r="268" spans="1:17" s="1" customFormat="1" ht="15" customHeight="1" x14ac:dyDescent="0.25">
      <c r="A268" s="28" t="s">
        <v>12</v>
      </c>
      <c r="B268" s="28" t="s">
        <v>54</v>
      </c>
      <c r="C268" s="6" t="s">
        <v>2311</v>
      </c>
      <c r="D268" s="1" t="s">
        <v>454</v>
      </c>
      <c r="E268" s="1">
        <v>2173</v>
      </c>
      <c r="F268" s="31">
        <v>199</v>
      </c>
      <c r="G268" s="9">
        <v>8</v>
      </c>
      <c r="H268" s="1" t="s">
        <v>3073</v>
      </c>
      <c r="I268" s="1" t="s">
        <v>3073</v>
      </c>
      <c r="J268" t="str">
        <f t="shared" si="4"/>
        <v>http://www.badatelna.eu/reprodukce/?fondId=1073&amp;zaznamId=1108959&amp;reproId=3780192</v>
      </c>
      <c r="K268">
        <f>IF(LEN(TRIM(E268))=0,"",VLOOKUP(E268,Sheet2!$B$1:$E$19,2,FALSE))</f>
        <v>1073</v>
      </c>
      <c r="L268">
        <f>IF(LEN(TRIM(E268))=0,"",VLOOKUP(E268,Sheet2!$B$1:$E$19,3,FALSE))</f>
        <v>1108959</v>
      </c>
      <c r="M268">
        <f>IF(LEN(TRIM(E268))=0,"",VLOOKUP(E268,Sheet2!$B$1:$E$19,4,FALSE))+(F268-1)</f>
        <v>3780192</v>
      </c>
    </row>
    <row r="269" spans="1:17" s="1" customFormat="1" ht="15" customHeight="1" x14ac:dyDescent="0.25">
      <c r="A269" s="28" t="s">
        <v>12</v>
      </c>
      <c r="B269" s="28" t="s">
        <v>54</v>
      </c>
      <c r="C269" s="6" t="s">
        <v>1989</v>
      </c>
      <c r="D269" s="1" t="s">
        <v>454</v>
      </c>
      <c r="E269" s="1">
        <v>2173</v>
      </c>
      <c r="F269" s="28">
        <v>183</v>
      </c>
      <c r="G269" s="9">
        <v>13</v>
      </c>
      <c r="H269" s="1">
        <v>185</v>
      </c>
      <c r="I269" s="1">
        <v>412</v>
      </c>
      <c r="J269" t="str">
        <f t="shared" si="4"/>
        <v>http://www.badatelna.eu/reprodukce/?fondId=1073&amp;zaznamId=1108959&amp;reproId=3780176</v>
      </c>
      <c r="K269">
        <f>IF(LEN(TRIM(E269))=0,"",VLOOKUP(E269,Sheet2!$B$1:$E$19,2,FALSE))</f>
        <v>1073</v>
      </c>
      <c r="L269">
        <f>IF(LEN(TRIM(E269))=0,"",VLOOKUP(E269,Sheet2!$B$1:$E$19,3,FALSE))</f>
        <v>1108959</v>
      </c>
      <c r="M269">
        <f>IF(LEN(TRIM(E269))=0,"",VLOOKUP(E269,Sheet2!$B$1:$E$19,4,FALSE))+(F269-1)</f>
        <v>3780176</v>
      </c>
      <c r="N269"/>
      <c r="O269"/>
      <c r="P269"/>
      <c r="Q269"/>
    </row>
    <row r="270" spans="1:17" s="1" customFormat="1" ht="15" customHeight="1" x14ac:dyDescent="0.25">
      <c r="A270" s="28" t="s">
        <v>12</v>
      </c>
      <c r="B270" s="28" t="s">
        <v>13</v>
      </c>
      <c r="C270" s="1">
        <v>1855</v>
      </c>
      <c r="D270" s="1" t="s">
        <v>2919</v>
      </c>
      <c r="E270" s="1">
        <v>998</v>
      </c>
      <c r="F270" s="28">
        <v>46</v>
      </c>
      <c r="G270" s="1">
        <v>44</v>
      </c>
      <c r="H270" s="1">
        <v>63</v>
      </c>
      <c r="I270" s="1">
        <v>60</v>
      </c>
      <c r="J270" t="str">
        <f t="shared" si="4"/>
        <v>http://www.badatelna.eu/reprodukce/?fondId=241&amp;zaznamId=1133738&amp;reproId=3885692</v>
      </c>
      <c r="K270">
        <f>IF(LEN(TRIM(E270))=0,"",VLOOKUP(E270,Sheet2!$B$1:$E$19,2,FALSE))</f>
        <v>241</v>
      </c>
      <c r="L270">
        <f>IF(LEN(TRIM(E270))=0,"",VLOOKUP(E270,Sheet2!$B$1:$E$19,3,FALSE))</f>
        <v>1133738</v>
      </c>
      <c r="M270">
        <f>IF(LEN(TRIM(E270))=0,"",VLOOKUP(E270,Sheet2!$B$1:$E$19,4,FALSE))+(F270-1)</f>
        <v>3885692</v>
      </c>
    </row>
    <row r="271" spans="1:17" s="1" customFormat="1" ht="15" customHeight="1" x14ac:dyDescent="0.25">
      <c r="A271" s="28" t="s">
        <v>12</v>
      </c>
      <c r="B271" s="28" t="s">
        <v>13</v>
      </c>
      <c r="C271" s="6" t="s">
        <v>1671</v>
      </c>
      <c r="D271" s="1" t="s">
        <v>454</v>
      </c>
      <c r="E271" s="1">
        <v>2172</v>
      </c>
      <c r="F271" s="28">
        <v>106</v>
      </c>
      <c r="G271" s="9" t="s">
        <v>2768</v>
      </c>
      <c r="H271" s="1">
        <v>109</v>
      </c>
      <c r="I271" s="1">
        <v>108</v>
      </c>
      <c r="J271" t="str">
        <f t="shared" si="4"/>
        <v>http://www.badatelna.eu/reprodukce/?fondId=1073&amp;zaznamId=1108958&amp;reproId=3779847</v>
      </c>
      <c r="K271">
        <f>IF(LEN(TRIM(E271))=0,"",VLOOKUP(E271,Sheet2!$B$1:$E$19,2,FALSE))</f>
        <v>1073</v>
      </c>
      <c r="L271">
        <f>IF(LEN(TRIM(E271))=0,"",VLOOKUP(E271,Sheet2!$B$1:$E$19,3,FALSE))</f>
        <v>1108958</v>
      </c>
      <c r="M271">
        <f>IF(LEN(TRIM(E271))=0,"",VLOOKUP(E271,Sheet2!$B$1:$E$19,4,FALSE))+(F271-1)</f>
        <v>3779847</v>
      </c>
    </row>
    <row r="272" spans="1:17" s="1" customFormat="1" ht="15" customHeight="1" x14ac:dyDescent="0.25">
      <c r="A272" s="28" t="s">
        <v>12</v>
      </c>
      <c r="B272" s="28" t="s">
        <v>207</v>
      </c>
      <c r="C272" s="6" t="s">
        <v>2475</v>
      </c>
      <c r="D272" s="1" t="s">
        <v>454</v>
      </c>
      <c r="E272" s="1">
        <v>2173</v>
      </c>
      <c r="F272" s="28">
        <v>205</v>
      </c>
      <c r="G272" s="1">
        <v>19</v>
      </c>
      <c r="H272" s="1" t="s">
        <v>3073</v>
      </c>
      <c r="I272" s="1" t="s">
        <v>3073</v>
      </c>
      <c r="J272" t="str">
        <f t="shared" si="4"/>
        <v>http://www.badatelna.eu/reprodukce/?fondId=1073&amp;zaznamId=1108959&amp;reproId=3780198</v>
      </c>
      <c r="K272">
        <f>IF(LEN(TRIM(E272))=0,"",VLOOKUP(E272,Sheet2!$B$1:$E$19,2,FALSE))</f>
        <v>1073</v>
      </c>
      <c r="L272">
        <f>IF(LEN(TRIM(E272))=0,"",VLOOKUP(E272,Sheet2!$B$1:$E$19,3,FALSE))</f>
        <v>1108959</v>
      </c>
      <c r="M272">
        <f>IF(LEN(TRIM(E272))=0,"",VLOOKUP(E272,Sheet2!$B$1:$E$19,4,FALSE))+(F272-1)</f>
        <v>3780198</v>
      </c>
    </row>
    <row r="273" spans="1:17" s="1" customFormat="1" ht="15" customHeight="1" x14ac:dyDescent="0.25">
      <c r="A273" s="28" t="s">
        <v>12</v>
      </c>
      <c r="B273" s="28" t="s">
        <v>426</v>
      </c>
      <c r="C273" s="6" t="s">
        <v>2667</v>
      </c>
      <c r="D273" s="1" t="s">
        <v>454</v>
      </c>
      <c r="E273" s="1">
        <v>2173</v>
      </c>
      <c r="F273" s="28">
        <v>223</v>
      </c>
      <c r="G273" s="9">
        <v>52</v>
      </c>
      <c r="H273" s="1" t="s">
        <v>3073</v>
      </c>
      <c r="I273" s="1" t="s">
        <v>3073</v>
      </c>
      <c r="J273" t="str">
        <f t="shared" si="4"/>
        <v>http://www.badatelna.eu/reprodukce/?fondId=1073&amp;zaznamId=1108959&amp;reproId=3780216</v>
      </c>
      <c r="K273">
        <f>IF(LEN(TRIM(E273))=0,"",VLOOKUP(E273,Sheet2!$B$1:$E$19,2,FALSE))</f>
        <v>1073</v>
      </c>
      <c r="L273">
        <f>IF(LEN(TRIM(E273))=0,"",VLOOKUP(E273,Sheet2!$B$1:$E$19,3,FALSE))</f>
        <v>1108959</v>
      </c>
      <c r="M273">
        <f>IF(LEN(TRIM(E273))=0,"",VLOOKUP(E273,Sheet2!$B$1:$E$19,4,FALSE))+(F273-1)</f>
        <v>3780216</v>
      </c>
    </row>
    <row r="274" spans="1:17" s="1" customFormat="1" ht="15" customHeight="1" x14ac:dyDescent="0.25">
      <c r="A274" s="28" t="s">
        <v>12</v>
      </c>
      <c r="B274" s="28" t="s">
        <v>242</v>
      </c>
      <c r="C274" s="6" t="s">
        <v>2009</v>
      </c>
      <c r="D274" s="1" t="s">
        <v>454</v>
      </c>
      <c r="E274" s="1">
        <v>2173</v>
      </c>
      <c r="F274" s="28">
        <v>208</v>
      </c>
      <c r="G274" s="1">
        <v>26</v>
      </c>
      <c r="H274" s="1" t="s">
        <v>3073</v>
      </c>
      <c r="I274" s="1" t="s">
        <v>3073</v>
      </c>
      <c r="J274" t="str">
        <f t="shared" si="4"/>
        <v>http://www.badatelna.eu/reprodukce/?fondId=1073&amp;zaznamId=1108959&amp;reproId=3780201</v>
      </c>
      <c r="K274">
        <f>IF(LEN(TRIM(E274))=0,"",VLOOKUP(E274,Sheet2!$B$1:$E$19,2,FALSE))</f>
        <v>1073</v>
      </c>
      <c r="L274">
        <f>IF(LEN(TRIM(E274))=0,"",VLOOKUP(E274,Sheet2!$B$1:$E$19,3,FALSE))</f>
        <v>1108959</v>
      </c>
      <c r="M274">
        <f>IF(LEN(TRIM(E274))=0,"",VLOOKUP(E274,Sheet2!$B$1:$E$19,4,FALSE))+(F274-1)</f>
        <v>3780201</v>
      </c>
    </row>
    <row r="275" spans="1:17" s="1" customFormat="1" ht="15" customHeight="1" x14ac:dyDescent="0.25">
      <c r="A275" s="28" t="s">
        <v>12</v>
      </c>
      <c r="B275" s="28" t="s">
        <v>247</v>
      </c>
      <c r="C275" s="1">
        <v>1893</v>
      </c>
      <c r="D275" s="1" t="s">
        <v>454</v>
      </c>
      <c r="E275" s="1">
        <v>2172</v>
      </c>
      <c r="F275" s="28">
        <v>86</v>
      </c>
      <c r="G275" s="9">
        <v>85</v>
      </c>
      <c r="H275" s="1">
        <v>89</v>
      </c>
      <c r="I275" s="1">
        <v>88</v>
      </c>
      <c r="J275" t="str">
        <f t="shared" si="4"/>
        <v>http://www.badatelna.eu/reprodukce/?fondId=1073&amp;zaznamId=1108958&amp;reproId=3779827</v>
      </c>
      <c r="K275">
        <f>IF(LEN(TRIM(E275))=0,"",VLOOKUP(E275,Sheet2!$B$1:$E$19,2,FALSE))</f>
        <v>1073</v>
      </c>
      <c r="L275">
        <f>IF(LEN(TRIM(E275))=0,"",VLOOKUP(E275,Sheet2!$B$1:$E$19,3,FALSE))</f>
        <v>1108958</v>
      </c>
      <c r="M275">
        <f>IF(LEN(TRIM(E275))=0,"",VLOOKUP(E275,Sheet2!$B$1:$E$19,4,FALSE))+(F275-1)</f>
        <v>3779827</v>
      </c>
    </row>
    <row r="276" spans="1:17" s="1" customFormat="1" ht="15" customHeight="1" x14ac:dyDescent="0.25">
      <c r="A276" s="27" t="s">
        <v>12</v>
      </c>
      <c r="B276" s="27" t="s">
        <v>247</v>
      </c>
      <c r="C276" s="5" t="s">
        <v>1262</v>
      </c>
      <c r="D276" s="3" t="s">
        <v>454</v>
      </c>
      <c r="E276" s="3">
        <v>2170</v>
      </c>
      <c r="F276" s="28">
        <v>50</v>
      </c>
      <c r="G276" s="10">
        <v>46</v>
      </c>
      <c r="H276" s="3">
        <v>67</v>
      </c>
      <c r="I276" s="3">
        <v>63</v>
      </c>
      <c r="J276" t="str">
        <f t="shared" si="4"/>
        <v>http://www.badatelna.eu/reprodukce/?fondId=1073&amp;zaznamId=1108956&amp;reproId=3779642</v>
      </c>
      <c r="K276">
        <f>IF(LEN(TRIM(E276))=0,"",VLOOKUP(E276,Sheet2!$B$1:$E$19,2,FALSE))</f>
        <v>1073</v>
      </c>
      <c r="L276">
        <f>IF(LEN(TRIM(E276))=0,"",VLOOKUP(E276,Sheet2!$B$1:$E$19,3,FALSE))</f>
        <v>1108956</v>
      </c>
      <c r="M276">
        <f>IF(LEN(TRIM(E276))=0,"",VLOOKUP(E276,Sheet2!$B$1:$E$19,4,FALSE))+(F276-1)</f>
        <v>3779642</v>
      </c>
    </row>
    <row r="277" spans="1:17" s="1" customFormat="1" ht="15" customHeight="1" x14ac:dyDescent="0.25">
      <c r="A277" s="28" t="s">
        <v>12</v>
      </c>
      <c r="B277" s="28" t="s">
        <v>247</v>
      </c>
      <c r="C277" s="6" t="s">
        <v>1994</v>
      </c>
      <c r="D277" s="1" t="s">
        <v>454</v>
      </c>
      <c r="E277" s="1">
        <v>2173</v>
      </c>
      <c r="F277" s="28">
        <v>180</v>
      </c>
      <c r="G277" s="9">
        <v>6</v>
      </c>
      <c r="H277" s="1">
        <v>185</v>
      </c>
      <c r="I277" s="1">
        <v>412</v>
      </c>
      <c r="J277" t="str">
        <f t="shared" si="4"/>
        <v>http://www.badatelna.eu/reprodukce/?fondId=1073&amp;zaznamId=1108959&amp;reproId=3780173</v>
      </c>
      <c r="K277">
        <f>IF(LEN(TRIM(E277))=0,"",VLOOKUP(E277,Sheet2!$B$1:$E$19,2,FALSE))</f>
        <v>1073</v>
      </c>
      <c r="L277">
        <f>IF(LEN(TRIM(E277))=0,"",VLOOKUP(E277,Sheet2!$B$1:$E$19,3,FALSE))</f>
        <v>1108959</v>
      </c>
      <c r="M277">
        <f>IF(LEN(TRIM(E277))=0,"",VLOOKUP(E277,Sheet2!$B$1:$E$19,4,FALSE))+(F277-1)</f>
        <v>3780173</v>
      </c>
    </row>
    <row r="278" spans="1:17" s="1" customFormat="1" ht="15" customHeight="1" x14ac:dyDescent="0.25">
      <c r="A278" s="28" t="s">
        <v>12</v>
      </c>
      <c r="B278" s="28" t="s">
        <v>247</v>
      </c>
      <c r="C278" s="6" t="s">
        <v>2002</v>
      </c>
      <c r="D278" s="1" t="s">
        <v>454</v>
      </c>
      <c r="E278" s="1">
        <v>2173</v>
      </c>
      <c r="F278" s="28">
        <v>183</v>
      </c>
      <c r="G278" s="9">
        <v>13</v>
      </c>
      <c r="H278" s="1">
        <v>185</v>
      </c>
      <c r="I278" s="1">
        <v>412</v>
      </c>
      <c r="J278" t="str">
        <f t="shared" si="4"/>
        <v>http://www.badatelna.eu/reprodukce/?fondId=1073&amp;zaznamId=1108959&amp;reproId=3780176</v>
      </c>
      <c r="K278">
        <f>IF(LEN(TRIM(E278))=0,"",VLOOKUP(E278,Sheet2!$B$1:$E$19,2,FALSE))</f>
        <v>1073</v>
      </c>
      <c r="L278">
        <f>IF(LEN(TRIM(E278))=0,"",VLOOKUP(E278,Sheet2!$B$1:$E$19,3,FALSE))</f>
        <v>1108959</v>
      </c>
      <c r="M278">
        <f>IF(LEN(TRIM(E278))=0,"",VLOOKUP(E278,Sheet2!$B$1:$E$19,4,FALSE))+(F278-1)</f>
        <v>3780176</v>
      </c>
    </row>
    <row r="279" spans="1:17" s="1" customFormat="1" ht="15" customHeight="1" x14ac:dyDescent="0.25">
      <c r="A279" s="28" t="s">
        <v>12</v>
      </c>
      <c r="B279" s="28" t="s">
        <v>6</v>
      </c>
      <c r="C279" s="6" t="s">
        <v>2336</v>
      </c>
      <c r="D279" s="1" t="s">
        <v>454</v>
      </c>
      <c r="E279" s="1">
        <v>2173</v>
      </c>
      <c r="F279" s="28">
        <v>200</v>
      </c>
      <c r="G279" s="9">
        <v>9</v>
      </c>
      <c r="H279" s="1" t="s">
        <v>3073</v>
      </c>
      <c r="I279" s="1" t="s">
        <v>3073</v>
      </c>
      <c r="J279" t="str">
        <f t="shared" si="4"/>
        <v>http://www.badatelna.eu/reprodukce/?fondId=1073&amp;zaznamId=1108959&amp;reproId=3780193</v>
      </c>
      <c r="K279">
        <f>IF(LEN(TRIM(E279))=0,"",VLOOKUP(E279,Sheet2!$B$1:$E$19,2,FALSE))</f>
        <v>1073</v>
      </c>
      <c r="L279">
        <f>IF(LEN(TRIM(E279))=0,"",VLOOKUP(E279,Sheet2!$B$1:$E$19,3,FALSE))</f>
        <v>1108959</v>
      </c>
      <c r="M279">
        <f>IF(LEN(TRIM(E279))=0,"",VLOOKUP(E279,Sheet2!$B$1:$E$19,4,FALSE))+(F279-1)</f>
        <v>3780193</v>
      </c>
    </row>
    <row r="280" spans="1:17" s="1" customFormat="1" ht="15" customHeight="1" x14ac:dyDescent="0.25">
      <c r="A280" s="28" t="s">
        <v>12</v>
      </c>
      <c r="B280" s="28" t="s">
        <v>6</v>
      </c>
      <c r="C280" s="6" t="s">
        <v>2004</v>
      </c>
      <c r="D280" s="1" t="s">
        <v>454</v>
      </c>
      <c r="E280" s="1">
        <v>2173</v>
      </c>
      <c r="F280" s="28">
        <v>180</v>
      </c>
      <c r="G280" s="9">
        <v>6</v>
      </c>
      <c r="H280" s="1">
        <v>185</v>
      </c>
      <c r="I280" s="1">
        <v>412</v>
      </c>
      <c r="J280" t="str">
        <f t="shared" si="4"/>
        <v>http://www.badatelna.eu/reprodukce/?fondId=1073&amp;zaznamId=1108959&amp;reproId=3780173</v>
      </c>
      <c r="K280">
        <f>IF(LEN(TRIM(E280))=0,"",VLOOKUP(E280,Sheet2!$B$1:$E$19,2,FALSE))</f>
        <v>1073</v>
      </c>
      <c r="L280">
        <f>IF(LEN(TRIM(E280))=0,"",VLOOKUP(E280,Sheet2!$B$1:$E$19,3,FALSE))</f>
        <v>1108959</v>
      </c>
      <c r="M280">
        <f>IF(LEN(TRIM(E280))=0,"",VLOOKUP(E280,Sheet2!$B$1:$E$19,4,FALSE))+(F280-1)</f>
        <v>3780173</v>
      </c>
    </row>
    <row r="281" spans="1:17" s="1" customFormat="1" ht="15" customHeight="1" x14ac:dyDescent="0.25">
      <c r="A281" s="28" t="s">
        <v>12</v>
      </c>
      <c r="B281" s="28" t="s">
        <v>486</v>
      </c>
      <c r="C281" s="1">
        <v>1865</v>
      </c>
      <c r="D281" s="1" t="s">
        <v>2919</v>
      </c>
      <c r="E281" s="1">
        <v>999</v>
      </c>
      <c r="F281" s="28">
        <v>89</v>
      </c>
      <c r="G281" s="1">
        <v>10</v>
      </c>
      <c r="H281" s="1">
        <v>95</v>
      </c>
      <c r="I281" s="1">
        <v>153</v>
      </c>
      <c r="J281" t="str">
        <f t="shared" si="4"/>
        <v>http://www.badatelna.eu/reprodukce/?fondId=241&amp;zaznamId=1133739&amp;reproId=3885818</v>
      </c>
      <c r="K281">
        <f>IF(LEN(TRIM(E281))=0,"",VLOOKUP(E281,Sheet2!$B$1:$E$19,2,FALSE))</f>
        <v>241</v>
      </c>
      <c r="L281">
        <f>IF(LEN(TRIM(E281))=0,"",VLOOKUP(E281,Sheet2!$B$1:$E$19,3,FALSE))</f>
        <v>1133739</v>
      </c>
      <c r="M281">
        <f>IF(LEN(TRIM(E281))=0,"",VLOOKUP(E281,Sheet2!$B$1:$E$19,4,FALSE))+(F281-1)</f>
        <v>3885818</v>
      </c>
    </row>
    <row r="282" spans="1:17" s="1" customFormat="1" ht="15" customHeight="1" x14ac:dyDescent="0.25">
      <c r="A282" s="27" t="s">
        <v>12</v>
      </c>
      <c r="B282" s="27" t="s">
        <v>486</v>
      </c>
      <c r="C282" s="5" t="s">
        <v>1056</v>
      </c>
      <c r="D282" s="3" t="s">
        <v>454</v>
      </c>
      <c r="E282" s="3">
        <v>2170</v>
      </c>
      <c r="F282" s="28">
        <v>16</v>
      </c>
      <c r="G282" s="10">
        <v>12</v>
      </c>
      <c r="H282" s="3">
        <v>60</v>
      </c>
      <c r="I282" s="3">
        <v>56</v>
      </c>
      <c r="J282" t="str">
        <f t="shared" si="4"/>
        <v>http://www.badatelna.eu/reprodukce/?fondId=1073&amp;zaznamId=1108956&amp;reproId=3779608</v>
      </c>
      <c r="K282">
        <f>IF(LEN(TRIM(E282))=0,"",VLOOKUP(E282,Sheet2!$B$1:$E$19,2,FALSE))</f>
        <v>1073</v>
      </c>
      <c r="L282">
        <f>IF(LEN(TRIM(E282))=0,"",VLOOKUP(E282,Sheet2!$B$1:$E$19,3,FALSE))</f>
        <v>1108956</v>
      </c>
      <c r="M282">
        <f>IF(LEN(TRIM(E282))=0,"",VLOOKUP(E282,Sheet2!$B$1:$E$19,4,FALSE))+(F282-1)</f>
        <v>3779608</v>
      </c>
    </row>
    <row r="283" spans="1:17" s="1" customFormat="1" ht="15" customHeight="1" x14ac:dyDescent="0.25">
      <c r="A283" s="28" t="s">
        <v>12</v>
      </c>
      <c r="B283" s="28" t="s">
        <v>407</v>
      </c>
      <c r="C283" s="6" t="s">
        <v>2633</v>
      </c>
      <c r="D283" s="1" t="s">
        <v>454</v>
      </c>
      <c r="E283" s="1">
        <v>2173</v>
      </c>
      <c r="F283" s="28">
        <v>221</v>
      </c>
      <c r="G283" s="9">
        <v>49</v>
      </c>
      <c r="H283" s="1" t="s">
        <v>3073</v>
      </c>
      <c r="I283" s="1" t="s">
        <v>3073</v>
      </c>
      <c r="J283" t="str">
        <f t="shared" si="4"/>
        <v>http://www.badatelna.eu/reprodukce/?fondId=1073&amp;zaznamId=1108959&amp;reproId=3780214</v>
      </c>
      <c r="K283">
        <f>IF(LEN(TRIM(E283))=0,"",VLOOKUP(E283,Sheet2!$B$1:$E$19,2,FALSE))</f>
        <v>1073</v>
      </c>
      <c r="L283">
        <f>IF(LEN(TRIM(E283))=0,"",VLOOKUP(E283,Sheet2!$B$1:$E$19,3,FALSE))</f>
        <v>1108959</v>
      </c>
      <c r="M283">
        <f>IF(LEN(TRIM(E283))=0,"",VLOOKUP(E283,Sheet2!$B$1:$E$19,4,FALSE))+(F283-1)</f>
        <v>3780214</v>
      </c>
    </row>
    <row r="284" spans="1:17" s="1" customFormat="1" ht="15" customHeight="1" x14ac:dyDescent="0.25">
      <c r="A284" s="28" t="s">
        <v>12</v>
      </c>
      <c r="B284" s="28" t="s">
        <v>91</v>
      </c>
      <c r="C284" s="1">
        <v>1847</v>
      </c>
      <c r="D284" s="1" t="s">
        <v>2919</v>
      </c>
      <c r="E284" s="1">
        <v>998</v>
      </c>
      <c r="F284" s="28">
        <v>3</v>
      </c>
      <c r="G284" s="1">
        <v>1</v>
      </c>
      <c r="H284" s="1">
        <v>63</v>
      </c>
      <c r="I284" s="1">
        <v>60</v>
      </c>
      <c r="J284" t="str">
        <f t="shared" si="4"/>
        <v>http://www.badatelna.eu/reprodukce/?fondId=241&amp;zaznamId=1133738&amp;reproId=3885649</v>
      </c>
      <c r="K284">
        <f>IF(LEN(TRIM(E284))=0,"",VLOOKUP(E284,Sheet2!$B$1:$E$19,2,FALSE))</f>
        <v>241</v>
      </c>
      <c r="L284">
        <f>IF(LEN(TRIM(E284))=0,"",VLOOKUP(E284,Sheet2!$B$1:$E$19,3,FALSE))</f>
        <v>1133738</v>
      </c>
      <c r="M284">
        <f>IF(LEN(TRIM(E284))=0,"",VLOOKUP(E284,Sheet2!$B$1:$E$19,4,FALSE))+(F284-1)</f>
        <v>3885649</v>
      </c>
    </row>
    <row r="285" spans="1:17" s="1" customFormat="1" ht="15" customHeight="1" x14ac:dyDescent="0.25">
      <c r="A285" s="28" t="s">
        <v>12</v>
      </c>
      <c r="B285" s="28" t="s">
        <v>91</v>
      </c>
      <c r="C285" s="1">
        <v>1849</v>
      </c>
      <c r="D285" s="1" t="s">
        <v>2919</v>
      </c>
      <c r="E285" s="1">
        <v>998</v>
      </c>
      <c r="F285" s="28">
        <v>26</v>
      </c>
      <c r="G285" s="1">
        <v>24</v>
      </c>
      <c r="H285" s="1">
        <v>63</v>
      </c>
      <c r="I285" s="1">
        <v>60</v>
      </c>
      <c r="J285" t="str">
        <f t="shared" si="4"/>
        <v>http://www.badatelna.eu/reprodukce/?fondId=241&amp;zaznamId=1133738&amp;reproId=3885672</v>
      </c>
      <c r="K285">
        <f>IF(LEN(TRIM(E285))=0,"",VLOOKUP(E285,Sheet2!$B$1:$E$19,2,FALSE))</f>
        <v>241</v>
      </c>
      <c r="L285">
        <f>IF(LEN(TRIM(E285))=0,"",VLOOKUP(E285,Sheet2!$B$1:$E$19,3,FALSE))</f>
        <v>1133738</v>
      </c>
      <c r="M285">
        <f>IF(LEN(TRIM(E285))=0,"",VLOOKUP(E285,Sheet2!$B$1:$E$19,4,FALSE))+(F285-1)</f>
        <v>3885672</v>
      </c>
      <c r="N285"/>
      <c r="O285"/>
      <c r="P285"/>
      <c r="Q285"/>
    </row>
    <row r="286" spans="1:17" s="1" customFormat="1" ht="15" customHeight="1" x14ac:dyDescent="0.25">
      <c r="A286" s="27" t="s">
        <v>12</v>
      </c>
      <c r="B286" s="27" t="s">
        <v>91</v>
      </c>
      <c r="C286" s="5" t="s">
        <v>1265</v>
      </c>
      <c r="D286" s="3" t="s">
        <v>454</v>
      </c>
      <c r="E286" s="3">
        <v>2170</v>
      </c>
      <c r="F286" s="28">
        <v>57</v>
      </c>
      <c r="G286" s="10">
        <v>53</v>
      </c>
      <c r="H286" s="3">
        <v>67</v>
      </c>
      <c r="I286" s="3">
        <v>63</v>
      </c>
      <c r="J286" t="str">
        <f t="shared" si="4"/>
        <v>http://www.badatelna.eu/reprodukce/?fondId=1073&amp;zaznamId=1108956&amp;reproId=3779649</v>
      </c>
      <c r="K286">
        <f>IF(LEN(TRIM(E286))=0,"",VLOOKUP(E286,Sheet2!$B$1:$E$19,2,FALSE))</f>
        <v>1073</v>
      </c>
      <c r="L286">
        <f>IF(LEN(TRIM(E286))=0,"",VLOOKUP(E286,Sheet2!$B$1:$E$19,3,FALSE))</f>
        <v>1108956</v>
      </c>
      <c r="M286">
        <f>IF(LEN(TRIM(E286))=0,"",VLOOKUP(E286,Sheet2!$B$1:$E$19,4,FALSE))+(F286-1)</f>
        <v>3779649</v>
      </c>
    </row>
    <row r="287" spans="1:17" s="1" customFormat="1" ht="15" customHeight="1" x14ac:dyDescent="0.25">
      <c r="A287" s="28" t="s">
        <v>12</v>
      </c>
      <c r="B287" s="28" t="s">
        <v>430</v>
      </c>
      <c r="C287" s="6" t="s">
        <v>2685</v>
      </c>
      <c r="D287" s="1" t="s">
        <v>454</v>
      </c>
      <c r="E287" s="1">
        <v>2173</v>
      </c>
      <c r="F287" s="28">
        <v>224</v>
      </c>
      <c r="G287" s="9">
        <v>53</v>
      </c>
      <c r="H287" s="1" t="s">
        <v>3073</v>
      </c>
      <c r="I287" s="1" t="s">
        <v>3073</v>
      </c>
      <c r="J287" t="str">
        <f t="shared" si="4"/>
        <v>http://www.badatelna.eu/reprodukce/?fondId=1073&amp;zaznamId=1108959&amp;reproId=3780217</v>
      </c>
      <c r="K287">
        <f>IF(LEN(TRIM(E287))=0,"",VLOOKUP(E287,Sheet2!$B$1:$E$19,2,FALSE))</f>
        <v>1073</v>
      </c>
      <c r="L287">
        <f>IF(LEN(TRIM(E287))=0,"",VLOOKUP(E287,Sheet2!$B$1:$E$19,3,FALSE))</f>
        <v>1108959</v>
      </c>
      <c r="M287">
        <f>IF(LEN(TRIM(E287))=0,"",VLOOKUP(E287,Sheet2!$B$1:$E$19,4,FALSE))+(F287-1)</f>
        <v>3780217</v>
      </c>
    </row>
    <row r="288" spans="1:17" s="1" customFormat="1" ht="15" customHeight="1" x14ac:dyDescent="0.25">
      <c r="A288" s="28" t="s">
        <v>12</v>
      </c>
      <c r="B288" s="29" t="s">
        <v>2830</v>
      </c>
      <c r="C288" s="6" t="s">
        <v>2553</v>
      </c>
      <c r="D288" s="1" t="s">
        <v>454</v>
      </c>
      <c r="E288" s="1">
        <v>2173</v>
      </c>
      <c r="F288" s="28">
        <v>208</v>
      </c>
      <c r="G288" s="1">
        <v>26</v>
      </c>
      <c r="H288" s="1" t="s">
        <v>3073</v>
      </c>
      <c r="I288" s="1" t="s">
        <v>3073</v>
      </c>
      <c r="J288" t="str">
        <f t="shared" si="4"/>
        <v>http://www.badatelna.eu/reprodukce/?fondId=1073&amp;zaznamId=1108959&amp;reproId=3780201</v>
      </c>
      <c r="K288">
        <f>IF(LEN(TRIM(E288))=0,"",VLOOKUP(E288,Sheet2!$B$1:$E$19,2,FALSE))</f>
        <v>1073</v>
      </c>
      <c r="L288">
        <f>IF(LEN(TRIM(E288))=0,"",VLOOKUP(E288,Sheet2!$B$1:$E$19,3,FALSE))</f>
        <v>1108959</v>
      </c>
      <c r="M288">
        <f>IF(LEN(TRIM(E288))=0,"",VLOOKUP(E288,Sheet2!$B$1:$E$19,4,FALSE))+(F288-1)</f>
        <v>3780201</v>
      </c>
    </row>
    <row r="289" spans="1:17" s="1" customFormat="1" ht="15" customHeight="1" x14ac:dyDescent="0.25">
      <c r="A289" s="28" t="s">
        <v>12</v>
      </c>
      <c r="B289" s="28" t="s">
        <v>147</v>
      </c>
      <c r="C289" s="6" t="s">
        <v>2365</v>
      </c>
      <c r="D289" s="1" t="s">
        <v>454</v>
      </c>
      <c r="E289" s="1">
        <v>2173</v>
      </c>
      <c r="F289" s="28">
        <v>201</v>
      </c>
      <c r="G289" s="9">
        <v>11</v>
      </c>
      <c r="H289" s="1" t="s">
        <v>3073</v>
      </c>
      <c r="I289" s="1" t="s">
        <v>3073</v>
      </c>
      <c r="J289" t="str">
        <f t="shared" si="4"/>
        <v>http://www.badatelna.eu/reprodukce/?fondId=1073&amp;zaznamId=1108959&amp;reproId=3780194</v>
      </c>
      <c r="K289">
        <f>IF(LEN(TRIM(E289))=0,"",VLOOKUP(E289,Sheet2!$B$1:$E$19,2,FALSE))</f>
        <v>1073</v>
      </c>
      <c r="L289">
        <f>IF(LEN(TRIM(E289))=0,"",VLOOKUP(E289,Sheet2!$B$1:$E$19,3,FALSE))</f>
        <v>1108959</v>
      </c>
      <c r="M289">
        <f>IF(LEN(TRIM(E289))=0,"",VLOOKUP(E289,Sheet2!$B$1:$E$19,4,FALSE))+(F289-1)</f>
        <v>3780194</v>
      </c>
    </row>
    <row r="290" spans="1:17" s="1" customFormat="1" ht="15" customHeight="1" x14ac:dyDescent="0.25">
      <c r="A290" s="28" t="s">
        <v>12</v>
      </c>
      <c r="B290" s="28" t="s">
        <v>278</v>
      </c>
      <c r="C290" s="6" t="s">
        <v>2006</v>
      </c>
      <c r="D290" s="1" t="s">
        <v>454</v>
      </c>
      <c r="E290" s="1">
        <v>2173</v>
      </c>
      <c r="F290" s="28">
        <v>182</v>
      </c>
      <c r="G290" s="9">
        <v>10</v>
      </c>
      <c r="H290" s="1">
        <v>185</v>
      </c>
      <c r="I290" s="1">
        <v>412</v>
      </c>
      <c r="J290" t="str">
        <f t="shared" si="4"/>
        <v>http://www.badatelna.eu/reprodukce/?fondId=1073&amp;zaznamId=1108959&amp;reproId=3780175</v>
      </c>
      <c r="K290">
        <f>IF(LEN(TRIM(E290))=0,"",VLOOKUP(E290,Sheet2!$B$1:$E$19,2,FALSE))</f>
        <v>1073</v>
      </c>
      <c r="L290">
        <f>IF(LEN(TRIM(E290))=0,"",VLOOKUP(E290,Sheet2!$B$1:$E$19,3,FALSE))</f>
        <v>1108959</v>
      </c>
      <c r="M290">
        <f>IF(LEN(TRIM(E290))=0,"",VLOOKUP(E290,Sheet2!$B$1:$E$19,4,FALSE))+(F290-1)</f>
        <v>3780175</v>
      </c>
    </row>
    <row r="291" spans="1:17" s="1" customFormat="1" ht="15" customHeight="1" x14ac:dyDescent="0.25">
      <c r="A291" s="28" t="s">
        <v>12</v>
      </c>
      <c r="B291" s="29" t="s">
        <v>289</v>
      </c>
      <c r="C291" s="1">
        <v>1855</v>
      </c>
      <c r="D291" s="1" t="s">
        <v>2919</v>
      </c>
      <c r="E291" s="1">
        <v>998</v>
      </c>
      <c r="F291" s="28">
        <v>46</v>
      </c>
      <c r="G291" s="1">
        <v>44</v>
      </c>
      <c r="H291" s="1">
        <v>63</v>
      </c>
      <c r="I291" s="1">
        <v>60</v>
      </c>
      <c r="J291" t="str">
        <f t="shared" si="4"/>
        <v>http://www.badatelna.eu/reprodukce/?fondId=241&amp;zaznamId=1133738&amp;reproId=3885692</v>
      </c>
      <c r="K291">
        <f>IF(LEN(TRIM(E291))=0,"",VLOOKUP(E291,Sheet2!$B$1:$E$19,2,FALSE))</f>
        <v>241</v>
      </c>
      <c r="L291">
        <f>IF(LEN(TRIM(E291))=0,"",VLOOKUP(E291,Sheet2!$B$1:$E$19,3,FALSE))</f>
        <v>1133738</v>
      </c>
      <c r="M291">
        <f>IF(LEN(TRIM(E291))=0,"",VLOOKUP(E291,Sheet2!$B$1:$E$19,4,FALSE))+(F291-1)</f>
        <v>3885692</v>
      </c>
    </row>
    <row r="292" spans="1:17" s="1" customFormat="1" ht="15" customHeight="1" x14ac:dyDescent="0.25">
      <c r="A292" s="28"/>
      <c r="B292" s="29"/>
      <c r="C292" s="28" t="s">
        <v>3112</v>
      </c>
      <c r="F292" s="28"/>
      <c r="J292" t="str">
        <f t="shared" si="4"/>
        <v/>
      </c>
      <c r="K292" t="str">
        <f>IF(LEN(TRIM(E292))=0,"",VLOOKUP(E292,Sheet2!$B$1:$E$19,2,FALSE))</f>
        <v/>
      </c>
      <c r="L292" t="str">
        <f>IF(LEN(TRIM(E292))=0,"",VLOOKUP(E292,Sheet2!$B$1:$E$19,3,FALSE))</f>
        <v/>
      </c>
      <c r="M292" t="e">
        <f>IF(LEN(TRIM(E292))=0,"",VLOOKUP(E292,Sheet2!$B$1:$E$19,4,FALSE))+(F292-1)</f>
        <v>#VALUE!</v>
      </c>
    </row>
    <row r="293" spans="1:17" s="1" customFormat="1" ht="15" customHeight="1" x14ac:dyDescent="0.25">
      <c r="A293" s="28" t="s">
        <v>248</v>
      </c>
      <c r="B293" s="28" t="s">
        <v>340</v>
      </c>
      <c r="C293" s="1">
        <v>1847</v>
      </c>
      <c r="D293" s="1" t="s">
        <v>2919</v>
      </c>
      <c r="E293" s="1">
        <v>998</v>
      </c>
      <c r="F293" s="28">
        <v>8</v>
      </c>
      <c r="G293" s="1">
        <v>6</v>
      </c>
      <c r="H293" s="1">
        <v>63</v>
      </c>
      <c r="I293" s="1">
        <v>60</v>
      </c>
      <c r="J293" t="str">
        <f t="shared" si="4"/>
        <v>http://www.badatelna.eu/reprodukce/?fondId=241&amp;zaznamId=1133738&amp;reproId=3885654</v>
      </c>
      <c r="K293">
        <f>IF(LEN(TRIM(E293))=0,"",VLOOKUP(E293,Sheet2!$B$1:$E$19,2,FALSE))</f>
        <v>241</v>
      </c>
      <c r="L293">
        <f>IF(LEN(TRIM(E293))=0,"",VLOOKUP(E293,Sheet2!$B$1:$E$19,3,FALSE))</f>
        <v>1133738</v>
      </c>
      <c r="M293">
        <f>IF(LEN(TRIM(E293))=0,"",VLOOKUP(E293,Sheet2!$B$1:$E$19,4,FALSE))+(F293-1)</f>
        <v>3885654</v>
      </c>
    </row>
    <row r="294" spans="1:17" s="1" customFormat="1" ht="15" customHeight="1" x14ac:dyDescent="0.25">
      <c r="A294" s="28" t="s">
        <v>248</v>
      </c>
      <c r="B294" s="28" t="s">
        <v>2922</v>
      </c>
      <c r="C294" s="1">
        <v>1847</v>
      </c>
      <c r="D294" s="1" t="s">
        <v>2919</v>
      </c>
      <c r="E294" s="1">
        <v>998</v>
      </c>
      <c r="F294" s="28">
        <v>8</v>
      </c>
      <c r="G294" s="1">
        <v>6</v>
      </c>
      <c r="H294" s="1">
        <v>63</v>
      </c>
      <c r="I294" s="1">
        <v>60</v>
      </c>
      <c r="J294" t="str">
        <f t="shared" si="4"/>
        <v>http://www.badatelna.eu/reprodukce/?fondId=241&amp;zaznamId=1133738&amp;reproId=3885654</v>
      </c>
      <c r="K294">
        <f>IF(LEN(TRIM(E294))=0,"",VLOOKUP(E294,Sheet2!$B$1:$E$19,2,FALSE))</f>
        <v>241</v>
      </c>
      <c r="L294">
        <f>IF(LEN(TRIM(E294))=0,"",VLOOKUP(E294,Sheet2!$B$1:$E$19,3,FALSE))</f>
        <v>1133738</v>
      </c>
      <c r="M294">
        <f>IF(LEN(TRIM(E294))=0,"",VLOOKUP(E294,Sheet2!$B$1:$E$19,4,FALSE))+(F294-1)</f>
        <v>3885654</v>
      </c>
    </row>
    <row r="295" spans="1:17" s="1" customFormat="1" ht="15" customHeight="1" x14ac:dyDescent="0.25">
      <c r="A295" s="28" t="s">
        <v>248</v>
      </c>
      <c r="B295" s="28" t="s">
        <v>571</v>
      </c>
      <c r="C295" s="1">
        <v>1851</v>
      </c>
      <c r="D295" s="1" t="s">
        <v>2919</v>
      </c>
      <c r="E295" s="1">
        <v>998</v>
      </c>
      <c r="F295" s="28">
        <v>31</v>
      </c>
      <c r="G295" s="1">
        <v>29</v>
      </c>
      <c r="H295" s="1">
        <v>63</v>
      </c>
      <c r="I295" s="1">
        <v>60</v>
      </c>
      <c r="J295" t="str">
        <f t="shared" si="4"/>
        <v>http://www.badatelna.eu/reprodukce/?fondId=241&amp;zaznamId=1133738&amp;reproId=3885677</v>
      </c>
      <c r="K295">
        <f>IF(LEN(TRIM(E295))=0,"",VLOOKUP(E295,Sheet2!$B$1:$E$19,2,FALSE))</f>
        <v>241</v>
      </c>
      <c r="L295">
        <f>IF(LEN(TRIM(E295))=0,"",VLOOKUP(E295,Sheet2!$B$1:$E$19,3,FALSE))</f>
        <v>1133738</v>
      </c>
      <c r="M295">
        <f>IF(LEN(TRIM(E295))=0,"",VLOOKUP(E295,Sheet2!$B$1:$E$19,4,FALSE))+(F295-1)</f>
        <v>3885677</v>
      </c>
      <c r="N295"/>
      <c r="O295"/>
      <c r="P295"/>
      <c r="Q295"/>
    </row>
    <row r="296" spans="1:17" s="1" customFormat="1" ht="15" customHeight="1" x14ac:dyDescent="0.25">
      <c r="A296" s="28" t="s">
        <v>248</v>
      </c>
      <c r="B296" s="28" t="s">
        <v>48</v>
      </c>
      <c r="C296" s="6" t="s">
        <v>2008</v>
      </c>
      <c r="D296" s="1" t="s">
        <v>454</v>
      </c>
      <c r="E296" s="1">
        <v>2173</v>
      </c>
      <c r="F296" s="28">
        <v>177</v>
      </c>
      <c r="G296" s="9">
        <v>1</v>
      </c>
      <c r="H296" s="1">
        <v>185</v>
      </c>
      <c r="I296" s="1">
        <v>412</v>
      </c>
      <c r="J296" t="str">
        <f t="shared" si="4"/>
        <v>http://www.badatelna.eu/reprodukce/?fondId=1073&amp;zaznamId=1108959&amp;reproId=3780170</v>
      </c>
      <c r="K296">
        <f>IF(LEN(TRIM(E296))=0,"",VLOOKUP(E296,Sheet2!$B$1:$E$19,2,FALSE))</f>
        <v>1073</v>
      </c>
      <c r="L296">
        <f>IF(LEN(TRIM(E296))=0,"",VLOOKUP(E296,Sheet2!$B$1:$E$19,3,FALSE))</f>
        <v>1108959</v>
      </c>
      <c r="M296">
        <f>IF(LEN(TRIM(E296))=0,"",VLOOKUP(E296,Sheet2!$B$1:$E$19,4,FALSE))+(F296-1)</f>
        <v>3780170</v>
      </c>
    </row>
    <row r="297" spans="1:17" s="1" customFormat="1" ht="15" customHeight="1" x14ac:dyDescent="0.25">
      <c r="A297" s="28" t="s">
        <v>248</v>
      </c>
      <c r="B297" s="28" t="s">
        <v>242</v>
      </c>
      <c r="C297" s="6" t="s">
        <v>2009</v>
      </c>
      <c r="D297" s="1" t="s">
        <v>454</v>
      </c>
      <c r="E297" s="1">
        <v>2173</v>
      </c>
      <c r="F297" s="28">
        <v>178</v>
      </c>
      <c r="G297" s="9">
        <v>2</v>
      </c>
      <c r="H297" s="1">
        <v>185</v>
      </c>
      <c r="I297" s="1">
        <v>412</v>
      </c>
      <c r="J297" t="str">
        <f t="shared" si="4"/>
        <v>http://www.badatelna.eu/reprodukce/?fondId=1073&amp;zaznamId=1108959&amp;reproId=3780171</v>
      </c>
      <c r="K297">
        <f>IF(LEN(TRIM(E297))=0,"",VLOOKUP(E297,Sheet2!$B$1:$E$19,2,FALSE))</f>
        <v>1073</v>
      </c>
      <c r="L297">
        <f>IF(LEN(TRIM(E297))=0,"",VLOOKUP(E297,Sheet2!$B$1:$E$19,3,FALSE))</f>
        <v>1108959</v>
      </c>
      <c r="M297">
        <f>IF(LEN(TRIM(E297))=0,"",VLOOKUP(E297,Sheet2!$B$1:$E$19,4,FALSE))+(F297-1)</f>
        <v>3780171</v>
      </c>
      <c r="N297"/>
      <c r="O297"/>
      <c r="P297"/>
      <c r="Q297"/>
    </row>
    <row r="298" spans="1:17" s="1" customFormat="1" ht="15" customHeight="1" x14ac:dyDescent="0.25">
      <c r="A298" s="28" t="s">
        <v>50</v>
      </c>
      <c r="B298" s="28" t="s">
        <v>10</v>
      </c>
      <c r="C298" s="6" t="s">
        <v>2010</v>
      </c>
      <c r="D298" s="1" t="s">
        <v>454</v>
      </c>
      <c r="E298" s="1">
        <v>2173</v>
      </c>
      <c r="F298" s="28">
        <v>178</v>
      </c>
      <c r="G298" s="9">
        <v>3</v>
      </c>
      <c r="H298" s="1">
        <v>185</v>
      </c>
      <c r="I298" s="1">
        <v>412</v>
      </c>
      <c r="J298" t="str">
        <f t="shared" si="4"/>
        <v>http://www.badatelna.eu/reprodukce/?fondId=1073&amp;zaznamId=1108959&amp;reproId=3780171</v>
      </c>
      <c r="K298">
        <f>IF(LEN(TRIM(E298))=0,"",VLOOKUP(E298,Sheet2!$B$1:$E$19,2,FALSE))</f>
        <v>1073</v>
      </c>
      <c r="L298">
        <f>IF(LEN(TRIM(E298))=0,"",VLOOKUP(E298,Sheet2!$B$1:$E$19,3,FALSE))</f>
        <v>1108959</v>
      </c>
      <c r="M298">
        <f>IF(LEN(TRIM(E298))=0,"",VLOOKUP(E298,Sheet2!$B$1:$E$19,4,FALSE))+(F298-1)</f>
        <v>3780171</v>
      </c>
    </row>
    <row r="299" spans="1:17" s="1" customFormat="1" ht="15" customHeight="1" x14ac:dyDescent="0.25">
      <c r="A299" s="31" t="s">
        <v>50</v>
      </c>
      <c r="B299" s="31" t="s">
        <v>49</v>
      </c>
      <c r="C299" s="7" t="s">
        <v>2224</v>
      </c>
      <c r="D299" s="1" t="s">
        <v>454</v>
      </c>
      <c r="E299" s="1">
        <v>2173</v>
      </c>
      <c r="F299" s="28">
        <v>196</v>
      </c>
      <c r="G299" s="9">
        <v>2</v>
      </c>
      <c r="H299" s="1" t="s">
        <v>3073</v>
      </c>
      <c r="I299" s="1" t="s">
        <v>3073</v>
      </c>
      <c r="J299" t="str">
        <f t="shared" si="4"/>
        <v>http://www.badatelna.eu/reprodukce/?fondId=1073&amp;zaznamId=1108959&amp;reproId=3780189</v>
      </c>
      <c r="K299">
        <f>IF(LEN(TRIM(E299))=0,"",VLOOKUP(E299,Sheet2!$B$1:$E$19,2,FALSE))</f>
        <v>1073</v>
      </c>
      <c r="L299">
        <f>IF(LEN(TRIM(E299))=0,"",VLOOKUP(E299,Sheet2!$B$1:$E$19,3,FALSE))</f>
        <v>1108959</v>
      </c>
      <c r="M299">
        <f>IF(LEN(TRIM(E299))=0,"",VLOOKUP(E299,Sheet2!$B$1:$E$19,4,FALSE))+(F299-1)</f>
        <v>3780189</v>
      </c>
      <c r="N299"/>
      <c r="O299"/>
      <c r="P299"/>
      <c r="Q299"/>
    </row>
    <row r="300" spans="1:17" s="1" customFormat="1" ht="15" customHeight="1" x14ac:dyDescent="0.25">
      <c r="A300" s="28" t="s">
        <v>50</v>
      </c>
      <c r="B300" s="28" t="s">
        <v>49</v>
      </c>
      <c r="C300" s="6" t="s">
        <v>2668</v>
      </c>
      <c r="D300" s="1" t="s">
        <v>454</v>
      </c>
      <c r="E300" s="1">
        <v>2173</v>
      </c>
      <c r="F300" s="28">
        <v>223</v>
      </c>
      <c r="G300" s="9">
        <v>51</v>
      </c>
      <c r="H300" s="1" t="s">
        <v>3073</v>
      </c>
      <c r="I300" s="1" t="s">
        <v>3073</v>
      </c>
      <c r="J300" t="str">
        <f t="shared" si="4"/>
        <v>http://www.badatelna.eu/reprodukce/?fondId=1073&amp;zaznamId=1108959&amp;reproId=3780216</v>
      </c>
      <c r="K300">
        <f>IF(LEN(TRIM(E300))=0,"",VLOOKUP(E300,Sheet2!$B$1:$E$19,2,FALSE))</f>
        <v>1073</v>
      </c>
      <c r="L300">
        <f>IF(LEN(TRIM(E300))=0,"",VLOOKUP(E300,Sheet2!$B$1:$E$19,3,FALSE))</f>
        <v>1108959</v>
      </c>
      <c r="M300">
        <f>IF(LEN(TRIM(E300))=0,"",VLOOKUP(E300,Sheet2!$B$1:$E$19,4,FALSE))+(F300-1)</f>
        <v>3780216</v>
      </c>
      <c r="N300"/>
      <c r="O300"/>
      <c r="P300"/>
      <c r="Q300"/>
    </row>
    <row r="301" spans="1:17" s="1" customFormat="1" ht="15" customHeight="1" x14ac:dyDescent="0.25">
      <c r="A301" s="28" t="s">
        <v>50</v>
      </c>
      <c r="B301" s="28" t="s">
        <v>7</v>
      </c>
      <c r="C301" s="1">
        <v>1885</v>
      </c>
      <c r="D301" s="1" t="s">
        <v>454</v>
      </c>
      <c r="E301" s="1">
        <v>2172</v>
      </c>
      <c r="F301" s="28">
        <v>48</v>
      </c>
      <c r="G301" s="9">
        <v>47</v>
      </c>
      <c r="H301" s="1">
        <v>48</v>
      </c>
      <c r="I301" s="1">
        <v>49</v>
      </c>
      <c r="J301" t="str">
        <f t="shared" si="4"/>
        <v>http://www.badatelna.eu/reprodukce/?fondId=1073&amp;zaznamId=1108958&amp;reproId=3779789</v>
      </c>
      <c r="K301">
        <f>IF(LEN(TRIM(E301))=0,"",VLOOKUP(E301,Sheet2!$B$1:$E$19,2,FALSE))</f>
        <v>1073</v>
      </c>
      <c r="L301">
        <f>IF(LEN(TRIM(E301))=0,"",VLOOKUP(E301,Sheet2!$B$1:$E$19,3,FALSE))</f>
        <v>1108958</v>
      </c>
      <c r="M301">
        <f>IF(LEN(TRIM(E301))=0,"",VLOOKUP(E301,Sheet2!$B$1:$E$19,4,FALSE))+(F301-1)</f>
        <v>3779789</v>
      </c>
      <c r="N301"/>
      <c r="O301"/>
      <c r="P301"/>
      <c r="Q301"/>
    </row>
    <row r="302" spans="1:17" s="1" customFormat="1" ht="15" customHeight="1" x14ac:dyDescent="0.25">
      <c r="A302" s="28" t="s">
        <v>50</v>
      </c>
      <c r="B302" s="28" t="s">
        <v>7</v>
      </c>
      <c r="C302" s="6" t="s">
        <v>2476</v>
      </c>
      <c r="D302" s="1" t="s">
        <v>454</v>
      </c>
      <c r="E302" s="1">
        <v>2173</v>
      </c>
      <c r="F302" s="28">
        <v>205</v>
      </c>
      <c r="G302" s="1">
        <v>20</v>
      </c>
      <c r="H302" s="1" t="s">
        <v>3073</v>
      </c>
      <c r="I302" s="1" t="s">
        <v>3073</v>
      </c>
      <c r="J302" t="str">
        <f t="shared" si="4"/>
        <v>http://www.badatelna.eu/reprodukce/?fondId=1073&amp;zaznamId=1108959&amp;reproId=3780198</v>
      </c>
      <c r="K302">
        <f>IF(LEN(TRIM(E302))=0,"",VLOOKUP(E302,Sheet2!$B$1:$E$19,2,FALSE))</f>
        <v>1073</v>
      </c>
      <c r="L302">
        <f>IF(LEN(TRIM(E302))=0,"",VLOOKUP(E302,Sheet2!$B$1:$E$19,3,FALSE))</f>
        <v>1108959</v>
      </c>
      <c r="M302">
        <f>IF(LEN(TRIM(E302))=0,"",VLOOKUP(E302,Sheet2!$B$1:$E$19,4,FALSE))+(F302-1)</f>
        <v>3780198</v>
      </c>
    </row>
    <row r="303" spans="1:17" s="1" customFormat="1" ht="15" customHeight="1" x14ac:dyDescent="0.25">
      <c r="A303" s="28" t="s">
        <v>50</v>
      </c>
      <c r="B303" s="28" t="s">
        <v>91</v>
      </c>
      <c r="C303" s="6" t="s">
        <v>2708</v>
      </c>
      <c r="D303" s="1" t="s">
        <v>454</v>
      </c>
      <c r="E303" s="1">
        <v>2173</v>
      </c>
      <c r="F303" s="28">
        <v>225</v>
      </c>
      <c r="G303" s="9">
        <v>55</v>
      </c>
      <c r="H303" s="1" t="s">
        <v>3073</v>
      </c>
      <c r="I303" s="1" t="s">
        <v>3073</v>
      </c>
      <c r="J303" t="str">
        <f t="shared" si="4"/>
        <v>http://www.badatelna.eu/reprodukce/?fondId=1073&amp;zaznamId=1108959&amp;reproId=3780218</v>
      </c>
      <c r="K303">
        <f>IF(LEN(TRIM(E303))=0,"",VLOOKUP(E303,Sheet2!$B$1:$E$19,2,FALSE))</f>
        <v>1073</v>
      </c>
      <c r="L303">
        <f>IF(LEN(TRIM(E303))=0,"",VLOOKUP(E303,Sheet2!$B$1:$E$19,3,FALSE))</f>
        <v>1108959</v>
      </c>
      <c r="M303">
        <f>IF(LEN(TRIM(E303))=0,"",VLOOKUP(E303,Sheet2!$B$1:$E$19,4,FALSE))+(F303-1)</f>
        <v>3780218</v>
      </c>
    </row>
    <row r="304" spans="1:17" s="1" customFormat="1" ht="15" customHeight="1" x14ac:dyDescent="0.25">
      <c r="A304" s="28" t="s">
        <v>250</v>
      </c>
      <c r="B304" s="28" t="s">
        <v>172</v>
      </c>
      <c r="C304" s="1">
        <v>1858</v>
      </c>
      <c r="D304" s="1" t="s">
        <v>2919</v>
      </c>
      <c r="E304" s="1">
        <v>998</v>
      </c>
      <c r="F304" s="28">
        <v>55</v>
      </c>
      <c r="G304" s="1" t="s">
        <v>2939</v>
      </c>
      <c r="H304" s="1">
        <v>64</v>
      </c>
      <c r="I304" s="1">
        <v>61</v>
      </c>
      <c r="J304" t="str">
        <f t="shared" si="4"/>
        <v>http://www.badatelna.eu/reprodukce/?fondId=241&amp;zaznamId=1133738&amp;reproId=3885701</v>
      </c>
      <c r="K304">
        <f>IF(LEN(TRIM(E304))=0,"",VLOOKUP(E304,Sheet2!$B$1:$E$19,2,FALSE))</f>
        <v>241</v>
      </c>
      <c r="L304">
        <f>IF(LEN(TRIM(E304))=0,"",VLOOKUP(E304,Sheet2!$B$1:$E$19,3,FALSE))</f>
        <v>1133738</v>
      </c>
      <c r="M304">
        <f>IF(LEN(TRIM(E304))=0,"",VLOOKUP(E304,Sheet2!$B$1:$E$19,4,FALSE))+(F304-1)</f>
        <v>3885701</v>
      </c>
      <c r="N304"/>
      <c r="O304"/>
      <c r="P304"/>
      <c r="Q304"/>
    </row>
    <row r="305" spans="1:17" s="1" customFormat="1" ht="15" customHeight="1" x14ac:dyDescent="0.25">
      <c r="A305" s="28" t="s">
        <v>250</v>
      </c>
      <c r="B305" s="28" t="s">
        <v>25</v>
      </c>
      <c r="C305" s="6" t="s">
        <v>2011</v>
      </c>
      <c r="D305" s="1" t="s">
        <v>454</v>
      </c>
      <c r="E305" s="1">
        <v>2173</v>
      </c>
      <c r="F305" s="28">
        <v>177</v>
      </c>
      <c r="G305" s="9">
        <v>1</v>
      </c>
      <c r="H305" s="1">
        <v>185</v>
      </c>
      <c r="I305" s="1">
        <v>412</v>
      </c>
      <c r="J305" t="str">
        <f t="shared" si="4"/>
        <v>http://www.badatelna.eu/reprodukce/?fondId=1073&amp;zaznamId=1108959&amp;reproId=3780170</v>
      </c>
      <c r="K305">
        <f>IF(LEN(TRIM(E305))=0,"",VLOOKUP(E305,Sheet2!$B$1:$E$19,2,FALSE))</f>
        <v>1073</v>
      </c>
      <c r="L305">
        <f>IF(LEN(TRIM(E305))=0,"",VLOOKUP(E305,Sheet2!$B$1:$E$19,3,FALSE))</f>
        <v>1108959</v>
      </c>
      <c r="M305">
        <f>IF(LEN(TRIM(E305))=0,"",VLOOKUP(E305,Sheet2!$B$1:$E$19,4,FALSE))+(F305-1)</f>
        <v>3780170</v>
      </c>
      <c r="N305"/>
      <c r="O305"/>
      <c r="P305"/>
      <c r="Q305"/>
    </row>
    <row r="306" spans="1:17" s="1" customFormat="1" ht="15" customHeight="1" x14ac:dyDescent="0.25">
      <c r="A306" s="28" t="s">
        <v>250</v>
      </c>
      <c r="B306" s="28" t="s">
        <v>272</v>
      </c>
      <c r="C306" s="1">
        <v>1862</v>
      </c>
      <c r="D306" s="1" t="s">
        <v>2919</v>
      </c>
      <c r="E306" s="1">
        <v>999</v>
      </c>
      <c r="F306" s="28">
        <v>80</v>
      </c>
      <c r="G306" s="1">
        <v>1</v>
      </c>
      <c r="H306" s="1">
        <v>95</v>
      </c>
      <c r="I306" s="1">
        <v>153</v>
      </c>
      <c r="J306" t="str">
        <f t="shared" si="4"/>
        <v>http://www.badatelna.eu/reprodukce/?fondId=241&amp;zaznamId=1133739&amp;reproId=3885809</v>
      </c>
      <c r="K306">
        <f>IF(LEN(TRIM(E306))=0,"",VLOOKUP(E306,Sheet2!$B$1:$E$19,2,FALSE))</f>
        <v>241</v>
      </c>
      <c r="L306">
        <f>IF(LEN(TRIM(E306))=0,"",VLOOKUP(E306,Sheet2!$B$1:$E$19,3,FALSE))</f>
        <v>1133739</v>
      </c>
      <c r="M306">
        <f>IF(LEN(TRIM(E306))=0,"",VLOOKUP(E306,Sheet2!$B$1:$E$19,4,FALSE))+(F306-1)</f>
        <v>3885809</v>
      </c>
      <c r="N306"/>
      <c r="O306"/>
      <c r="P306"/>
      <c r="Q306"/>
    </row>
    <row r="307" spans="1:17" s="1" customFormat="1" ht="15" customHeight="1" x14ac:dyDescent="0.25">
      <c r="A307" s="27" t="s">
        <v>250</v>
      </c>
      <c r="B307" s="27" t="s">
        <v>468</v>
      </c>
      <c r="C307" s="5" t="s">
        <v>1083</v>
      </c>
      <c r="D307" s="3" t="s">
        <v>454</v>
      </c>
      <c r="E307" s="3">
        <v>2170</v>
      </c>
      <c r="F307" s="28">
        <v>20</v>
      </c>
      <c r="G307" s="10">
        <v>16</v>
      </c>
      <c r="H307" s="3">
        <v>61</v>
      </c>
      <c r="I307" s="3">
        <v>57</v>
      </c>
      <c r="J307" t="str">
        <f t="shared" si="4"/>
        <v>http://www.badatelna.eu/reprodukce/?fondId=1073&amp;zaznamId=1108956&amp;reproId=3779612</v>
      </c>
      <c r="K307">
        <f>IF(LEN(TRIM(E307))=0,"",VLOOKUP(E307,Sheet2!$B$1:$E$19,2,FALSE))</f>
        <v>1073</v>
      </c>
      <c r="L307">
        <f>IF(LEN(TRIM(E307))=0,"",VLOOKUP(E307,Sheet2!$B$1:$E$19,3,FALSE))</f>
        <v>1108956</v>
      </c>
      <c r="M307">
        <f>IF(LEN(TRIM(E307))=0,"",VLOOKUP(E307,Sheet2!$B$1:$E$19,4,FALSE))+(F307-1)</f>
        <v>3779612</v>
      </c>
    </row>
    <row r="308" spans="1:17" s="1" customFormat="1" ht="15" customHeight="1" x14ac:dyDescent="0.25">
      <c r="A308" s="28" t="s">
        <v>250</v>
      </c>
      <c r="B308" s="28" t="s">
        <v>469</v>
      </c>
      <c r="C308" s="1">
        <v>1865</v>
      </c>
      <c r="D308" s="1" t="s">
        <v>2919</v>
      </c>
      <c r="E308" s="1">
        <v>999</v>
      </c>
      <c r="F308" s="28">
        <v>89</v>
      </c>
      <c r="G308" s="1">
        <v>10</v>
      </c>
      <c r="H308" s="1">
        <v>95</v>
      </c>
      <c r="I308" s="1">
        <v>153</v>
      </c>
      <c r="J308" t="str">
        <f t="shared" si="4"/>
        <v>http://www.badatelna.eu/reprodukce/?fondId=241&amp;zaznamId=1133739&amp;reproId=3885818</v>
      </c>
      <c r="K308">
        <f>IF(LEN(TRIM(E308))=0,"",VLOOKUP(E308,Sheet2!$B$1:$E$19,2,FALSE))</f>
        <v>241</v>
      </c>
      <c r="L308">
        <f>IF(LEN(TRIM(E308))=0,"",VLOOKUP(E308,Sheet2!$B$1:$E$19,3,FALSE))</f>
        <v>1133739</v>
      </c>
      <c r="M308">
        <f>IF(LEN(TRIM(E308))=0,"",VLOOKUP(E308,Sheet2!$B$1:$E$19,4,FALSE))+(F308-1)</f>
        <v>3885818</v>
      </c>
    </row>
    <row r="309" spans="1:17" s="1" customFormat="1" ht="15" customHeight="1" x14ac:dyDescent="0.25">
      <c r="A309" s="29" t="s">
        <v>2940</v>
      </c>
      <c r="B309" s="28" t="s">
        <v>40</v>
      </c>
      <c r="C309" s="1">
        <v>1858</v>
      </c>
      <c r="D309" s="1" t="s">
        <v>2919</v>
      </c>
      <c r="E309" s="1">
        <v>998</v>
      </c>
      <c r="F309" s="28">
        <v>55</v>
      </c>
      <c r="G309" s="1" t="s">
        <v>2939</v>
      </c>
      <c r="H309" s="1">
        <v>64</v>
      </c>
      <c r="I309" s="1">
        <v>61</v>
      </c>
      <c r="J309" t="str">
        <f t="shared" si="4"/>
        <v>http://www.badatelna.eu/reprodukce/?fondId=241&amp;zaznamId=1133738&amp;reproId=3885701</v>
      </c>
      <c r="K309">
        <f>IF(LEN(TRIM(E309))=0,"",VLOOKUP(E309,Sheet2!$B$1:$E$19,2,FALSE))</f>
        <v>241</v>
      </c>
      <c r="L309">
        <f>IF(LEN(TRIM(E309))=0,"",VLOOKUP(E309,Sheet2!$B$1:$E$19,3,FALSE))</f>
        <v>1133738</v>
      </c>
      <c r="M309">
        <f>IF(LEN(TRIM(E309))=0,"",VLOOKUP(E309,Sheet2!$B$1:$E$19,4,FALSE))+(F309-1)</f>
        <v>3885701</v>
      </c>
      <c r="N309"/>
      <c r="O309"/>
      <c r="P309"/>
      <c r="Q309"/>
    </row>
    <row r="310" spans="1:17" s="1" customFormat="1" ht="15" customHeight="1" x14ac:dyDescent="0.25">
      <c r="A310" s="28" t="s">
        <v>421</v>
      </c>
      <c r="B310" s="28" t="s">
        <v>776</v>
      </c>
      <c r="C310" s="6" t="s">
        <v>1653</v>
      </c>
      <c r="D310" s="1" t="s">
        <v>454</v>
      </c>
      <c r="E310" s="1">
        <v>2172</v>
      </c>
      <c r="F310" s="28">
        <v>102</v>
      </c>
      <c r="G310" s="9">
        <v>101</v>
      </c>
      <c r="H310" s="1">
        <v>103</v>
      </c>
      <c r="I310" s="1">
        <v>102</v>
      </c>
      <c r="J310" t="str">
        <f t="shared" si="4"/>
        <v>http://www.badatelna.eu/reprodukce/?fondId=1073&amp;zaznamId=1108958&amp;reproId=3779843</v>
      </c>
      <c r="K310">
        <f>IF(LEN(TRIM(E310))=0,"",VLOOKUP(E310,Sheet2!$B$1:$E$19,2,FALSE))</f>
        <v>1073</v>
      </c>
      <c r="L310">
        <f>IF(LEN(TRIM(E310))=0,"",VLOOKUP(E310,Sheet2!$B$1:$E$19,3,FALSE))</f>
        <v>1108958</v>
      </c>
      <c r="M310">
        <f>IF(LEN(TRIM(E310))=0,"",VLOOKUP(E310,Sheet2!$B$1:$E$19,4,FALSE))+(F310-1)</f>
        <v>3779843</v>
      </c>
    </row>
    <row r="311" spans="1:17" s="1" customFormat="1" ht="15" customHeight="1" x14ac:dyDescent="0.25">
      <c r="A311" s="29" t="s">
        <v>421</v>
      </c>
      <c r="B311" s="28" t="s">
        <v>29</v>
      </c>
      <c r="C311" s="6" t="s">
        <v>2528</v>
      </c>
      <c r="D311" s="1" t="s">
        <v>454</v>
      </c>
      <c r="E311" s="1">
        <v>2173</v>
      </c>
      <c r="F311" s="28">
        <v>207</v>
      </c>
      <c r="G311" s="17">
        <v>23</v>
      </c>
      <c r="H311" s="1" t="s">
        <v>3073</v>
      </c>
      <c r="I311" s="1" t="s">
        <v>3073</v>
      </c>
      <c r="J311" t="str">
        <f t="shared" si="4"/>
        <v>http://www.badatelna.eu/reprodukce/?fondId=1073&amp;zaznamId=1108959&amp;reproId=3780200</v>
      </c>
      <c r="K311">
        <f>IF(LEN(TRIM(E311))=0,"",VLOOKUP(E311,Sheet2!$B$1:$E$19,2,FALSE))</f>
        <v>1073</v>
      </c>
      <c r="L311">
        <f>IF(LEN(TRIM(E311))=0,"",VLOOKUP(E311,Sheet2!$B$1:$E$19,3,FALSE))</f>
        <v>1108959</v>
      </c>
      <c r="M311">
        <f>IF(LEN(TRIM(E311))=0,"",VLOOKUP(E311,Sheet2!$B$1:$E$19,4,FALSE))+(F311-1)</f>
        <v>3780200</v>
      </c>
    </row>
    <row r="312" spans="1:17" s="1" customFormat="1" ht="15" customHeight="1" x14ac:dyDescent="0.25">
      <c r="A312" s="28" t="s">
        <v>421</v>
      </c>
      <c r="B312" s="28" t="s">
        <v>521</v>
      </c>
      <c r="C312" s="1">
        <v>1893</v>
      </c>
      <c r="D312" s="1" t="s">
        <v>454</v>
      </c>
      <c r="E312" s="1">
        <v>2172</v>
      </c>
      <c r="F312" s="28">
        <v>88</v>
      </c>
      <c r="G312" s="9">
        <v>87</v>
      </c>
      <c r="H312" s="1">
        <v>89</v>
      </c>
      <c r="I312" s="1">
        <v>88</v>
      </c>
      <c r="J312" t="str">
        <f t="shared" si="4"/>
        <v>http://www.badatelna.eu/reprodukce/?fondId=1073&amp;zaznamId=1108958&amp;reproId=3779829</v>
      </c>
      <c r="K312">
        <f>IF(LEN(TRIM(E312))=0,"",VLOOKUP(E312,Sheet2!$B$1:$E$19,2,FALSE))</f>
        <v>1073</v>
      </c>
      <c r="L312">
        <f>IF(LEN(TRIM(E312))=0,"",VLOOKUP(E312,Sheet2!$B$1:$E$19,3,FALSE))</f>
        <v>1108958</v>
      </c>
      <c r="M312">
        <f>IF(LEN(TRIM(E312))=0,"",VLOOKUP(E312,Sheet2!$B$1:$E$19,4,FALSE))+(F312-1)</f>
        <v>3779829</v>
      </c>
    </row>
    <row r="313" spans="1:17" s="1" customFormat="1" ht="15" customHeight="1" x14ac:dyDescent="0.25">
      <c r="A313" s="28" t="s">
        <v>421</v>
      </c>
      <c r="B313" s="28" t="s">
        <v>2899</v>
      </c>
      <c r="C313" s="6" t="s">
        <v>2900</v>
      </c>
      <c r="D313" s="1" t="s">
        <v>454</v>
      </c>
      <c r="E313" s="1">
        <v>2173</v>
      </c>
      <c r="F313" s="28">
        <v>211</v>
      </c>
      <c r="G313" s="9" t="s">
        <v>2760</v>
      </c>
      <c r="H313" s="1" t="s">
        <v>3073</v>
      </c>
      <c r="I313" s="1" t="s">
        <v>3073</v>
      </c>
      <c r="J313" t="str">
        <f t="shared" si="4"/>
        <v>http://www.badatelna.eu/reprodukce/?fondId=1073&amp;zaznamId=1108959&amp;reproId=3780204</v>
      </c>
      <c r="K313">
        <f>IF(LEN(TRIM(E313))=0,"",VLOOKUP(E313,Sheet2!$B$1:$E$19,2,FALSE))</f>
        <v>1073</v>
      </c>
      <c r="L313">
        <f>IF(LEN(TRIM(E313))=0,"",VLOOKUP(E313,Sheet2!$B$1:$E$19,3,FALSE))</f>
        <v>1108959</v>
      </c>
      <c r="M313">
        <f>IF(LEN(TRIM(E313))=0,"",VLOOKUP(E313,Sheet2!$B$1:$E$19,4,FALSE))+(F313-1)</f>
        <v>3780204</v>
      </c>
    </row>
    <row r="314" spans="1:17" s="1" customFormat="1" ht="15" customHeight="1" x14ac:dyDescent="0.25">
      <c r="A314" s="28" t="s">
        <v>421</v>
      </c>
      <c r="B314" s="28" t="s">
        <v>2899</v>
      </c>
      <c r="C314" s="6" t="s">
        <v>2604</v>
      </c>
      <c r="D314" s="1" t="s">
        <v>454</v>
      </c>
      <c r="E314" s="1">
        <v>2173</v>
      </c>
      <c r="F314" s="28">
        <v>218</v>
      </c>
      <c r="G314" s="9">
        <v>46</v>
      </c>
      <c r="H314" s="1" t="s">
        <v>3073</v>
      </c>
      <c r="I314" s="1" t="s">
        <v>3073</v>
      </c>
      <c r="J314" t="str">
        <f t="shared" si="4"/>
        <v>http://www.badatelna.eu/reprodukce/?fondId=1073&amp;zaznamId=1108959&amp;reproId=3780211</v>
      </c>
      <c r="K314">
        <f>IF(LEN(TRIM(E314))=0,"",VLOOKUP(E314,Sheet2!$B$1:$E$19,2,FALSE))</f>
        <v>1073</v>
      </c>
      <c r="L314">
        <f>IF(LEN(TRIM(E314))=0,"",VLOOKUP(E314,Sheet2!$B$1:$E$19,3,FALSE))</f>
        <v>1108959</v>
      </c>
      <c r="M314">
        <f>IF(LEN(TRIM(E314))=0,"",VLOOKUP(E314,Sheet2!$B$1:$E$19,4,FALSE))+(F314-1)</f>
        <v>3780211</v>
      </c>
    </row>
    <row r="315" spans="1:17" s="1" customFormat="1" ht="15" customHeight="1" x14ac:dyDescent="0.25">
      <c r="A315" s="28" t="s">
        <v>421</v>
      </c>
      <c r="B315" s="28" t="s">
        <v>25</v>
      </c>
      <c r="C315" s="6" t="s">
        <v>2556</v>
      </c>
      <c r="D315" s="1" t="s">
        <v>454</v>
      </c>
      <c r="E315" s="1">
        <v>2173</v>
      </c>
      <c r="F315" s="28">
        <v>208</v>
      </c>
      <c r="G315" s="1">
        <v>25</v>
      </c>
      <c r="H315" s="1" t="s">
        <v>3073</v>
      </c>
      <c r="I315" s="1" t="s">
        <v>3073</v>
      </c>
      <c r="J315" t="str">
        <f t="shared" si="4"/>
        <v>http://www.badatelna.eu/reprodukce/?fondId=1073&amp;zaznamId=1108959&amp;reproId=3780201</v>
      </c>
      <c r="K315">
        <f>IF(LEN(TRIM(E315))=0,"",VLOOKUP(E315,Sheet2!$B$1:$E$19,2,FALSE))</f>
        <v>1073</v>
      </c>
      <c r="L315">
        <f>IF(LEN(TRIM(E315))=0,"",VLOOKUP(E315,Sheet2!$B$1:$E$19,3,FALSE))</f>
        <v>1108959</v>
      </c>
      <c r="M315">
        <f>IF(LEN(TRIM(E315))=0,"",VLOOKUP(E315,Sheet2!$B$1:$E$19,4,FALSE))+(F315-1)</f>
        <v>3780201</v>
      </c>
      <c r="N315"/>
      <c r="O315"/>
      <c r="P315"/>
      <c r="Q315"/>
    </row>
    <row r="316" spans="1:17" s="1" customFormat="1" ht="15" customHeight="1" x14ac:dyDescent="0.25">
      <c r="A316" s="28" t="s">
        <v>421</v>
      </c>
      <c r="B316" s="28" t="s">
        <v>777</v>
      </c>
      <c r="C316" s="6" t="s">
        <v>1836</v>
      </c>
      <c r="D316" s="1" t="s">
        <v>454</v>
      </c>
      <c r="E316" s="1">
        <v>2172</v>
      </c>
      <c r="F316" s="28">
        <v>174</v>
      </c>
      <c r="G316" s="9">
        <v>167</v>
      </c>
      <c r="H316" s="1" t="s">
        <v>3073</v>
      </c>
      <c r="I316" s="1" t="s">
        <v>3073</v>
      </c>
      <c r="J316" t="str">
        <f t="shared" si="4"/>
        <v>http://www.badatelna.eu/reprodukce/?fondId=1073&amp;zaznamId=1108958&amp;reproId=3779915</v>
      </c>
      <c r="K316">
        <f>IF(LEN(TRIM(E316))=0,"",VLOOKUP(E316,Sheet2!$B$1:$E$19,2,FALSE))</f>
        <v>1073</v>
      </c>
      <c r="L316">
        <f>IF(LEN(TRIM(E316))=0,"",VLOOKUP(E316,Sheet2!$B$1:$E$19,3,FALSE))</f>
        <v>1108958</v>
      </c>
      <c r="M316">
        <f>IF(LEN(TRIM(E316))=0,"",VLOOKUP(E316,Sheet2!$B$1:$E$19,4,FALSE))+(F316-1)</f>
        <v>3779915</v>
      </c>
    </row>
    <row r="317" spans="1:17" s="1" customFormat="1" ht="15" customHeight="1" x14ac:dyDescent="0.25">
      <c r="A317" s="27" t="s">
        <v>421</v>
      </c>
      <c r="B317" s="27" t="s">
        <v>487</v>
      </c>
      <c r="C317" s="5" t="s">
        <v>1267</v>
      </c>
      <c r="D317" s="3" t="s">
        <v>454</v>
      </c>
      <c r="E317" s="3">
        <v>2170</v>
      </c>
      <c r="F317" s="28">
        <v>55</v>
      </c>
      <c r="G317" s="10">
        <v>51</v>
      </c>
      <c r="H317" s="3">
        <v>67</v>
      </c>
      <c r="I317" s="3">
        <v>63</v>
      </c>
      <c r="J317" t="str">
        <f t="shared" si="4"/>
        <v>http://www.badatelna.eu/reprodukce/?fondId=1073&amp;zaznamId=1108956&amp;reproId=3779647</v>
      </c>
      <c r="K317">
        <f>IF(LEN(TRIM(E317))=0,"",VLOOKUP(E317,Sheet2!$B$1:$E$19,2,FALSE))</f>
        <v>1073</v>
      </c>
      <c r="L317">
        <f>IF(LEN(TRIM(E317))=0,"",VLOOKUP(E317,Sheet2!$B$1:$E$19,3,FALSE))</f>
        <v>1108956</v>
      </c>
      <c r="M317">
        <f>IF(LEN(TRIM(E317))=0,"",VLOOKUP(E317,Sheet2!$B$1:$E$19,4,FALSE))+(F317-1)</f>
        <v>3779647</v>
      </c>
    </row>
    <row r="318" spans="1:17" s="1" customFormat="1" ht="15" customHeight="1" x14ac:dyDescent="0.25">
      <c r="A318" s="28" t="s">
        <v>421</v>
      </c>
      <c r="B318" s="28" t="s">
        <v>631</v>
      </c>
      <c r="C318" s="6" t="s">
        <v>1847</v>
      </c>
      <c r="D318" s="1" t="s">
        <v>454</v>
      </c>
      <c r="E318" s="1">
        <v>2172</v>
      </c>
      <c r="F318" s="28">
        <v>179</v>
      </c>
      <c r="G318" s="9">
        <v>172</v>
      </c>
      <c r="H318" s="1" t="s">
        <v>3073</v>
      </c>
      <c r="I318" s="1" t="s">
        <v>3073</v>
      </c>
      <c r="J318" t="str">
        <f t="shared" si="4"/>
        <v>http://www.badatelna.eu/reprodukce/?fondId=1073&amp;zaznamId=1108958&amp;reproId=3779920</v>
      </c>
      <c r="K318">
        <f>IF(LEN(TRIM(E318))=0,"",VLOOKUP(E318,Sheet2!$B$1:$E$19,2,FALSE))</f>
        <v>1073</v>
      </c>
      <c r="L318">
        <f>IF(LEN(TRIM(E318))=0,"",VLOOKUP(E318,Sheet2!$B$1:$E$19,3,FALSE))</f>
        <v>1108958</v>
      </c>
      <c r="M318">
        <f>IF(LEN(TRIM(E318))=0,"",VLOOKUP(E318,Sheet2!$B$1:$E$19,4,FALSE))+(F318-1)</f>
        <v>3779920</v>
      </c>
    </row>
    <row r="319" spans="1:17" s="1" customFormat="1" ht="15" customHeight="1" x14ac:dyDescent="0.25">
      <c r="A319" s="28" t="s">
        <v>421</v>
      </c>
      <c r="B319" s="28" t="s">
        <v>340</v>
      </c>
      <c r="C319" s="1">
        <v>1856</v>
      </c>
      <c r="D319" s="1" t="s">
        <v>2919</v>
      </c>
      <c r="E319" s="1">
        <v>998</v>
      </c>
      <c r="F319" s="28">
        <v>50</v>
      </c>
      <c r="G319" s="1">
        <v>48</v>
      </c>
      <c r="H319" s="1">
        <v>64</v>
      </c>
      <c r="I319" s="1">
        <v>61</v>
      </c>
      <c r="J319" t="str">
        <f t="shared" si="4"/>
        <v>http://www.badatelna.eu/reprodukce/?fondId=241&amp;zaznamId=1133738&amp;reproId=3885696</v>
      </c>
      <c r="K319">
        <f>IF(LEN(TRIM(E319))=0,"",VLOOKUP(E319,Sheet2!$B$1:$E$19,2,FALSE))</f>
        <v>241</v>
      </c>
      <c r="L319">
        <f>IF(LEN(TRIM(E319))=0,"",VLOOKUP(E319,Sheet2!$B$1:$E$19,3,FALSE))</f>
        <v>1133738</v>
      </c>
      <c r="M319">
        <f>IF(LEN(TRIM(E319))=0,"",VLOOKUP(E319,Sheet2!$B$1:$E$19,4,FALSE))+(F319-1)</f>
        <v>3885696</v>
      </c>
    </row>
    <row r="320" spans="1:17" s="1" customFormat="1" ht="15" customHeight="1" x14ac:dyDescent="0.25">
      <c r="A320" s="29" t="s">
        <v>421</v>
      </c>
      <c r="B320" s="28" t="s">
        <v>198</v>
      </c>
      <c r="C320" s="1">
        <v>1849</v>
      </c>
      <c r="D320" s="1" t="s">
        <v>2919</v>
      </c>
      <c r="E320" s="1">
        <v>998</v>
      </c>
      <c r="F320" s="28">
        <v>20</v>
      </c>
      <c r="G320" s="1">
        <v>18</v>
      </c>
      <c r="H320" s="1">
        <v>63</v>
      </c>
      <c r="I320" s="1">
        <v>60</v>
      </c>
      <c r="J320" t="str">
        <f t="shared" si="4"/>
        <v>http://www.badatelna.eu/reprodukce/?fondId=241&amp;zaznamId=1133738&amp;reproId=3885666</v>
      </c>
      <c r="K320">
        <f>IF(LEN(TRIM(E320))=0,"",VLOOKUP(E320,Sheet2!$B$1:$E$19,2,FALSE))</f>
        <v>241</v>
      </c>
      <c r="L320">
        <f>IF(LEN(TRIM(E320))=0,"",VLOOKUP(E320,Sheet2!$B$1:$E$19,3,FALSE))</f>
        <v>1133738</v>
      </c>
      <c r="M320">
        <f>IF(LEN(TRIM(E320))=0,"",VLOOKUP(E320,Sheet2!$B$1:$E$19,4,FALSE))+(F320-1)</f>
        <v>3885666</v>
      </c>
    </row>
    <row r="321" spans="1:17" s="1" customFormat="1" ht="15" customHeight="1" x14ac:dyDescent="0.25">
      <c r="A321" s="28" t="s">
        <v>421</v>
      </c>
      <c r="B321" s="28" t="s">
        <v>198</v>
      </c>
      <c r="C321" s="1">
        <v>1857</v>
      </c>
      <c r="D321" s="1" t="s">
        <v>2919</v>
      </c>
      <c r="E321" s="1">
        <v>998</v>
      </c>
      <c r="F321" s="28">
        <v>51</v>
      </c>
      <c r="G321" s="1">
        <v>49</v>
      </c>
      <c r="H321" s="1">
        <v>64</v>
      </c>
      <c r="I321" s="1">
        <v>61</v>
      </c>
      <c r="J321" t="str">
        <f t="shared" si="4"/>
        <v>http://www.badatelna.eu/reprodukce/?fondId=241&amp;zaznamId=1133738&amp;reproId=3885697</v>
      </c>
      <c r="K321">
        <f>IF(LEN(TRIM(E321))=0,"",VLOOKUP(E321,Sheet2!$B$1:$E$19,2,FALSE))</f>
        <v>241</v>
      </c>
      <c r="L321">
        <f>IF(LEN(TRIM(E321))=0,"",VLOOKUP(E321,Sheet2!$B$1:$E$19,3,FALSE))</f>
        <v>1133738</v>
      </c>
      <c r="M321">
        <f>IF(LEN(TRIM(E321))=0,"",VLOOKUP(E321,Sheet2!$B$1:$E$19,4,FALSE))+(F321-1)</f>
        <v>3885697</v>
      </c>
    </row>
    <row r="322" spans="1:17" s="1" customFormat="1" ht="15" customHeight="1" x14ac:dyDescent="0.25">
      <c r="A322" s="28" t="s">
        <v>421</v>
      </c>
      <c r="B322" s="28" t="s">
        <v>462</v>
      </c>
      <c r="C322" s="1">
        <v>1851</v>
      </c>
      <c r="D322" s="1" t="s">
        <v>2919</v>
      </c>
      <c r="E322" s="1">
        <v>998</v>
      </c>
      <c r="F322" s="28">
        <v>32</v>
      </c>
      <c r="G322" s="1">
        <v>30</v>
      </c>
      <c r="H322" s="1">
        <v>63</v>
      </c>
      <c r="I322" s="1">
        <v>60</v>
      </c>
      <c r="J322" t="str">
        <f t="shared" si="4"/>
        <v>http://www.badatelna.eu/reprodukce/?fondId=241&amp;zaznamId=1133738&amp;reproId=3885678</v>
      </c>
      <c r="K322">
        <f>IF(LEN(TRIM(E322))=0,"",VLOOKUP(E322,Sheet2!$B$1:$E$19,2,FALSE))</f>
        <v>241</v>
      </c>
      <c r="L322">
        <f>IF(LEN(TRIM(E322))=0,"",VLOOKUP(E322,Sheet2!$B$1:$E$19,3,FALSE))</f>
        <v>1133738</v>
      </c>
      <c r="M322">
        <f>IF(LEN(TRIM(E322))=0,"",VLOOKUP(E322,Sheet2!$B$1:$E$19,4,FALSE))+(F322-1)</f>
        <v>3885678</v>
      </c>
    </row>
    <row r="323" spans="1:17" s="1" customFormat="1" ht="15" customHeight="1" x14ac:dyDescent="0.25">
      <c r="A323" s="28" t="s">
        <v>421</v>
      </c>
      <c r="B323" s="28" t="s">
        <v>778</v>
      </c>
      <c r="C323" s="6" t="s">
        <v>1672</v>
      </c>
      <c r="D323" s="1" t="s">
        <v>454</v>
      </c>
      <c r="E323" s="1">
        <v>2172</v>
      </c>
      <c r="F323" s="28">
        <v>108</v>
      </c>
      <c r="G323" s="9">
        <v>107</v>
      </c>
      <c r="H323" s="1">
        <v>109</v>
      </c>
      <c r="I323" s="1">
        <v>108</v>
      </c>
      <c r="J323" t="str">
        <f t="shared" ref="J323:J386" si="5">IF(LEN(TRIM(E323))=0,"","http://www.badatelna.eu/reprodukce/?fondId="&amp;K323&amp;"&amp;zaznamId="&amp;L323&amp;"&amp;reproId="&amp;M323)</f>
        <v>http://www.badatelna.eu/reprodukce/?fondId=1073&amp;zaznamId=1108958&amp;reproId=3779849</v>
      </c>
      <c r="K323">
        <f>IF(LEN(TRIM(E323))=0,"",VLOOKUP(E323,Sheet2!$B$1:$E$19,2,FALSE))</f>
        <v>1073</v>
      </c>
      <c r="L323">
        <f>IF(LEN(TRIM(E323))=0,"",VLOOKUP(E323,Sheet2!$B$1:$E$19,3,FALSE))</f>
        <v>1108958</v>
      </c>
      <c r="M323">
        <f>IF(LEN(TRIM(E323))=0,"",VLOOKUP(E323,Sheet2!$B$1:$E$19,4,FALSE))+(F323-1)</f>
        <v>3779849</v>
      </c>
    </row>
    <row r="324" spans="1:17" s="1" customFormat="1" ht="15" customHeight="1" x14ac:dyDescent="0.25">
      <c r="A324" s="28" t="s">
        <v>421</v>
      </c>
      <c r="B324" s="28" t="s">
        <v>779</v>
      </c>
      <c r="C324" s="6" t="s">
        <v>1688</v>
      </c>
      <c r="D324" s="1" t="s">
        <v>454</v>
      </c>
      <c r="E324" s="1">
        <v>2172</v>
      </c>
      <c r="F324" s="28">
        <v>113</v>
      </c>
      <c r="G324" s="9" t="s">
        <v>2769</v>
      </c>
      <c r="H324" s="1">
        <v>116</v>
      </c>
      <c r="I324" s="1">
        <v>115</v>
      </c>
      <c r="J324" t="str">
        <f t="shared" si="5"/>
        <v>http://www.badatelna.eu/reprodukce/?fondId=1073&amp;zaznamId=1108958&amp;reproId=3779854</v>
      </c>
      <c r="K324">
        <f>IF(LEN(TRIM(E324))=0,"",VLOOKUP(E324,Sheet2!$B$1:$E$19,2,FALSE))</f>
        <v>1073</v>
      </c>
      <c r="L324">
        <f>IF(LEN(TRIM(E324))=0,"",VLOOKUP(E324,Sheet2!$B$1:$E$19,3,FALSE))</f>
        <v>1108958</v>
      </c>
      <c r="M324">
        <f>IF(LEN(TRIM(E324))=0,"",VLOOKUP(E324,Sheet2!$B$1:$E$19,4,FALSE))+(F324-1)</f>
        <v>3779854</v>
      </c>
    </row>
    <row r="325" spans="1:17" s="1" customFormat="1" ht="15" customHeight="1" x14ac:dyDescent="0.25">
      <c r="A325" s="27" t="s">
        <v>421</v>
      </c>
      <c r="B325" s="27" t="s">
        <v>482</v>
      </c>
      <c r="C325" s="5" t="s">
        <v>1086</v>
      </c>
      <c r="D325" s="3" t="s">
        <v>454</v>
      </c>
      <c r="E325" s="3">
        <v>2170</v>
      </c>
      <c r="F325" s="28">
        <v>23</v>
      </c>
      <c r="G325" s="10">
        <v>19</v>
      </c>
      <c r="H325" s="3">
        <v>61</v>
      </c>
      <c r="I325" s="3">
        <v>57</v>
      </c>
      <c r="J325" t="str">
        <f t="shared" si="5"/>
        <v>http://www.badatelna.eu/reprodukce/?fondId=1073&amp;zaznamId=1108956&amp;reproId=3779615</v>
      </c>
      <c r="K325">
        <f>IF(LEN(TRIM(E325))=0,"",VLOOKUP(E325,Sheet2!$B$1:$E$19,2,FALSE))</f>
        <v>1073</v>
      </c>
      <c r="L325">
        <f>IF(LEN(TRIM(E325))=0,"",VLOOKUP(E325,Sheet2!$B$1:$E$19,3,FALSE))</f>
        <v>1108956</v>
      </c>
      <c r="M325">
        <f>IF(LEN(TRIM(E325))=0,"",VLOOKUP(E325,Sheet2!$B$1:$E$19,4,FALSE))+(F325-1)</f>
        <v>3779615</v>
      </c>
      <c r="N325"/>
      <c r="O325"/>
      <c r="P325"/>
      <c r="Q325"/>
    </row>
    <row r="326" spans="1:17" s="1" customFormat="1" ht="15" customHeight="1" x14ac:dyDescent="0.25">
      <c r="A326" s="27" t="s">
        <v>421</v>
      </c>
      <c r="B326" s="27" t="s">
        <v>424</v>
      </c>
      <c r="C326" s="5" t="s">
        <v>1084</v>
      </c>
      <c r="D326" s="3" t="s">
        <v>454</v>
      </c>
      <c r="E326" s="3">
        <v>2170</v>
      </c>
      <c r="F326" s="28">
        <v>41</v>
      </c>
      <c r="G326" s="10">
        <v>37</v>
      </c>
      <c r="H326" s="3">
        <v>61</v>
      </c>
      <c r="I326" s="3">
        <v>57</v>
      </c>
      <c r="J326" t="str">
        <f t="shared" si="5"/>
        <v>http://www.badatelna.eu/reprodukce/?fondId=1073&amp;zaznamId=1108956&amp;reproId=3779633</v>
      </c>
      <c r="K326">
        <f>IF(LEN(TRIM(E326))=0,"",VLOOKUP(E326,Sheet2!$B$1:$E$19,2,FALSE))</f>
        <v>1073</v>
      </c>
      <c r="L326">
        <f>IF(LEN(TRIM(E326))=0,"",VLOOKUP(E326,Sheet2!$B$1:$E$19,3,FALSE))</f>
        <v>1108956</v>
      </c>
      <c r="M326">
        <f>IF(LEN(TRIM(E326))=0,"",VLOOKUP(E326,Sheet2!$B$1:$E$19,4,FALSE))+(F326-1)</f>
        <v>3779633</v>
      </c>
      <c r="N326"/>
      <c r="O326"/>
      <c r="P326"/>
      <c r="Q326"/>
    </row>
    <row r="327" spans="1:17" s="1" customFormat="1" ht="15" customHeight="1" x14ac:dyDescent="0.25">
      <c r="A327" s="28" t="s">
        <v>421</v>
      </c>
      <c r="B327" s="28" t="s">
        <v>587</v>
      </c>
      <c r="C327" s="1">
        <v>1856</v>
      </c>
      <c r="D327" s="1" t="s">
        <v>2919</v>
      </c>
      <c r="E327" s="1">
        <v>998</v>
      </c>
      <c r="F327" s="28">
        <v>49</v>
      </c>
      <c r="G327" s="1">
        <v>47</v>
      </c>
      <c r="H327" s="1">
        <v>64</v>
      </c>
      <c r="I327" s="1">
        <v>61</v>
      </c>
      <c r="J327" t="str">
        <f t="shared" si="5"/>
        <v>http://www.badatelna.eu/reprodukce/?fondId=241&amp;zaznamId=1133738&amp;reproId=3885695</v>
      </c>
      <c r="K327">
        <f>IF(LEN(TRIM(E327))=0,"",VLOOKUP(E327,Sheet2!$B$1:$E$19,2,FALSE))</f>
        <v>241</v>
      </c>
      <c r="L327">
        <f>IF(LEN(TRIM(E327))=0,"",VLOOKUP(E327,Sheet2!$B$1:$E$19,3,FALSE))</f>
        <v>1133738</v>
      </c>
      <c r="M327">
        <f>IF(LEN(TRIM(E327))=0,"",VLOOKUP(E327,Sheet2!$B$1:$E$19,4,FALSE))+(F327-1)</f>
        <v>3885695</v>
      </c>
    </row>
    <row r="328" spans="1:17" s="1" customFormat="1" ht="15" customHeight="1" x14ac:dyDescent="0.25">
      <c r="A328" s="29" t="s">
        <v>421</v>
      </c>
      <c r="B328" s="28" t="s">
        <v>131</v>
      </c>
      <c r="C328" s="6" t="s">
        <v>2338</v>
      </c>
      <c r="D328" s="1" t="s">
        <v>454</v>
      </c>
      <c r="E328" s="1">
        <v>2173</v>
      </c>
      <c r="F328" s="28">
        <v>200</v>
      </c>
      <c r="G328" s="9">
        <v>9</v>
      </c>
      <c r="H328" s="1" t="s">
        <v>3073</v>
      </c>
      <c r="I328" s="1" t="s">
        <v>3073</v>
      </c>
      <c r="J328" t="str">
        <f t="shared" si="5"/>
        <v>http://www.badatelna.eu/reprodukce/?fondId=1073&amp;zaznamId=1108959&amp;reproId=3780193</v>
      </c>
      <c r="K328">
        <f>IF(LEN(TRIM(E328))=0,"",VLOOKUP(E328,Sheet2!$B$1:$E$19,2,FALSE))</f>
        <v>1073</v>
      </c>
      <c r="L328">
        <f>IF(LEN(TRIM(E328))=0,"",VLOOKUP(E328,Sheet2!$B$1:$E$19,3,FALSE))</f>
        <v>1108959</v>
      </c>
      <c r="M328">
        <f>IF(LEN(TRIM(E328))=0,"",VLOOKUP(E328,Sheet2!$B$1:$E$19,4,FALSE))+(F328-1)</f>
        <v>3780193</v>
      </c>
      <c r="N328"/>
      <c r="O328"/>
      <c r="P328"/>
      <c r="Q328"/>
    </row>
    <row r="329" spans="1:17" s="1" customFormat="1" ht="15" customHeight="1" x14ac:dyDescent="0.25">
      <c r="A329" s="28" t="s">
        <v>421</v>
      </c>
      <c r="B329" s="28" t="s">
        <v>449</v>
      </c>
      <c r="C329" s="6" t="s">
        <v>2740</v>
      </c>
      <c r="D329" s="1" t="s">
        <v>454</v>
      </c>
      <c r="E329" s="1">
        <v>2173</v>
      </c>
      <c r="F329" s="28">
        <v>229</v>
      </c>
      <c r="G329" s="9">
        <v>62</v>
      </c>
      <c r="H329" s="1" t="s">
        <v>3073</v>
      </c>
      <c r="I329" s="1" t="s">
        <v>3073</v>
      </c>
      <c r="J329" t="str">
        <f t="shared" si="5"/>
        <v>http://www.badatelna.eu/reprodukce/?fondId=1073&amp;zaznamId=1108959&amp;reproId=3780222</v>
      </c>
      <c r="K329">
        <f>IF(LEN(TRIM(E329))=0,"",VLOOKUP(E329,Sheet2!$B$1:$E$19,2,FALSE))</f>
        <v>1073</v>
      </c>
      <c r="L329">
        <f>IF(LEN(TRIM(E329))=0,"",VLOOKUP(E329,Sheet2!$B$1:$E$19,3,FALSE))</f>
        <v>1108959</v>
      </c>
      <c r="M329">
        <f>IF(LEN(TRIM(E329))=0,"",VLOOKUP(E329,Sheet2!$B$1:$E$19,4,FALSE))+(F329-1)</f>
        <v>3780222</v>
      </c>
      <c r="N329"/>
      <c r="O329"/>
      <c r="P329"/>
      <c r="Q329"/>
    </row>
    <row r="330" spans="1:17" s="1" customFormat="1" ht="15" customHeight="1" x14ac:dyDescent="0.25">
      <c r="A330" s="27" t="s">
        <v>421</v>
      </c>
      <c r="B330" s="27" t="s">
        <v>343</v>
      </c>
      <c r="C330" s="5" t="s">
        <v>1087</v>
      </c>
      <c r="D330" s="3" t="s">
        <v>454</v>
      </c>
      <c r="E330" s="3">
        <v>2170</v>
      </c>
      <c r="F330" s="28">
        <v>29</v>
      </c>
      <c r="G330" s="10">
        <v>25</v>
      </c>
      <c r="H330" s="3">
        <v>61</v>
      </c>
      <c r="I330" s="3">
        <v>57</v>
      </c>
      <c r="J330" t="str">
        <f t="shared" si="5"/>
        <v>http://www.badatelna.eu/reprodukce/?fondId=1073&amp;zaznamId=1108956&amp;reproId=3779621</v>
      </c>
      <c r="K330">
        <f>IF(LEN(TRIM(E330))=0,"",VLOOKUP(E330,Sheet2!$B$1:$E$19,2,FALSE))</f>
        <v>1073</v>
      </c>
      <c r="L330">
        <f>IF(LEN(TRIM(E330))=0,"",VLOOKUP(E330,Sheet2!$B$1:$E$19,3,FALSE))</f>
        <v>1108956</v>
      </c>
      <c r="M330">
        <f>IF(LEN(TRIM(E330))=0,"",VLOOKUP(E330,Sheet2!$B$1:$E$19,4,FALSE))+(F330-1)</f>
        <v>3779621</v>
      </c>
      <c r="N330"/>
      <c r="O330"/>
      <c r="P330"/>
      <c r="Q330"/>
    </row>
    <row r="331" spans="1:17" s="1" customFormat="1" ht="15" customHeight="1" x14ac:dyDescent="0.25">
      <c r="A331" s="28" t="s">
        <v>421</v>
      </c>
      <c r="B331" s="28" t="s">
        <v>306</v>
      </c>
      <c r="C331" s="1">
        <v>1854</v>
      </c>
      <c r="D331" s="1" t="s">
        <v>2919</v>
      </c>
      <c r="E331" s="1">
        <v>998</v>
      </c>
      <c r="F331" s="28">
        <v>41</v>
      </c>
      <c r="G331" s="1">
        <v>39</v>
      </c>
      <c r="H331" s="1">
        <v>63</v>
      </c>
      <c r="I331" s="1">
        <v>60</v>
      </c>
      <c r="J331" t="str">
        <f t="shared" si="5"/>
        <v>http://www.badatelna.eu/reprodukce/?fondId=241&amp;zaznamId=1133738&amp;reproId=3885687</v>
      </c>
      <c r="K331">
        <f>IF(LEN(TRIM(E331))=0,"",VLOOKUP(E331,Sheet2!$B$1:$E$19,2,FALSE))</f>
        <v>241</v>
      </c>
      <c r="L331">
        <f>IF(LEN(TRIM(E331))=0,"",VLOOKUP(E331,Sheet2!$B$1:$E$19,3,FALSE))</f>
        <v>1133738</v>
      </c>
      <c r="M331">
        <f>IF(LEN(TRIM(E331))=0,"",VLOOKUP(E331,Sheet2!$B$1:$E$19,4,FALSE))+(F331-1)</f>
        <v>3885687</v>
      </c>
    </row>
    <row r="332" spans="1:17" s="1" customFormat="1" ht="15" customHeight="1" x14ac:dyDescent="0.25">
      <c r="A332" s="27" t="s">
        <v>421</v>
      </c>
      <c r="B332" s="27" t="s">
        <v>306</v>
      </c>
      <c r="C332" s="5" t="s">
        <v>1085</v>
      </c>
      <c r="D332" s="3" t="s">
        <v>454</v>
      </c>
      <c r="E332" s="3">
        <v>2170</v>
      </c>
      <c r="F332" s="28">
        <v>22</v>
      </c>
      <c r="G332" s="10">
        <v>18</v>
      </c>
      <c r="H332" s="3">
        <v>61</v>
      </c>
      <c r="I332" s="3">
        <v>57</v>
      </c>
      <c r="J332" t="str">
        <f t="shared" si="5"/>
        <v>http://www.badatelna.eu/reprodukce/?fondId=1073&amp;zaznamId=1108956&amp;reproId=3779614</v>
      </c>
      <c r="K332">
        <f>IF(LEN(TRIM(E332))=0,"",VLOOKUP(E332,Sheet2!$B$1:$E$19,2,FALSE))</f>
        <v>1073</v>
      </c>
      <c r="L332">
        <f>IF(LEN(TRIM(E332))=0,"",VLOOKUP(E332,Sheet2!$B$1:$E$19,3,FALSE))</f>
        <v>1108956</v>
      </c>
      <c r="M332">
        <f>IF(LEN(TRIM(E332))=0,"",VLOOKUP(E332,Sheet2!$B$1:$E$19,4,FALSE))+(F332-1)</f>
        <v>3779614</v>
      </c>
    </row>
    <row r="333" spans="1:17" s="1" customFormat="1" ht="15" customHeight="1" x14ac:dyDescent="0.25">
      <c r="A333" s="28" t="s">
        <v>421</v>
      </c>
      <c r="B333" s="28" t="s">
        <v>2928</v>
      </c>
      <c r="C333" s="1">
        <v>1849</v>
      </c>
      <c r="D333" s="1" t="s">
        <v>2919</v>
      </c>
      <c r="E333" s="1">
        <v>998</v>
      </c>
      <c r="F333" s="28">
        <v>27</v>
      </c>
      <c r="G333" s="1">
        <v>25</v>
      </c>
      <c r="H333" s="1">
        <v>63</v>
      </c>
      <c r="I333" s="1">
        <v>60</v>
      </c>
      <c r="J333" t="str">
        <f t="shared" si="5"/>
        <v>http://www.badatelna.eu/reprodukce/?fondId=241&amp;zaznamId=1133738&amp;reproId=3885673</v>
      </c>
      <c r="K333">
        <f>IF(LEN(TRIM(E333))=0,"",VLOOKUP(E333,Sheet2!$B$1:$E$19,2,FALSE))</f>
        <v>241</v>
      </c>
      <c r="L333">
        <f>IF(LEN(TRIM(E333))=0,"",VLOOKUP(E333,Sheet2!$B$1:$E$19,3,FALSE))</f>
        <v>1133738</v>
      </c>
      <c r="M333">
        <f>IF(LEN(TRIM(E333))=0,"",VLOOKUP(E333,Sheet2!$B$1:$E$19,4,FALSE))+(F333-1)</f>
        <v>3885673</v>
      </c>
    </row>
    <row r="334" spans="1:17" s="1" customFormat="1" ht="15" customHeight="1" x14ac:dyDescent="0.25">
      <c r="A334" s="28" t="s">
        <v>421</v>
      </c>
      <c r="B334" s="28" t="s">
        <v>54</v>
      </c>
      <c r="C334" s="6" t="s">
        <v>2669</v>
      </c>
      <c r="D334" s="1" t="s">
        <v>454</v>
      </c>
      <c r="E334" s="1">
        <v>2173</v>
      </c>
      <c r="F334" s="28">
        <v>223</v>
      </c>
      <c r="G334" s="9">
        <v>52</v>
      </c>
      <c r="H334" s="1" t="s">
        <v>3073</v>
      </c>
      <c r="I334" s="1" t="s">
        <v>3073</v>
      </c>
      <c r="J334" t="str">
        <f t="shared" si="5"/>
        <v>http://www.badatelna.eu/reprodukce/?fondId=1073&amp;zaznamId=1108959&amp;reproId=3780216</v>
      </c>
      <c r="K334">
        <f>IF(LEN(TRIM(E334))=0,"",VLOOKUP(E334,Sheet2!$B$1:$E$19,2,FALSE))</f>
        <v>1073</v>
      </c>
      <c r="L334">
        <f>IF(LEN(TRIM(E334))=0,"",VLOOKUP(E334,Sheet2!$B$1:$E$19,3,FALSE))</f>
        <v>1108959</v>
      </c>
      <c r="M334">
        <f>IF(LEN(TRIM(E334))=0,"",VLOOKUP(E334,Sheet2!$B$1:$E$19,4,FALSE))+(F334-1)</f>
        <v>3780216</v>
      </c>
      <c r="N334"/>
      <c r="O334"/>
      <c r="P334"/>
      <c r="Q334"/>
    </row>
    <row r="335" spans="1:17" s="1" customFormat="1" ht="15" customHeight="1" x14ac:dyDescent="0.25">
      <c r="A335" s="27" t="s">
        <v>421</v>
      </c>
      <c r="B335" s="27" t="s">
        <v>407</v>
      </c>
      <c r="C335" s="5" t="s">
        <v>1088</v>
      </c>
      <c r="D335" s="3" t="s">
        <v>454</v>
      </c>
      <c r="E335" s="3">
        <v>2170</v>
      </c>
      <c r="F335" s="28">
        <v>40</v>
      </c>
      <c r="G335" s="10">
        <v>36</v>
      </c>
      <c r="H335" s="3">
        <v>61</v>
      </c>
      <c r="I335" s="3">
        <v>57</v>
      </c>
      <c r="J335" t="str">
        <f t="shared" si="5"/>
        <v>http://www.badatelna.eu/reprodukce/?fondId=1073&amp;zaznamId=1108956&amp;reproId=3779632</v>
      </c>
      <c r="K335">
        <f>IF(LEN(TRIM(E335))=0,"",VLOOKUP(E335,Sheet2!$B$1:$E$19,2,FALSE))</f>
        <v>1073</v>
      </c>
      <c r="L335">
        <f>IF(LEN(TRIM(E335))=0,"",VLOOKUP(E335,Sheet2!$B$1:$E$19,3,FALSE))</f>
        <v>1108956</v>
      </c>
      <c r="M335">
        <f>IF(LEN(TRIM(E335))=0,"",VLOOKUP(E335,Sheet2!$B$1:$E$19,4,FALSE))+(F335-1)</f>
        <v>3779632</v>
      </c>
    </row>
    <row r="336" spans="1:17" s="1" customFormat="1" ht="15" customHeight="1" x14ac:dyDescent="0.25">
      <c r="A336" s="28" t="s">
        <v>421</v>
      </c>
      <c r="B336" s="28" t="s">
        <v>91</v>
      </c>
      <c r="C336" s="1">
        <v>1884</v>
      </c>
      <c r="D336" s="1" t="s">
        <v>454</v>
      </c>
      <c r="E336" s="1">
        <v>2172</v>
      </c>
      <c r="F336" s="28">
        <v>39</v>
      </c>
      <c r="G336" s="9" t="s">
        <v>3080</v>
      </c>
      <c r="H336" s="1">
        <v>42</v>
      </c>
      <c r="I336" s="1">
        <v>41</v>
      </c>
      <c r="J336" t="str">
        <f t="shared" si="5"/>
        <v>http://www.badatelna.eu/reprodukce/?fondId=1073&amp;zaznamId=1108958&amp;reproId=3779780</v>
      </c>
      <c r="K336">
        <f>IF(LEN(TRIM(E336))=0,"",VLOOKUP(E336,Sheet2!$B$1:$E$19,2,FALSE))</f>
        <v>1073</v>
      </c>
      <c r="L336">
        <f>IF(LEN(TRIM(E336))=0,"",VLOOKUP(E336,Sheet2!$B$1:$E$19,3,FALSE))</f>
        <v>1108958</v>
      </c>
      <c r="M336">
        <f>IF(LEN(TRIM(E336))=0,"",VLOOKUP(E336,Sheet2!$B$1:$E$19,4,FALSE))+(F336-1)</f>
        <v>3779780</v>
      </c>
      <c r="N336"/>
      <c r="O336"/>
      <c r="P336"/>
      <c r="Q336"/>
    </row>
    <row r="337" spans="1:17" s="1" customFormat="1" ht="15" customHeight="1" x14ac:dyDescent="0.25">
      <c r="A337" s="28" t="s">
        <v>421</v>
      </c>
      <c r="B337" s="28" t="s">
        <v>91</v>
      </c>
      <c r="C337" s="1">
        <v>1886</v>
      </c>
      <c r="D337" s="1" t="s">
        <v>454</v>
      </c>
      <c r="E337" s="1">
        <v>2172</v>
      </c>
      <c r="F337" s="28">
        <v>51</v>
      </c>
      <c r="G337" s="9">
        <v>52</v>
      </c>
      <c r="H337" s="1">
        <v>54</v>
      </c>
      <c r="I337" s="1">
        <v>55</v>
      </c>
      <c r="J337" t="str">
        <f t="shared" si="5"/>
        <v>http://www.badatelna.eu/reprodukce/?fondId=1073&amp;zaznamId=1108958&amp;reproId=3779792</v>
      </c>
      <c r="K337">
        <f>IF(LEN(TRIM(E337))=0,"",VLOOKUP(E337,Sheet2!$B$1:$E$19,2,FALSE))</f>
        <v>1073</v>
      </c>
      <c r="L337">
        <f>IF(LEN(TRIM(E337))=0,"",VLOOKUP(E337,Sheet2!$B$1:$E$19,3,FALSE))</f>
        <v>1108958</v>
      </c>
      <c r="M337">
        <f>IF(LEN(TRIM(E337))=0,"",VLOOKUP(E337,Sheet2!$B$1:$E$19,4,FALSE))+(F337-1)</f>
        <v>3779792</v>
      </c>
    </row>
    <row r="338" spans="1:17" s="1" customFormat="1" ht="15" customHeight="1" x14ac:dyDescent="0.25">
      <c r="A338" s="28" t="s">
        <v>421</v>
      </c>
      <c r="B338" s="28" t="s">
        <v>289</v>
      </c>
      <c r="C338" s="6" t="s">
        <v>1773</v>
      </c>
      <c r="D338" s="1" t="s">
        <v>454</v>
      </c>
      <c r="E338" s="1">
        <v>2172</v>
      </c>
      <c r="F338" s="28">
        <v>148</v>
      </c>
      <c r="G338" s="9">
        <v>144</v>
      </c>
      <c r="H338" s="1">
        <v>149</v>
      </c>
      <c r="I338" s="1">
        <v>145</v>
      </c>
      <c r="J338" t="str">
        <f t="shared" si="5"/>
        <v>http://www.badatelna.eu/reprodukce/?fondId=1073&amp;zaznamId=1108958&amp;reproId=3779889</v>
      </c>
      <c r="K338">
        <f>IF(LEN(TRIM(E338))=0,"",VLOOKUP(E338,Sheet2!$B$1:$E$19,2,FALSE))</f>
        <v>1073</v>
      </c>
      <c r="L338">
        <f>IF(LEN(TRIM(E338))=0,"",VLOOKUP(E338,Sheet2!$B$1:$E$19,3,FALSE))</f>
        <v>1108958</v>
      </c>
      <c r="M338">
        <f>IF(LEN(TRIM(E338))=0,"",VLOOKUP(E338,Sheet2!$B$1:$E$19,4,FALSE))+(F338-1)</f>
        <v>3779889</v>
      </c>
      <c r="N338"/>
      <c r="O338"/>
      <c r="P338"/>
      <c r="Q338"/>
    </row>
    <row r="339" spans="1:17" s="1" customFormat="1" ht="15" customHeight="1" x14ac:dyDescent="0.25">
      <c r="A339" s="29" t="s">
        <v>459</v>
      </c>
      <c r="B339" s="29" t="s">
        <v>2794</v>
      </c>
      <c r="C339" s="6" t="s">
        <v>2263</v>
      </c>
      <c r="D339" s="1" t="s">
        <v>454</v>
      </c>
      <c r="E339" s="1">
        <v>2173</v>
      </c>
      <c r="F339" s="31">
        <v>197</v>
      </c>
      <c r="G339" s="12">
        <v>4</v>
      </c>
      <c r="H339" s="1" t="s">
        <v>3073</v>
      </c>
      <c r="I339" s="1" t="s">
        <v>3073</v>
      </c>
      <c r="J339" t="str">
        <f t="shared" si="5"/>
        <v>http://www.badatelna.eu/reprodukce/?fondId=1073&amp;zaznamId=1108959&amp;reproId=3780190</v>
      </c>
      <c r="K339">
        <f>IF(LEN(TRIM(E339))=0,"",VLOOKUP(E339,Sheet2!$B$1:$E$19,2,FALSE))</f>
        <v>1073</v>
      </c>
      <c r="L339">
        <f>IF(LEN(TRIM(E339))=0,"",VLOOKUP(E339,Sheet2!$B$1:$E$19,3,FALSE))</f>
        <v>1108959</v>
      </c>
      <c r="M339">
        <f>IF(LEN(TRIM(E339))=0,"",VLOOKUP(E339,Sheet2!$B$1:$E$19,4,FALSE))+(F339-1)</f>
        <v>3780190</v>
      </c>
    </row>
    <row r="340" spans="1:17" s="1" customFormat="1" ht="15" customHeight="1" x14ac:dyDescent="0.25">
      <c r="A340" s="28" t="s">
        <v>199</v>
      </c>
      <c r="B340" s="28" t="s">
        <v>40</v>
      </c>
      <c r="C340" s="6" t="s">
        <v>2443</v>
      </c>
      <c r="D340" s="1" t="s">
        <v>454</v>
      </c>
      <c r="E340" s="1">
        <v>2173</v>
      </c>
      <c r="F340" s="28">
        <v>204</v>
      </c>
      <c r="G340" s="1">
        <v>18</v>
      </c>
      <c r="H340" s="1" t="s">
        <v>3073</v>
      </c>
      <c r="I340" s="1" t="s">
        <v>3073</v>
      </c>
      <c r="J340" t="str">
        <f t="shared" si="5"/>
        <v>http://www.badatelna.eu/reprodukce/?fondId=1073&amp;zaznamId=1108959&amp;reproId=3780197</v>
      </c>
      <c r="K340">
        <f>IF(LEN(TRIM(E340))=0,"",VLOOKUP(E340,Sheet2!$B$1:$E$19,2,FALSE))</f>
        <v>1073</v>
      </c>
      <c r="L340">
        <f>IF(LEN(TRIM(E340))=0,"",VLOOKUP(E340,Sheet2!$B$1:$E$19,3,FALSE))</f>
        <v>1108959</v>
      </c>
      <c r="M340">
        <f>IF(LEN(TRIM(E340))=0,"",VLOOKUP(E340,Sheet2!$B$1:$E$19,4,FALSE))+(F340-1)</f>
        <v>3780197</v>
      </c>
    </row>
    <row r="341" spans="1:17" s="1" customFormat="1" ht="15" customHeight="1" x14ac:dyDescent="0.25">
      <c r="A341" s="28" t="s">
        <v>199</v>
      </c>
      <c r="B341" s="28" t="s">
        <v>443</v>
      </c>
      <c r="C341" s="1">
        <v>1849</v>
      </c>
      <c r="D341" s="1" t="s">
        <v>2919</v>
      </c>
      <c r="E341" s="1">
        <v>998</v>
      </c>
      <c r="F341" s="28">
        <v>23</v>
      </c>
      <c r="G341" s="1">
        <v>21</v>
      </c>
      <c r="H341" s="1">
        <v>63</v>
      </c>
      <c r="I341" s="1">
        <v>60</v>
      </c>
      <c r="J341" t="str">
        <f t="shared" si="5"/>
        <v>http://www.badatelna.eu/reprodukce/?fondId=241&amp;zaznamId=1133738&amp;reproId=3885669</v>
      </c>
      <c r="K341">
        <f>IF(LEN(TRIM(E341))=0,"",VLOOKUP(E341,Sheet2!$B$1:$E$19,2,FALSE))</f>
        <v>241</v>
      </c>
      <c r="L341">
        <f>IF(LEN(TRIM(E341))=0,"",VLOOKUP(E341,Sheet2!$B$1:$E$19,3,FALSE))</f>
        <v>1133738</v>
      </c>
      <c r="M341">
        <f>IF(LEN(TRIM(E341))=0,"",VLOOKUP(E341,Sheet2!$B$1:$E$19,4,FALSE))+(F341-1)</f>
        <v>3885669</v>
      </c>
      <c r="N341"/>
      <c r="O341"/>
      <c r="P341"/>
      <c r="Q341"/>
    </row>
    <row r="342" spans="1:17" s="1" customFormat="1" ht="15" customHeight="1" x14ac:dyDescent="0.25">
      <c r="A342" s="28" t="s">
        <v>199</v>
      </c>
      <c r="B342" s="28" t="s">
        <v>272</v>
      </c>
      <c r="C342" s="6" t="s">
        <v>2013</v>
      </c>
      <c r="D342" s="1" t="s">
        <v>454</v>
      </c>
      <c r="E342" s="1">
        <v>2173</v>
      </c>
      <c r="F342" s="37">
        <v>182</v>
      </c>
      <c r="G342" s="9">
        <v>11</v>
      </c>
      <c r="H342" s="1">
        <v>185</v>
      </c>
      <c r="I342" s="1">
        <v>412</v>
      </c>
      <c r="J342" t="str">
        <f t="shared" si="5"/>
        <v>http://www.badatelna.eu/reprodukce/?fondId=1073&amp;zaznamId=1108959&amp;reproId=3780175</v>
      </c>
      <c r="K342">
        <f>IF(LEN(TRIM(E342))=0,"",VLOOKUP(E342,Sheet2!$B$1:$E$19,2,FALSE))</f>
        <v>1073</v>
      </c>
      <c r="L342">
        <f>IF(LEN(TRIM(E342))=0,"",VLOOKUP(E342,Sheet2!$B$1:$E$19,3,FALSE))</f>
        <v>1108959</v>
      </c>
      <c r="M342">
        <f>IF(LEN(TRIM(E342))=0,"",VLOOKUP(E342,Sheet2!$B$1:$E$19,4,FALSE))+(F342-1)</f>
        <v>3780175</v>
      </c>
    </row>
    <row r="343" spans="1:17" s="1" customFormat="1" ht="15" customHeight="1" x14ac:dyDescent="0.25">
      <c r="A343" s="28" t="s">
        <v>199</v>
      </c>
      <c r="B343" s="28" t="s">
        <v>48</v>
      </c>
      <c r="C343" s="6" t="s">
        <v>2012</v>
      </c>
      <c r="D343" s="1" t="s">
        <v>454</v>
      </c>
      <c r="E343" s="1">
        <v>2173</v>
      </c>
      <c r="F343" s="28">
        <v>180</v>
      </c>
      <c r="G343" s="9">
        <v>6</v>
      </c>
      <c r="H343" s="1">
        <v>185</v>
      </c>
      <c r="I343" s="1">
        <v>412</v>
      </c>
      <c r="J343" t="str">
        <f t="shared" si="5"/>
        <v>http://www.badatelna.eu/reprodukce/?fondId=1073&amp;zaznamId=1108959&amp;reproId=3780173</v>
      </c>
      <c r="K343">
        <f>IF(LEN(TRIM(E343))=0,"",VLOOKUP(E343,Sheet2!$B$1:$E$19,2,FALSE))</f>
        <v>1073</v>
      </c>
      <c r="L343">
        <f>IF(LEN(TRIM(E343))=0,"",VLOOKUP(E343,Sheet2!$B$1:$E$19,3,FALSE))</f>
        <v>1108959</v>
      </c>
      <c r="M343">
        <f>IF(LEN(TRIM(E343))=0,"",VLOOKUP(E343,Sheet2!$B$1:$E$19,4,FALSE))+(F343-1)</f>
        <v>3780173</v>
      </c>
      <c r="N343"/>
      <c r="O343"/>
      <c r="P343"/>
      <c r="Q343"/>
    </row>
    <row r="344" spans="1:17" s="1" customFormat="1" ht="15" customHeight="1" x14ac:dyDescent="0.25">
      <c r="A344" s="28" t="s">
        <v>199</v>
      </c>
      <c r="B344" s="28" t="s">
        <v>143</v>
      </c>
      <c r="C344" s="6" t="s">
        <v>2366</v>
      </c>
      <c r="D344" s="1" t="s">
        <v>454</v>
      </c>
      <c r="E344" s="1">
        <v>2173</v>
      </c>
      <c r="F344" s="28">
        <v>201</v>
      </c>
      <c r="G344" s="9">
        <v>11</v>
      </c>
      <c r="H344" s="1" t="s">
        <v>3073</v>
      </c>
      <c r="I344" s="1" t="s">
        <v>3073</v>
      </c>
      <c r="J344" t="str">
        <f t="shared" si="5"/>
        <v>http://www.badatelna.eu/reprodukce/?fondId=1073&amp;zaznamId=1108959&amp;reproId=3780194</v>
      </c>
      <c r="K344">
        <f>IF(LEN(TRIM(E344))=0,"",VLOOKUP(E344,Sheet2!$B$1:$E$19,2,FALSE))</f>
        <v>1073</v>
      </c>
      <c r="L344">
        <f>IF(LEN(TRIM(E344))=0,"",VLOOKUP(E344,Sheet2!$B$1:$E$19,3,FALSE))</f>
        <v>1108959</v>
      </c>
      <c r="M344">
        <f>IF(LEN(TRIM(E344))=0,"",VLOOKUP(E344,Sheet2!$B$1:$E$19,4,FALSE))+(F344-1)</f>
        <v>3780194</v>
      </c>
    </row>
    <row r="345" spans="1:17" s="1" customFormat="1" ht="15" customHeight="1" x14ac:dyDescent="0.25">
      <c r="A345" s="28" t="s">
        <v>780</v>
      </c>
      <c r="B345" s="28" t="s">
        <v>781</v>
      </c>
      <c r="C345" s="6" t="s">
        <v>1855</v>
      </c>
      <c r="D345" s="1" t="s">
        <v>454</v>
      </c>
      <c r="E345" s="1">
        <v>2172</v>
      </c>
      <c r="F345" s="28">
        <v>184</v>
      </c>
      <c r="G345" s="9">
        <v>175</v>
      </c>
      <c r="H345" s="1" t="s">
        <v>3073</v>
      </c>
      <c r="I345" s="1" t="s">
        <v>3073</v>
      </c>
      <c r="J345" t="str">
        <f t="shared" si="5"/>
        <v>http://www.badatelna.eu/reprodukce/?fondId=1073&amp;zaznamId=1108958&amp;reproId=3779925</v>
      </c>
      <c r="K345">
        <f>IF(LEN(TRIM(E345))=0,"",VLOOKUP(E345,Sheet2!$B$1:$E$19,2,FALSE))</f>
        <v>1073</v>
      </c>
      <c r="L345">
        <f>IF(LEN(TRIM(E345))=0,"",VLOOKUP(E345,Sheet2!$B$1:$E$19,3,FALSE))</f>
        <v>1108958</v>
      </c>
      <c r="M345">
        <f>IF(LEN(TRIM(E345))=0,"",VLOOKUP(E345,Sheet2!$B$1:$E$19,4,FALSE))+(F345-1)</f>
        <v>3779925</v>
      </c>
      <c r="N345"/>
      <c r="O345"/>
      <c r="P345"/>
      <c r="Q345"/>
    </row>
    <row r="346" spans="1:17" s="1" customFormat="1" ht="15" customHeight="1" x14ac:dyDescent="0.25">
      <c r="A346" s="28" t="s">
        <v>780</v>
      </c>
      <c r="B346" s="28" t="s">
        <v>265</v>
      </c>
      <c r="C346" s="15">
        <v>7581</v>
      </c>
      <c r="D346" s="1" t="s">
        <v>454</v>
      </c>
      <c r="E346" s="1">
        <v>2172</v>
      </c>
      <c r="F346" s="28">
        <v>199</v>
      </c>
      <c r="G346" s="9">
        <v>187</v>
      </c>
      <c r="H346" s="1" t="s">
        <v>3073</v>
      </c>
      <c r="I346" s="1" t="s">
        <v>3073</v>
      </c>
      <c r="J346" t="str">
        <f t="shared" si="5"/>
        <v>http://www.badatelna.eu/reprodukce/?fondId=1073&amp;zaznamId=1108958&amp;reproId=3779940</v>
      </c>
      <c r="K346">
        <f>IF(LEN(TRIM(E346))=0,"",VLOOKUP(E346,Sheet2!$B$1:$E$19,2,FALSE))</f>
        <v>1073</v>
      </c>
      <c r="L346">
        <f>IF(LEN(TRIM(E346))=0,"",VLOOKUP(E346,Sheet2!$B$1:$E$19,3,FALSE))</f>
        <v>1108958</v>
      </c>
      <c r="M346">
        <f>IF(LEN(TRIM(E346))=0,"",VLOOKUP(E346,Sheet2!$B$1:$E$19,4,FALSE))+(F346-1)</f>
        <v>3779940</v>
      </c>
      <c r="N346"/>
      <c r="O346"/>
      <c r="P346"/>
      <c r="Q346"/>
    </row>
    <row r="347" spans="1:17" s="1" customFormat="1" ht="15" customHeight="1" x14ac:dyDescent="0.25">
      <c r="A347" s="28" t="s">
        <v>780</v>
      </c>
      <c r="B347" s="28" t="s">
        <v>601</v>
      </c>
      <c r="C347" s="15">
        <v>7561</v>
      </c>
      <c r="D347" s="1" t="s">
        <v>454</v>
      </c>
      <c r="E347" s="1">
        <v>2172</v>
      </c>
      <c r="F347" s="28">
        <v>199</v>
      </c>
      <c r="G347" s="9">
        <v>187</v>
      </c>
      <c r="H347" s="1" t="s">
        <v>3073</v>
      </c>
      <c r="I347" s="1" t="s">
        <v>3073</v>
      </c>
      <c r="J347" t="str">
        <f t="shared" si="5"/>
        <v>http://www.badatelna.eu/reprodukce/?fondId=1073&amp;zaznamId=1108958&amp;reproId=3779940</v>
      </c>
      <c r="K347">
        <f>IF(LEN(TRIM(E347))=0,"",VLOOKUP(E347,Sheet2!$B$1:$E$19,2,FALSE))</f>
        <v>1073</v>
      </c>
      <c r="L347">
        <f>IF(LEN(TRIM(E347))=0,"",VLOOKUP(E347,Sheet2!$B$1:$E$19,3,FALSE))</f>
        <v>1108958</v>
      </c>
      <c r="M347">
        <f>IF(LEN(TRIM(E347))=0,"",VLOOKUP(E347,Sheet2!$B$1:$E$19,4,FALSE))+(F347-1)</f>
        <v>3779940</v>
      </c>
    </row>
    <row r="348" spans="1:17" s="1" customFormat="1" ht="15" customHeight="1" x14ac:dyDescent="0.25">
      <c r="A348" s="27" t="s">
        <v>488</v>
      </c>
      <c r="B348" s="27" t="s">
        <v>480</v>
      </c>
      <c r="C348" s="5" t="s">
        <v>1089</v>
      </c>
      <c r="D348" s="3" t="s">
        <v>454</v>
      </c>
      <c r="E348" s="3">
        <v>2170</v>
      </c>
      <c r="F348" s="31">
        <v>46</v>
      </c>
      <c r="G348" s="10">
        <v>42</v>
      </c>
      <c r="H348" s="3">
        <v>61</v>
      </c>
      <c r="I348" s="3">
        <v>57</v>
      </c>
      <c r="J348" t="str">
        <f t="shared" si="5"/>
        <v>http://www.badatelna.eu/reprodukce/?fondId=1073&amp;zaznamId=1108956&amp;reproId=3779638</v>
      </c>
      <c r="K348">
        <f>IF(LEN(TRIM(E348))=0,"",VLOOKUP(E348,Sheet2!$B$1:$E$19,2,FALSE))</f>
        <v>1073</v>
      </c>
      <c r="L348">
        <f>IF(LEN(TRIM(E348))=0,"",VLOOKUP(E348,Sheet2!$B$1:$E$19,3,FALSE))</f>
        <v>1108956</v>
      </c>
      <c r="M348">
        <f>IF(LEN(TRIM(E348))=0,"",VLOOKUP(E348,Sheet2!$B$1:$E$19,4,FALSE))+(F348-1)</f>
        <v>3779638</v>
      </c>
      <c r="N348"/>
      <c r="O348"/>
      <c r="P348"/>
      <c r="Q348"/>
    </row>
    <row r="349" spans="1:17" s="1" customFormat="1" ht="15" customHeight="1" x14ac:dyDescent="0.25">
      <c r="A349" s="28" t="s">
        <v>488</v>
      </c>
      <c r="B349" s="28" t="s">
        <v>691</v>
      </c>
      <c r="C349" s="1">
        <v>1891</v>
      </c>
      <c r="D349" s="1" t="s">
        <v>454</v>
      </c>
      <c r="E349" s="1">
        <v>2172</v>
      </c>
      <c r="F349" s="28">
        <v>82</v>
      </c>
      <c r="G349" s="9">
        <v>81</v>
      </c>
      <c r="H349" s="1">
        <v>83</v>
      </c>
      <c r="I349" s="1">
        <v>82</v>
      </c>
      <c r="J349" t="str">
        <f t="shared" si="5"/>
        <v>http://www.badatelna.eu/reprodukce/?fondId=1073&amp;zaznamId=1108958&amp;reproId=3779823</v>
      </c>
      <c r="K349">
        <f>IF(LEN(TRIM(E349))=0,"",VLOOKUP(E349,Sheet2!$B$1:$E$19,2,FALSE))</f>
        <v>1073</v>
      </c>
      <c r="L349">
        <f>IF(LEN(TRIM(E349))=0,"",VLOOKUP(E349,Sheet2!$B$1:$E$19,3,FALSE))</f>
        <v>1108958</v>
      </c>
      <c r="M349">
        <f>IF(LEN(TRIM(E349))=0,"",VLOOKUP(E349,Sheet2!$B$1:$E$19,4,FALSE))+(F349-1)</f>
        <v>3779823</v>
      </c>
    </row>
    <row r="350" spans="1:17" s="1" customFormat="1" ht="15" customHeight="1" x14ac:dyDescent="0.25">
      <c r="A350" s="27" t="s">
        <v>488</v>
      </c>
      <c r="B350" s="27" t="s">
        <v>424</v>
      </c>
      <c r="C350" s="5" t="s">
        <v>1268</v>
      </c>
      <c r="D350" s="3" t="s">
        <v>454</v>
      </c>
      <c r="E350" s="3">
        <v>2170</v>
      </c>
      <c r="F350" s="28">
        <v>55</v>
      </c>
      <c r="G350" s="10">
        <v>51</v>
      </c>
      <c r="H350" s="3">
        <v>67</v>
      </c>
      <c r="I350" s="3">
        <v>63</v>
      </c>
      <c r="J350" t="str">
        <f t="shared" si="5"/>
        <v>http://www.badatelna.eu/reprodukce/?fondId=1073&amp;zaznamId=1108956&amp;reproId=3779647</v>
      </c>
      <c r="K350">
        <f>IF(LEN(TRIM(E350))=0,"",VLOOKUP(E350,Sheet2!$B$1:$E$19,2,FALSE))</f>
        <v>1073</v>
      </c>
      <c r="L350">
        <f>IF(LEN(TRIM(E350))=0,"",VLOOKUP(E350,Sheet2!$B$1:$E$19,3,FALSE))</f>
        <v>1108956</v>
      </c>
      <c r="M350">
        <f>IF(LEN(TRIM(E350))=0,"",VLOOKUP(E350,Sheet2!$B$1:$E$19,4,FALSE))+(F350-1)</f>
        <v>3779647</v>
      </c>
    </row>
    <row r="351" spans="1:17" s="1" customFormat="1" ht="15" customHeight="1" x14ac:dyDescent="0.25">
      <c r="A351" s="28" t="s">
        <v>488</v>
      </c>
      <c r="B351" s="28" t="s">
        <v>475</v>
      </c>
      <c r="C351" s="1">
        <v>1851</v>
      </c>
      <c r="D351" s="1" t="s">
        <v>2919</v>
      </c>
      <c r="E351" s="1">
        <v>998</v>
      </c>
      <c r="F351" s="28">
        <v>33</v>
      </c>
      <c r="G351" s="1">
        <v>31</v>
      </c>
      <c r="H351" s="1">
        <v>63</v>
      </c>
      <c r="I351" s="1">
        <v>60</v>
      </c>
      <c r="J351" t="str">
        <f t="shared" si="5"/>
        <v>http://www.badatelna.eu/reprodukce/?fondId=241&amp;zaznamId=1133738&amp;reproId=3885679</v>
      </c>
      <c r="K351">
        <f>IF(LEN(TRIM(E351))=0,"",VLOOKUP(E351,Sheet2!$B$1:$E$19,2,FALSE))</f>
        <v>241</v>
      </c>
      <c r="L351">
        <f>IF(LEN(TRIM(E351))=0,"",VLOOKUP(E351,Sheet2!$B$1:$E$19,3,FALSE))</f>
        <v>1133738</v>
      </c>
      <c r="M351">
        <f>IF(LEN(TRIM(E351))=0,"",VLOOKUP(E351,Sheet2!$B$1:$E$19,4,FALSE))+(F351-1)</f>
        <v>3885679</v>
      </c>
      <c r="N351"/>
      <c r="O351"/>
      <c r="P351"/>
      <c r="Q351"/>
    </row>
    <row r="352" spans="1:17" s="1" customFormat="1" ht="15" customHeight="1" x14ac:dyDescent="0.25">
      <c r="A352" s="28" t="s">
        <v>125</v>
      </c>
      <c r="B352" s="28" t="s">
        <v>124</v>
      </c>
      <c r="C352" s="6" t="s">
        <v>2339</v>
      </c>
      <c r="D352" s="1" t="s">
        <v>454</v>
      </c>
      <c r="E352" s="1">
        <v>2173</v>
      </c>
      <c r="F352" s="28">
        <v>200</v>
      </c>
      <c r="G352" s="9">
        <v>9</v>
      </c>
      <c r="H352" s="1" t="s">
        <v>3073</v>
      </c>
      <c r="I352" s="1" t="s">
        <v>3073</v>
      </c>
      <c r="J352" t="str">
        <f t="shared" si="5"/>
        <v>http://www.badatelna.eu/reprodukce/?fondId=1073&amp;zaznamId=1108959&amp;reproId=3780193</v>
      </c>
      <c r="K352">
        <f>IF(LEN(TRIM(E352))=0,"",VLOOKUP(E352,Sheet2!$B$1:$E$19,2,FALSE))</f>
        <v>1073</v>
      </c>
      <c r="L352">
        <f>IF(LEN(TRIM(E352))=0,"",VLOOKUP(E352,Sheet2!$B$1:$E$19,3,FALSE))</f>
        <v>1108959</v>
      </c>
      <c r="M352">
        <f>IF(LEN(TRIM(E352))=0,"",VLOOKUP(E352,Sheet2!$B$1:$E$19,4,FALSE))+(F352-1)</f>
        <v>3780193</v>
      </c>
    </row>
    <row r="353" spans="1:17" s="1" customFormat="1" ht="15" customHeight="1" x14ac:dyDescent="0.25">
      <c r="A353" s="28" t="s">
        <v>255</v>
      </c>
      <c r="B353" s="28" t="s">
        <v>33</v>
      </c>
      <c r="C353" s="6" t="s">
        <v>2888</v>
      </c>
      <c r="D353" s="1" t="s">
        <v>454</v>
      </c>
      <c r="E353" s="1">
        <v>2173</v>
      </c>
      <c r="F353" s="28">
        <v>211</v>
      </c>
      <c r="G353" s="9" t="s">
        <v>2881</v>
      </c>
      <c r="H353" s="1" t="s">
        <v>3073</v>
      </c>
      <c r="I353" s="1" t="s">
        <v>3073</v>
      </c>
      <c r="J353" t="str">
        <f t="shared" si="5"/>
        <v>http://www.badatelna.eu/reprodukce/?fondId=1073&amp;zaznamId=1108959&amp;reproId=3780204</v>
      </c>
      <c r="K353">
        <f>IF(LEN(TRIM(E353))=0,"",VLOOKUP(E353,Sheet2!$B$1:$E$19,2,FALSE))</f>
        <v>1073</v>
      </c>
      <c r="L353">
        <f>IF(LEN(TRIM(E353))=0,"",VLOOKUP(E353,Sheet2!$B$1:$E$19,3,FALSE))</f>
        <v>1108959</v>
      </c>
      <c r="M353">
        <f>IF(LEN(TRIM(E353))=0,"",VLOOKUP(E353,Sheet2!$B$1:$E$19,4,FALSE))+(F353-1)</f>
        <v>3780204</v>
      </c>
      <c r="N353"/>
      <c r="O353"/>
      <c r="P353"/>
      <c r="Q353"/>
    </row>
    <row r="354" spans="1:17" s="1" customFormat="1" ht="15" customHeight="1" x14ac:dyDescent="0.25">
      <c r="A354" s="28" t="s">
        <v>255</v>
      </c>
      <c r="B354" s="28" t="s">
        <v>33</v>
      </c>
      <c r="C354" s="6" t="s">
        <v>2016</v>
      </c>
      <c r="D354" s="1" t="s">
        <v>454</v>
      </c>
      <c r="E354" s="1">
        <v>2173</v>
      </c>
      <c r="F354" s="28">
        <v>181</v>
      </c>
      <c r="G354" s="9">
        <v>9</v>
      </c>
      <c r="H354" s="1">
        <v>185</v>
      </c>
      <c r="I354" s="1">
        <v>412</v>
      </c>
      <c r="J354" t="str">
        <f t="shared" si="5"/>
        <v>http://www.badatelna.eu/reprodukce/?fondId=1073&amp;zaznamId=1108959&amp;reproId=3780174</v>
      </c>
      <c r="K354">
        <f>IF(LEN(TRIM(E354))=0,"",VLOOKUP(E354,Sheet2!$B$1:$E$19,2,FALSE))</f>
        <v>1073</v>
      </c>
      <c r="L354">
        <f>IF(LEN(TRIM(E354))=0,"",VLOOKUP(E354,Sheet2!$B$1:$E$19,3,FALSE))</f>
        <v>1108959</v>
      </c>
      <c r="M354">
        <f>IF(LEN(TRIM(E354))=0,"",VLOOKUP(E354,Sheet2!$B$1:$E$19,4,FALSE))+(F354-1)</f>
        <v>3780174</v>
      </c>
    </row>
    <row r="355" spans="1:17" s="1" customFormat="1" ht="15" customHeight="1" x14ac:dyDescent="0.25">
      <c r="A355" s="28" t="s">
        <v>255</v>
      </c>
      <c r="B355" s="28" t="s">
        <v>33</v>
      </c>
      <c r="C355" s="6" t="s">
        <v>2019</v>
      </c>
      <c r="D355" s="1" t="s">
        <v>454</v>
      </c>
      <c r="E355" s="1">
        <v>2173</v>
      </c>
      <c r="F355" s="28">
        <v>183</v>
      </c>
      <c r="G355" s="9">
        <v>13</v>
      </c>
      <c r="H355" s="1">
        <v>185</v>
      </c>
      <c r="I355" s="1">
        <v>412</v>
      </c>
      <c r="J355" t="str">
        <f t="shared" si="5"/>
        <v>http://www.badatelna.eu/reprodukce/?fondId=1073&amp;zaznamId=1108959&amp;reproId=3780176</v>
      </c>
      <c r="K355">
        <f>IF(LEN(TRIM(E355))=0,"",VLOOKUP(E355,Sheet2!$B$1:$E$19,2,FALSE))</f>
        <v>1073</v>
      </c>
      <c r="L355">
        <f>IF(LEN(TRIM(E355))=0,"",VLOOKUP(E355,Sheet2!$B$1:$E$19,3,FALSE))</f>
        <v>1108959</v>
      </c>
      <c r="M355">
        <f>IF(LEN(TRIM(E355))=0,"",VLOOKUP(E355,Sheet2!$B$1:$E$19,4,FALSE))+(F355-1)</f>
        <v>3780176</v>
      </c>
    </row>
    <row r="356" spans="1:17" s="1" customFormat="1" ht="15" customHeight="1" x14ac:dyDescent="0.25">
      <c r="A356" s="28" t="s">
        <v>255</v>
      </c>
      <c r="B356" s="28" t="s">
        <v>172</v>
      </c>
      <c r="C356" s="6" t="s">
        <v>2903</v>
      </c>
      <c r="D356" s="1" t="s">
        <v>454</v>
      </c>
      <c r="E356" s="1">
        <v>2173</v>
      </c>
      <c r="F356" s="28">
        <v>212</v>
      </c>
      <c r="G356" s="9" t="s">
        <v>2761</v>
      </c>
      <c r="H356" s="1" t="s">
        <v>3073</v>
      </c>
      <c r="I356" s="1" t="s">
        <v>3073</v>
      </c>
      <c r="J356" t="str">
        <f t="shared" si="5"/>
        <v>http://www.badatelna.eu/reprodukce/?fondId=1073&amp;zaznamId=1108959&amp;reproId=3780205</v>
      </c>
      <c r="K356">
        <f>IF(LEN(TRIM(E356))=0,"",VLOOKUP(E356,Sheet2!$B$1:$E$19,2,FALSE))</f>
        <v>1073</v>
      </c>
      <c r="L356">
        <f>IF(LEN(TRIM(E356))=0,"",VLOOKUP(E356,Sheet2!$B$1:$E$19,3,FALSE))</f>
        <v>1108959</v>
      </c>
      <c r="M356">
        <f>IF(LEN(TRIM(E356))=0,"",VLOOKUP(E356,Sheet2!$B$1:$E$19,4,FALSE))+(F356-1)</f>
        <v>3780205</v>
      </c>
      <c r="N356"/>
      <c r="O356"/>
      <c r="P356"/>
      <c r="Q356"/>
    </row>
    <row r="357" spans="1:17" s="1" customFormat="1" ht="15" customHeight="1" x14ac:dyDescent="0.25">
      <c r="A357" s="28" t="s">
        <v>255</v>
      </c>
      <c r="B357" s="28" t="s">
        <v>276</v>
      </c>
      <c r="C357" s="18" t="s">
        <v>2752</v>
      </c>
      <c r="D357" s="1" t="s">
        <v>454</v>
      </c>
      <c r="E357" s="1">
        <v>2173</v>
      </c>
      <c r="F357" s="28">
        <v>183</v>
      </c>
      <c r="G357" s="9">
        <v>13</v>
      </c>
      <c r="H357" s="1">
        <v>185</v>
      </c>
      <c r="I357" s="1">
        <v>412</v>
      </c>
      <c r="J357" t="str">
        <f t="shared" si="5"/>
        <v>http://www.badatelna.eu/reprodukce/?fondId=1073&amp;zaznamId=1108959&amp;reproId=3780176</v>
      </c>
      <c r="K357">
        <f>IF(LEN(TRIM(E357))=0,"",VLOOKUP(E357,Sheet2!$B$1:$E$19,2,FALSE))</f>
        <v>1073</v>
      </c>
      <c r="L357">
        <f>IF(LEN(TRIM(E357))=0,"",VLOOKUP(E357,Sheet2!$B$1:$E$19,3,FALSE))</f>
        <v>1108959</v>
      </c>
      <c r="M357">
        <f>IF(LEN(TRIM(E357))=0,"",VLOOKUP(E357,Sheet2!$B$1:$E$19,4,FALSE))+(F357-1)</f>
        <v>3780176</v>
      </c>
    </row>
    <row r="358" spans="1:17" s="1" customFormat="1" ht="15" customHeight="1" x14ac:dyDescent="0.25">
      <c r="A358" s="28" t="s">
        <v>255</v>
      </c>
      <c r="B358" s="28" t="s">
        <v>19</v>
      </c>
      <c r="C358" s="6" t="s">
        <v>2018</v>
      </c>
      <c r="D358" s="1" t="s">
        <v>454</v>
      </c>
      <c r="E358" s="1">
        <v>2173</v>
      </c>
      <c r="F358" s="28">
        <v>178</v>
      </c>
      <c r="G358" s="9">
        <v>3</v>
      </c>
      <c r="H358" s="1">
        <v>185</v>
      </c>
      <c r="I358" s="1">
        <v>412</v>
      </c>
      <c r="J358" t="str">
        <f t="shared" si="5"/>
        <v>http://www.badatelna.eu/reprodukce/?fondId=1073&amp;zaznamId=1108959&amp;reproId=3780171</v>
      </c>
      <c r="K358">
        <f>IF(LEN(TRIM(E358))=0,"",VLOOKUP(E358,Sheet2!$B$1:$E$19,2,FALSE))</f>
        <v>1073</v>
      </c>
      <c r="L358">
        <f>IF(LEN(TRIM(E358))=0,"",VLOOKUP(E358,Sheet2!$B$1:$E$19,3,FALSE))</f>
        <v>1108959</v>
      </c>
      <c r="M358">
        <f>IF(LEN(TRIM(E358))=0,"",VLOOKUP(E358,Sheet2!$B$1:$E$19,4,FALSE))+(F358-1)</f>
        <v>3780171</v>
      </c>
    </row>
    <row r="359" spans="1:17" s="1" customFormat="1" ht="15" customHeight="1" x14ac:dyDescent="0.25">
      <c r="A359" s="28" t="s">
        <v>255</v>
      </c>
      <c r="B359" s="28" t="s">
        <v>19</v>
      </c>
      <c r="C359" s="6" t="s">
        <v>2839</v>
      </c>
      <c r="D359" s="1" t="s">
        <v>454</v>
      </c>
      <c r="E359" s="1">
        <v>2173</v>
      </c>
      <c r="F359" s="28">
        <v>209</v>
      </c>
      <c r="G359" s="9" t="s">
        <v>2757</v>
      </c>
      <c r="H359" s="1" t="s">
        <v>3073</v>
      </c>
      <c r="I359" s="1" t="s">
        <v>3073</v>
      </c>
      <c r="J359" t="str">
        <f t="shared" si="5"/>
        <v>http://www.badatelna.eu/reprodukce/?fondId=1073&amp;zaznamId=1108959&amp;reproId=3780202</v>
      </c>
      <c r="K359">
        <f>IF(LEN(TRIM(E359))=0,"",VLOOKUP(E359,Sheet2!$B$1:$E$19,2,FALSE))</f>
        <v>1073</v>
      </c>
      <c r="L359">
        <f>IF(LEN(TRIM(E359))=0,"",VLOOKUP(E359,Sheet2!$B$1:$E$19,3,FALSE))</f>
        <v>1108959</v>
      </c>
      <c r="M359">
        <f>IF(LEN(TRIM(E359))=0,"",VLOOKUP(E359,Sheet2!$B$1:$E$19,4,FALSE))+(F359-1)</f>
        <v>3780202</v>
      </c>
    </row>
    <row r="360" spans="1:17" s="1" customFormat="1" ht="15" customHeight="1" x14ac:dyDescent="0.25">
      <c r="A360" s="28" t="s">
        <v>255</v>
      </c>
      <c r="B360" s="28" t="s">
        <v>48</v>
      </c>
      <c r="C360" s="6" t="s">
        <v>2015</v>
      </c>
      <c r="D360" s="1" t="s">
        <v>454</v>
      </c>
      <c r="E360" s="1">
        <v>2173</v>
      </c>
      <c r="F360" s="28">
        <v>179</v>
      </c>
      <c r="G360" s="9">
        <v>4</v>
      </c>
      <c r="H360" s="1">
        <v>185</v>
      </c>
      <c r="I360" s="1">
        <v>412</v>
      </c>
      <c r="J360" t="str">
        <f t="shared" si="5"/>
        <v>http://www.badatelna.eu/reprodukce/?fondId=1073&amp;zaznamId=1108959&amp;reproId=3780172</v>
      </c>
      <c r="K360">
        <f>IF(LEN(TRIM(E360))=0,"",VLOOKUP(E360,Sheet2!$B$1:$E$19,2,FALSE))</f>
        <v>1073</v>
      </c>
      <c r="L360">
        <f>IF(LEN(TRIM(E360))=0,"",VLOOKUP(E360,Sheet2!$B$1:$E$19,3,FALSE))</f>
        <v>1108959</v>
      </c>
      <c r="M360">
        <f>IF(LEN(TRIM(E360))=0,"",VLOOKUP(E360,Sheet2!$B$1:$E$19,4,FALSE))+(F360-1)</f>
        <v>3780172</v>
      </c>
    </row>
    <row r="361" spans="1:17" s="1" customFormat="1" ht="15" customHeight="1" x14ac:dyDescent="0.25">
      <c r="A361" s="28" t="s">
        <v>255</v>
      </c>
      <c r="B361" s="28" t="s">
        <v>48</v>
      </c>
      <c r="C361" s="6" t="s">
        <v>2015</v>
      </c>
      <c r="D361" s="1" t="s">
        <v>454</v>
      </c>
      <c r="E361" s="1">
        <v>2173</v>
      </c>
      <c r="F361" s="28">
        <v>209</v>
      </c>
      <c r="G361" s="9" t="s">
        <v>2758</v>
      </c>
      <c r="H361" s="1" t="s">
        <v>3073</v>
      </c>
      <c r="I361" s="1" t="s">
        <v>3073</v>
      </c>
      <c r="J361" t="str">
        <f t="shared" si="5"/>
        <v>http://www.badatelna.eu/reprodukce/?fondId=1073&amp;zaznamId=1108959&amp;reproId=3780202</v>
      </c>
      <c r="K361">
        <f>IF(LEN(TRIM(E361))=0,"",VLOOKUP(E361,Sheet2!$B$1:$E$19,2,FALSE))</f>
        <v>1073</v>
      </c>
      <c r="L361">
        <f>IF(LEN(TRIM(E361))=0,"",VLOOKUP(E361,Sheet2!$B$1:$E$19,3,FALSE))</f>
        <v>1108959</v>
      </c>
      <c r="M361">
        <f>IF(LEN(TRIM(E361))=0,"",VLOOKUP(E361,Sheet2!$B$1:$E$19,4,FALSE))+(F361-1)</f>
        <v>3780202</v>
      </c>
    </row>
    <row r="362" spans="1:17" s="1" customFormat="1" ht="15" customHeight="1" x14ac:dyDescent="0.25">
      <c r="A362" s="28" t="s">
        <v>255</v>
      </c>
      <c r="B362" s="29" t="s">
        <v>2927</v>
      </c>
      <c r="C362" s="1">
        <v>1866</v>
      </c>
      <c r="D362" s="1" t="s">
        <v>2919</v>
      </c>
      <c r="E362" s="1">
        <v>999</v>
      </c>
      <c r="F362" s="28">
        <v>92</v>
      </c>
      <c r="G362" s="1">
        <v>13</v>
      </c>
      <c r="H362" s="1">
        <v>95</v>
      </c>
      <c r="I362" s="1">
        <v>153</v>
      </c>
      <c r="J362" t="str">
        <f t="shared" si="5"/>
        <v>http://www.badatelna.eu/reprodukce/?fondId=241&amp;zaznamId=1133739&amp;reproId=3885821</v>
      </c>
      <c r="K362">
        <f>IF(LEN(TRIM(E362))=0,"",VLOOKUP(E362,Sheet2!$B$1:$E$19,2,FALSE))</f>
        <v>241</v>
      </c>
      <c r="L362">
        <f>IF(LEN(TRIM(E362))=0,"",VLOOKUP(E362,Sheet2!$B$1:$E$19,3,FALSE))</f>
        <v>1133739</v>
      </c>
      <c r="M362">
        <f>IF(LEN(TRIM(E362))=0,"",VLOOKUP(E362,Sheet2!$B$1:$E$19,4,FALSE))+(F362-1)</f>
        <v>3885821</v>
      </c>
    </row>
    <row r="363" spans="1:17" s="1" customFormat="1" ht="15" customHeight="1" x14ac:dyDescent="0.25">
      <c r="A363" s="28" t="s">
        <v>255</v>
      </c>
      <c r="B363" s="28" t="s">
        <v>13</v>
      </c>
      <c r="C363" s="6" t="s">
        <v>2017</v>
      </c>
      <c r="D363" s="1" t="s">
        <v>454</v>
      </c>
      <c r="E363" s="1">
        <v>2173</v>
      </c>
      <c r="F363" s="28">
        <v>182</v>
      </c>
      <c r="G363" s="9">
        <v>10</v>
      </c>
      <c r="H363" s="1">
        <v>185</v>
      </c>
      <c r="I363" s="1">
        <v>412</v>
      </c>
      <c r="J363" t="str">
        <f t="shared" si="5"/>
        <v>http://www.badatelna.eu/reprodukce/?fondId=1073&amp;zaznamId=1108959&amp;reproId=3780175</v>
      </c>
      <c r="K363">
        <f>IF(LEN(TRIM(E363))=0,"",VLOOKUP(E363,Sheet2!$B$1:$E$19,2,FALSE))</f>
        <v>1073</v>
      </c>
      <c r="L363">
        <f>IF(LEN(TRIM(E363))=0,"",VLOOKUP(E363,Sheet2!$B$1:$E$19,3,FALSE))</f>
        <v>1108959</v>
      </c>
      <c r="M363">
        <f>IF(LEN(TRIM(E363))=0,"",VLOOKUP(E363,Sheet2!$B$1:$E$19,4,FALSE))+(F363-1)</f>
        <v>3780175</v>
      </c>
    </row>
    <row r="364" spans="1:17" s="1" customFormat="1" ht="15" customHeight="1" x14ac:dyDescent="0.25">
      <c r="A364" s="28" t="s">
        <v>255</v>
      </c>
      <c r="B364" s="28" t="s">
        <v>256</v>
      </c>
      <c r="C364" s="6" t="s">
        <v>2014</v>
      </c>
      <c r="D364" s="1" t="s">
        <v>454</v>
      </c>
      <c r="E364" s="1">
        <v>2173</v>
      </c>
      <c r="F364" s="28">
        <v>178</v>
      </c>
      <c r="G364" s="9">
        <v>3</v>
      </c>
      <c r="H364" s="1">
        <v>185</v>
      </c>
      <c r="I364" s="1">
        <v>412</v>
      </c>
      <c r="J364" t="str">
        <f t="shared" si="5"/>
        <v>http://www.badatelna.eu/reprodukce/?fondId=1073&amp;zaznamId=1108959&amp;reproId=3780171</v>
      </c>
      <c r="K364">
        <f>IF(LEN(TRIM(E364))=0,"",VLOOKUP(E364,Sheet2!$B$1:$E$19,2,FALSE))</f>
        <v>1073</v>
      </c>
      <c r="L364">
        <f>IF(LEN(TRIM(E364))=0,"",VLOOKUP(E364,Sheet2!$B$1:$E$19,3,FALSE))</f>
        <v>1108959</v>
      </c>
      <c r="M364">
        <f>IF(LEN(TRIM(E364))=0,"",VLOOKUP(E364,Sheet2!$B$1:$E$19,4,FALSE))+(F364-1)</f>
        <v>3780171</v>
      </c>
    </row>
    <row r="365" spans="1:17" s="1" customFormat="1" ht="15" customHeight="1" x14ac:dyDescent="0.25">
      <c r="A365" s="28" t="s">
        <v>255</v>
      </c>
      <c r="B365" s="28"/>
      <c r="C365" s="6"/>
      <c r="F365" s="28"/>
      <c r="G365" s="9"/>
      <c r="J365" t="str">
        <f t="shared" si="5"/>
        <v/>
      </c>
      <c r="K365" t="str">
        <f>IF(LEN(TRIM(E365))=0,"",VLOOKUP(E365,Sheet2!$B$1:$E$19,2,FALSE))</f>
        <v/>
      </c>
      <c r="L365" t="str">
        <f>IF(LEN(TRIM(E365))=0,"",VLOOKUP(E365,Sheet2!$B$1:$E$19,3,FALSE))</f>
        <v/>
      </c>
      <c r="M365" t="e">
        <f>IF(LEN(TRIM(E365))=0,"",VLOOKUP(E365,Sheet2!$B$1:$E$19,4,FALSE))+(F365-1)</f>
        <v>#VALUE!</v>
      </c>
    </row>
    <row r="366" spans="1:17" s="1" customFormat="1" ht="15" customHeight="1" x14ac:dyDescent="0.25">
      <c r="A366" s="28" t="s">
        <v>489</v>
      </c>
      <c r="B366" s="28" t="s">
        <v>498</v>
      </c>
      <c r="C366" s="6" t="s">
        <v>1732</v>
      </c>
      <c r="D366" s="1" t="s">
        <v>454</v>
      </c>
      <c r="E366" s="1">
        <v>2172</v>
      </c>
      <c r="F366" s="28">
        <v>128</v>
      </c>
      <c r="G366" s="9" t="s">
        <v>2779</v>
      </c>
      <c r="H366" s="1">
        <v>132</v>
      </c>
      <c r="I366" s="1">
        <v>131</v>
      </c>
      <c r="J366" t="str">
        <f t="shared" si="5"/>
        <v>http://www.badatelna.eu/reprodukce/?fondId=1073&amp;zaznamId=1108958&amp;reproId=3779869</v>
      </c>
      <c r="K366">
        <f>IF(LEN(TRIM(E366))=0,"",VLOOKUP(E366,Sheet2!$B$1:$E$19,2,FALSE))</f>
        <v>1073</v>
      </c>
      <c r="L366">
        <f>IF(LEN(TRIM(E366))=0,"",VLOOKUP(E366,Sheet2!$B$1:$E$19,3,FALSE))</f>
        <v>1108958</v>
      </c>
      <c r="M366">
        <f>IF(LEN(TRIM(E366))=0,"",VLOOKUP(E366,Sheet2!$B$1:$E$19,4,FALSE))+(F366-1)</f>
        <v>3779869</v>
      </c>
    </row>
    <row r="367" spans="1:17" s="1" customFormat="1" ht="15" customHeight="1" x14ac:dyDescent="0.25">
      <c r="A367" s="28" t="s">
        <v>489</v>
      </c>
      <c r="B367" s="28" t="s">
        <v>522</v>
      </c>
      <c r="C367" s="6" t="s">
        <v>1733</v>
      </c>
      <c r="D367" s="1" t="s">
        <v>454</v>
      </c>
      <c r="E367" s="1">
        <v>2172</v>
      </c>
      <c r="F367" s="28">
        <v>130</v>
      </c>
      <c r="G367" s="9" t="s">
        <v>2782</v>
      </c>
      <c r="H367" s="1">
        <v>132</v>
      </c>
      <c r="I367" s="1">
        <v>131</v>
      </c>
      <c r="J367" t="str">
        <f t="shared" si="5"/>
        <v>http://www.badatelna.eu/reprodukce/?fondId=1073&amp;zaznamId=1108958&amp;reproId=3779871</v>
      </c>
      <c r="K367">
        <f>IF(LEN(TRIM(E367))=0,"",VLOOKUP(E367,Sheet2!$B$1:$E$19,2,FALSE))</f>
        <v>1073</v>
      </c>
      <c r="L367">
        <f>IF(LEN(TRIM(E367))=0,"",VLOOKUP(E367,Sheet2!$B$1:$E$19,3,FALSE))</f>
        <v>1108958</v>
      </c>
      <c r="M367">
        <f>IF(LEN(TRIM(E367))=0,"",VLOOKUP(E367,Sheet2!$B$1:$E$19,4,FALSE))+(F367-1)</f>
        <v>3779871</v>
      </c>
      <c r="N367"/>
      <c r="O367"/>
      <c r="P367"/>
      <c r="Q367"/>
    </row>
    <row r="368" spans="1:17" s="1" customFormat="1" ht="15" customHeight="1" x14ac:dyDescent="0.25">
      <c r="A368" s="28" t="s">
        <v>489</v>
      </c>
      <c r="B368" s="28" t="s">
        <v>10</v>
      </c>
      <c r="C368" s="15">
        <v>2834</v>
      </c>
      <c r="D368" s="1" t="s">
        <v>454</v>
      </c>
      <c r="E368" s="1">
        <v>2172</v>
      </c>
      <c r="F368" s="28">
        <v>169</v>
      </c>
      <c r="G368" s="9" t="s">
        <v>3091</v>
      </c>
      <c r="H368" s="1" t="s">
        <v>3073</v>
      </c>
      <c r="I368" s="1" t="s">
        <v>3073</v>
      </c>
      <c r="J368" t="str">
        <f t="shared" si="5"/>
        <v>http://www.badatelna.eu/reprodukce/?fondId=1073&amp;zaznamId=1108958&amp;reproId=3779910</v>
      </c>
      <c r="K368">
        <f>IF(LEN(TRIM(E368))=0,"",VLOOKUP(E368,Sheet2!$B$1:$E$19,2,FALSE))</f>
        <v>1073</v>
      </c>
      <c r="L368">
        <f>IF(LEN(TRIM(E368))=0,"",VLOOKUP(E368,Sheet2!$B$1:$E$19,3,FALSE))</f>
        <v>1108958</v>
      </c>
      <c r="M368">
        <f>IF(LEN(TRIM(E368))=0,"",VLOOKUP(E368,Sheet2!$B$1:$E$19,4,FALSE))+(F368-1)</f>
        <v>3779910</v>
      </c>
    </row>
    <row r="369" spans="1:17" s="1" customFormat="1" ht="15" customHeight="1" x14ac:dyDescent="0.25">
      <c r="A369" s="28" t="s">
        <v>489</v>
      </c>
      <c r="B369" s="28" t="s">
        <v>691</v>
      </c>
      <c r="C369" s="15">
        <v>6579</v>
      </c>
      <c r="D369" s="1" t="s">
        <v>454</v>
      </c>
      <c r="E369" s="1">
        <v>2172</v>
      </c>
      <c r="F369" s="28">
        <v>195</v>
      </c>
      <c r="G369" s="9">
        <v>185</v>
      </c>
      <c r="H369" s="1" t="s">
        <v>3073</v>
      </c>
      <c r="I369" s="1" t="s">
        <v>3073</v>
      </c>
      <c r="J369" t="str">
        <f t="shared" si="5"/>
        <v>http://www.badatelna.eu/reprodukce/?fondId=1073&amp;zaznamId=1108958&amp;reproId=3779936</v>
      </c>
      <c r="K369">
        <f>IF(LEN(TRIM(E369))=0,"",VLOOKUP(E369,Sheet2!$B$1:$E$19,2,FALSE))</f>
        <v>1073</v>
      </c>
      <c r="L369">
        <f>IF(LEN(TRIM(E369))=0,"",VLOOKUP(E369,Sheet2!$B$1:$E$19,3,FALSE))</f>
        <v>1108958</v>
      </c>
      <c r="M369">
        <f>IF(LEN(TRIM(E369))=0,"",VLOOKUP(E369,Sheet2!$B$1:$E$19,4,FALSE))+(F369-1)</f>
        <v>3779936</v>
      </c>
    </row>
    <row r="370" spans="1:17" s="1" customFormat="1" ht="15" customHeight="1" x14ac:dyDescent="0.25">
      <c r="A370" s="27" t="s">
        <v>489</v>
      </c>
      <c r="B370" s="27" t="s">
        <v>490</v>
      </c>
      <c r="C370" s="5" t="s">
        <v>1090</v>
      </c>
      <c r="D370" s="3" t="s">
        <v>454</v>
      </c>
      <c r="E370" s="3">
        <v>2170</v>
      </c>
      <c r="F370" s="31">
        <v>37</v>
      </c>
      <c r="G370" s="10">
        <v>33</v>
      </c>
      <c r="H370" s="3">
        <v>61</v>
      </c>
      <c r="I370" s="3">
        <v>57</v>
      </c>
      <c r="J370" t="str">
        <f t="shared" si="5"/>
        <v>http://www.badatelna.eu/reprodukce/?fondId=1073&amp;zaznamId=1108956&amp;reproId=3779629</v>
      </c>
      <c r="K370">
        <f>IF(LEN(TRIM(E370))=0,"",VLOOKUP(E370,Sheet2!$B$1:$E$19,2,FALSE))</f>
        <v>1073</v>
      </c>
      <c r="L370">
        <f>IF(LEN(TRIM(E370))=0,"",VLOOKUP(E370,Sheet2!$B$1:$E$19,3,FALSE))</f>
        <v>1108956</v>
      </c>
      <c r="M370">
        <f>IF(LEN(TRIM(E370))=0,"",VLOOKUP(E370,Sheet2!$B$1:$E$19,4,FALSE))+(F370-1)</f>
        <v>3779629</v>
      </c>
    </row>
    <row r="371" spans="1:17" s="1" customFormat="1" ht="15" customHeight="1" x14ac:dyDescent="0.25">
      <c r="A371" s="28" t="s">
        <v>489</v>
      </c>
      <c r="B371" s="28" t="s">
        <v>591</v>
      </c>
      <c r="C371" s="6" t="s">
        <v>1733</v>
      </c>
      <c r="D371" s="1" t="s">
        <v>454</v>
      </c>
      <c r="E371" s="1">
        <v>2172</v>
      </c>
      <c r="F371" s="28">
        <v>131</v>
      </c>
      <c r="G371" s="9" t="s">
        <v>2782</v>
      </c>
      <c r="H371" s="1">
        <v>132</v>
      </c>
      <c r="I371" s="1">
        <v>131</v>
      </c>
      <c r="J371" t="str">
        <f t="shared" si="5"/>
        <v>http://www.badatelna.eu/reprodukce/?fondId=1073&amp;zaznamId=1108958&amp;reproId=3779872</v>
      </c>
      <c r="K371">
        <f>IF(LEN(TRIM(E371))=0,"",VLOOKUP(E371,Sheet2!$B$1:$E$19,2,FALSE))</f>
        <v>1073</v>
      </c>
      <c r="L371">
        <f>IF(LEN(TRIM(E371))=0,"",VLOOKUP(E371,Sheet2!$B$1:$E$19,3,FALSE))</f>
        <v>1108958</v>
      </c>
      <c r="M371">
        <f>IF(LEN(TRIM(E371))=0,"",VLOOKUP(E371,Sheet2!$B$1:$E$19,4,FALSE))+(F371-1)</f>
        <v>3779872</v>
      </c>
    </row>
    <row r="372" spans="1:17" s="1" customFormat="1" ht="15" customHeight="1" x14ac:dyDescent="0.25">
      <c r="A372" s="28" t="s">
        <v>489</v>
      </c>
      <c r="B372" s="28" t="s">
        <v>13</v>
      </c>
      <c r="C372" s="15">
        <v>13585</v>
      </c>
      <c r="D372" s="1" t="s">
        <v>454</v>
      </c>
      <c r="E372" s="1">
        <v>2172</v>
      </c>
      <c r="F372" s="28">
        <v>239</v>
      </c>
      <c r="G372" s="9">
        <v>219</v>
      </c>
      <c r="H372" s="1" t="s">
        <v>3073</v>
      </c>
      <c r="I372" s="1" t="s">
        <v>3073</v>
      </c>
      <c r="J372" t="str">
        <f t="shared" si="5"/>
        <v>http://www.badatelna.eu/reprodukce/?fondId=1073&amp;zaznamId=1108958&amp;reproId=3779980</v>
      </c>
      <c r="K372">
        <f>IF(LEN(TRIM(E372))=0,"",VLOOKUP(E372,Sheet2!$B$1:$E$19,2,FALSE))</f>
        <v>1073</v>
      </c>
      <c r="L372">
        <f>IF(LEN(TRIM(E372))=0,"",VLOOKUP(E372,Sheet2!$B$1:$E$19,3,FALSE))</f>
        <v>1108958</v>
      </c>
      <c r="M372">
        <f>IF(LEN(TRIM(E372))=0,"",VLOOKUP(E372,Sheet2!$B$1:$E$19,4,FALSE))+(F372-1)</f>
        <v>3779980</v>
      </c>
    </row>
    <row r="373" spans="1:17" s="1" customFormat="1" ht="15" customHeight="1" x14ac:dyDescent="0.25">
      <c r="A373" s="28" t="s">
        <v>782</v>
      </c>
      <c r="B373" s="28" t="s">
        <v>512</v>
      </c>
      <c r="C373" s="6" t="s">
        <v>1937</v>
      </c>
      <c r="D373" s="1" t="s">
        <v>454</v>
      </c>
      <c r="E373" s="1">
        <v>2172</v>
      </c>
      <c r="F373" s="28">
        <v>221</v>
      </c>
      <c r="G373" s="9">
        <v>203</v>
      </c>
      <c r="H373" s="1" t="s">
        <v>3073</v>
      </c>
      <c r="I373" s="1" t="s">
        <v>3073</v>
      </c>
      <c r="J373" t="str">
        <f t="shared" si="5"/>
        <v>http://www.badatelna.eu/reprodukce/?fondId=1073&amp;zaznamId=1108958&amp;reproId=3779962</v>
      </c>
      <c r="K373">
        <f>IF(LEN(TRIM(E373))=0,"",VLOOKUP(E373,Sheet2!$B$1:$E$19,2,FALSE))</f>
        <v>1073</v>
      </c>
      <c r="L373">
        <f>IF(LEN(TRIM(E373))=0,"",VLOOKUP(E373,Sheet2!$B$1:$E$19,3,FALSE))</f>
        <v>1108958</v>
      </c>
      <c r="M373">
        <f>IF(LEN(TRIM(E373))=0,"",VLOOKUP(E373,Sheet2!$B$1:$E$19,4,FALSE))+(F373-1)</f>
        <v>3779962</v>
      </c>
      <c r="N373"/>
      <c r="O373"/>
      <c r="P373"/>
      <c r="Q373"/>
    </row>
    <row r="374" spans="1:17" s="1" customFormat="1" ht="15" customHeight="1" x14ac:dyDescent="0.25">
      <c r="A374" s="29" t="s">
        <v>2935</v>
      </c>
      <c r="B374" s="28" t="s">
        <v>263</v>
      </c>
      <c r="C374" s="1">
        <v>1853</v>
      </c>
      <c r="D374" s="1" t="s">
        <v>2919</v>
      </c>
      <c r="E374" s="1">
        <v>998</v>
      </c>
      <c r="F374" s="28">
        <v>37</v>
      </c>
      <c r="G374" s="1">
        <v>35</v>
      </c>
      <c r="H374" s="1">
        <v>63</v>
      </c>
      <c r="I374" s="1">
        <v>60</v>
      </c>
      <c r="J374" t="str">
        <f t="shared" si="5"/>
        <v>http://www.badatelna.eu/reprodukce/?fondId=241&amp;zaznamId=1133738&amp;reproId=3885683</v>
      </c>
      <c r="K374">
        <f>IF(LEN(TRIM(E374))=0,"",VLOOKUP(E374,Sheet2!$B$1:$E$19,2,FALSE))</f>
        <v>241</v>
      </c>
      <c r="L374">
        <f>IF(LEN(TRIM(E374))=0,"",VLOOKUP(E374,Sheet2!$B$1:$E$19,3,FALSE))</f>
        <v>1133738</v>
      </c>
      <c r="M374">
        <f>IF(LEN(TRIM(E374))=0,"",VLOOKUP(E374,Sheet2!$B$1:$E$19,4,FALSE))+(F374-1)</f>
        <v>3885683</v>
      </c>
      <c r="N374"/>
      <c r="O374"/>
      <c r="P374"/>
      <c r="Q374"/>
    </row>
    <row r="375" spans="1:17" s="1" customFormat="1" ht="15" customHeight="1" x14ac:dyDescent="0.25">
      <c r="A375" s="29" t="s">
        <v>2935</v>
      </c>
      <c r="B375" s="28" t="s">
        <v>263</v>
      </c>
      <c r="C375" s="1">
        <v>1858</v>
      </c>
      <c r="D375" s="1" t="s">
        <v>2919</v>
      </c>
      <c r="E375" s="1">
        <v>998</v>
      </c>
      <c r="F375" s="28">
        <v>53</v>
      </c>
      <c r="G375" s="1">
        <v>51</v>
      </c>
      <c r="H375" s="1">
        <v>64</v>
      </c>
      <c r="I375" s="1">
        <v>61</v>
      </c>
      <c r="J375" t="str">
        <f t="shared" si="5"/>
        <v>http://www.badatelna.eu/reprodukce/?fondId=241&amp;zaznamId=1133738&amp;reproId=3885699</v>
      </c>
      <c r="K375">
        <f>IF(LEN(TRIM(E375))=0,"",VLOOKUP(E375,Sheet2!$B$1:$E$19,2,FALSE))</f>
        <v>241</v>
      </c>
      <c r="L375">
        <f>IF(LEN(TRIM(E375))=0,"",VLOOKUP(E375,Sheet2!$B$1:$E$19,3,FALSE))</f>
        <v>1133738</v>
      </c>
      <c r="M375">
        <f>IF(LEN(TRIM(E375))=0,"",VLOOKUP(E375,Sheet2!$B$1:$E$19,4,FALSE))+(F375-1)</f>
        <v>3885699</v>
      </c>
      <c r="N375"/>
      <c r="O375"/>
      <c r="P375"/>
      <c r="Q375"/>
    </row>
    <row r="376" spans="1:17" s="1" customFormat="1" ht="15" customHeight="1" x14ac:dyDescent="0.25">
      <c r="A376" s="28" t="s">
        <v>180</v>
      </c>
      <c r="B376" s="29" t="s">
        <v>290</v>
      </c>
      <c r="C376" s="1">
        <v>1854</v>
      </c>
      <c r="D376" s="1" t="s">
        <v>2919</v>
      </c>
      <c r="E376" s="1">
        <v>998</v>
      </c>
      <c r="F376" s="28">
        <v>40</v>
      </c>
      <c r="G376" s="1">
        <v>38</v>
      </c>
      <c r="H376" s="1">
        <v>63</v>
      </c>
      <c r="I376" s="1">
        <v>60</v>
      </c>
      <c r="J376" t="str">
        <f t="shared" si="5"/>
        <v>http://www.badatelna.eu/reprodukce/?fondId=241&amp;zaznamId=1133738&amp;reproId=3885686</v>
      </c>
      <c r="K376">
        <f>IF(LEN(TRIM(E376))=0,"",VLOOKUP(E376,Sheet2!$B$1:$E$19,2,FALSE))</f>
        <v>241</v>
      </c>
      <c r="L376">
        <f>IF(LEN(TRIM(E376))=0,"",VLOOKUP(E376,Sheet2!$B$1:$E$19,3,FALSE))</f>
        <v>1133738</v>
      </c>
      <c r="M376">
        <f>IF(LEN(TRIM(E376))=0,"",VLOOKUP(E376,Sheet2!$B$1:$E$19,4,FALSE))+(F376-1)</f>
        <v>3885686</v>
      </c>
      <c r="N376"/>
      <c r="O376"/>
      <c r="P376"/>
      <c r="Q376"/>
    </row>
    <row r="377" spans="1:17" s="1" customFormat="1" ht="15" customHeight="1" x14ac:dyDescent="0.25">
      <c r="A377" s="28" t="s">
        <v>180</v>
      </c>
      <c r="B377" s="28" t="s">
        <v>434</v>
      </c>
      <c r="C377" s="1">
        <v>1866</v>
      </c>
      <c r="D377" s="1" t="s">
        <v>2919</v>
      </c>
      <c r="E377" s="1">
        <v>999</v>
      </c>
      <c r="F377" s="28">
        <v>90</v>
      </c>
      <c r="G377" s="1">
        <v>11</v>
      </c>
      <c r="H377" s="1">
        <v>95</v>
      </c>
      <c r="I377" s="1">
        <v>153</v>
      </c>
      <c r="J377" t="str">
        <f t="shared" si="5"/>
        <v>http://www.badatelna.eu/reprodukce/?fondId=241&amp;zaznamId=1133739&amp;reproId=3885819</v>
      </c>
      <c r="K377">
        <f>IF(LEN(TRIM(E377))=0,"",VLOOKUP(E377,Sheet2!$B$1:$E$19,2,FALSE))</f>
        <v>241</v>
      </c>
      <c r="L377">
        <f>IF(LEN(TRIM(E377))=0,"",VLOOKUP(E377,Sheet2!$B$1:$E$19,3,FALSE))</f>
        <v>1133739</v>
      </c>
      <c r="M377">
        <f>IF(LEN(TRIM(E377))=0,"",VLOOKUP(E377,Sheet2!$B$1:$E$19,4,FALSE))+(F377-1)</f>
        <v>3885819</v>
      </c>
      <c r="N377"/>
      <c r="O377"/>
      <c r="P377"/>
      <c r="Q377"/>
    </row>
    <row r="378" spans="1:17" s="1" customFormat="1" ht="15" customHeight="1" x14ac:dyDescent="0.25">
      <c r="A378" s="27" t="s">
        <v>180</v>
      </c>
      <c r="B378" s="27" t="s">
        <v>434</v>
      </c>
      <c r="C378" s="5" t="s">
        <v>1091</v>
      </c>
      <c r="D378" s="3" t="s">
        <v>454</v>
      </c>
      <c r="E378" s="3">
        <v>2170</v>
      </c>
      <c r="F378" s="31">
        <v>18</v>
      </c>
      <c r="G378" s="10">
        <v>14</v>
      </c>
      <c r="H378" s="3">
        <v>61</v>
      </c>
      <c r="I378" s="3">
        <v>57</v>
      </c>
      <c r="J378" t="str">
        <f t="shared" si="5"/>
        <v>http://www.badatelna.eu/reprodukce/?fondId=1073&amp;zaznamId=1108956&amp;reproId=3779610</v>
      </c>
      <c r="K378">
        <f>IF(LEN(TRIM(E378))=0,"",VLOOKUP(E378,Sheet2!$B$1:$E$19,2,FALSE))</f>
        <v>1073</v>
      </c>
      <c r="L378">
        <f>IF(LEN(TRIM(E378))=0,"",VLOOKUP(E378,Sheet2!$B$1:$E$19,3,FALSE))</f>
        <v>1108956</v>
      </c>
      <c r="M378">
        <f>IF(LEN(TRIM(E378))=0,"",VLOOKUP(E378,Sheet2!$B$1:$E$19,4,FALSE))+(F378-1)</f>
        <v>3779610</v>
      </c>
    </row>
    <row r="379" spans="1:17" s="1" customFormat="1" ht="15" customHeight="1" x14ac:dyDescent="0.25">
      <c r="A379" s="28" t="s">
        <v>180</v>
      </c>
      <c r="B379" s="29" t="s">
        <v>2860</v>
      </c>
      <c r="C379" s="6" t="s">
        <v>2416</v>
      </c>
      <c r="D379" s="1" t="s">
        <v>454</v>
      </c>
      <c r="E379" s="1">
        <v>2173</v>
      </c>
      <c r="F379" s="28">
        <v>203</v>
      </c>
      <c r="G379" s="1">
        <v>15</v>
      </c>
      <c r="H379" s="1" t="s">
        <v>3073</v>
      </c>
      <c r="I379" s="1" t="s">
        <v>3073</v>
      </c>
      <c r="J379" t="str">
        <f t="shared" si="5"/>
        <v>http://www.badatelna.eu/reprodukce/?fondId=1073&amp;zaznamId=1108959&amp;reproId=3780196</v>
      </c>
      <c r="K379">
        <f>IF(LEN(TRIM(E379))=0,"",VLOOKUP(E379,Sheet2!$B$1:$E$19,2,FALSE))</f>
        <v>1073</v>
      </c>
      <c r="L379">
        <f>IF(LEN(TRIM(E379))=0,"",VLOOKUP(E379,Sheet2!$B$1:$E$19,3,FALSE))</f>
        <v>1108959</v>
      </c>
      <c r="M379">
        <f>IF(LEN(TRIM(E379))=0,"",VLOOKUP(E379,Sheet2!$B$1:$E$19,4,FALSE))+(F379-1)</f>
        <v>3780196</v>
      </c>
      <c r="N379"/>
      <c r="O379"/>
      <c r="P379"/>
      <c r="Q379"/>
    </row>
    <row r="380" spans="1:17" s="1" customFormat="1" ht="15" customHeight="1" x14ac:dyDescent="0.25">
      <c r="A380" s="28" t="s">
        <v>180</v>
      </c>
      <c r="B380" s="28" t="s">
        <v>240</v>
      </c>
      <c r="C380" s="1">
        <v>1852</v>
      </c>
      <c r="D380" s="1" t="s">
        <v>2919</v>
      </c>
      <c r="E380" s="1">
        <v>998</v>
      </c>
      <c r="F380" s="28">
        <v>35</v>
      </c>
      <c r="G380" s="1">
        <v>33</v>
      </c>
      <c r="H380" s="1">
        <v>63</v>
      </c>
      <c r="I380" s="1">
        <v>60</v>
      </c>
      <c r="J380" t="str">
        <f t="shared" si="5"/>
        <v>http://www.badatelna.eu/reprodukce/?fondId=241&amp;zaznamId=1133738&amp;reproId=3885681</v>
      </c>
      <c r="K380">
        <f>IF(LEN(TRIM(E380))=0,"",VLOOKUP(E380,Sheet2!$B$1:$E$19,2,FALSE))</f>
        <v>241</v>
      </c>
      <c r="L380">
        <f>IF(LEN(TRIM(E380))=0,"",VLOOKUP(E380,Sheet2!$B$1:$E$19,3,FALSE))</f>
        <v>1133738</v>
      </c>
      <c r="M380">
        <f>IF(LEN(TRIM(E380))=0,"",VLOOKUP(E380,Sheet2!$B$1:$E$19,4,FALSE))+(F380-1)</f>
        <v>3885681</v>
      </c>
    </row>
    <row r="381" spans="1:17" s="1" customFormat="1" ht="15" customHeight="1" x14ac:dyDescent="0.25">
      <c r="A381" s="28" t="s">
        <v>180</v>
      </c>
      <c r="B381" s="28" t="s">
        <v>314</v>
      </c>
      <c r="C381" s="6" t="s">
        <v>1562</v>
      </c>
      <c r="D381" s="1" t="s">
        <v>454</v>
      </c>
      <c r="E381" s="1">
        <v>2172</v>
      </c>
      <c r="F381" s="28">
        <v>20</v>
      </c>
      <c r="G381" s="9" t="s">
        <v>1042</v>
      </c>
      <c r="H381" s="1">
        <v>24</v>
      </c>
      <c r="I381" s="1">
        <v>23</v>
      </c>
      <c r="J381" t="str">
        <f t="shared" si="5"/>
        <v>http://www.badatelna.eu/reprodukce/?fondId=1073&amp;zaznamId=1108958&amp;reproId=3779761</v>
      </c>
      <c r="K381">
        <f>IF(LEN(TRIM(E381))=0,"",VLOOKUP(E381,Sheet2!$B$1:$E$19,2,FALSE))</f>
        <v>1073</v>
      </c>
      <c r="L381">
        <f>IF(LEN(TRIM(E381))=0,"",VLOOKUP(E381,Sheet2!$B$1:$E$19,3,FALSE))</f>
        <v>1108958</v>
      </c>
      <c r="M381">
        <f>IF(LEN(TRIM(E381))=0,"",VLOOKUP(E381,Sheet2!$B$1:$E$19,4,FALSE))+(F381-1)</f>
        <v>3779761</v>
      </c>
    </row>
    <row r="382" spans="1:17" s="1" customFormat="1" ht="15" customHeight="1" x14ac:dyDescent="0.25">
      <c r="A382" s="29" t="s">
        <v>180</v>
      </c>
      <c r="B382" s="28" t="s">
        <v>39</v>
      </c>
      <c r="C382" s="6" t="s">
        <v>2296</v>
      </c>
      <c r="D382" s="1" t="s">
        <v>454</v>
      </c>
      <c r="E382" s="1">
        <v>2173</v>
      </c>
      <c r="F382" s="28">
        <v>198</v>
      </c>
      <c r="G382" s="9">
        <v>5</v>
      </c>
      <c r="H382" s="1" t="s">
        <v>3073</v>
      </c>
      <c r="I382" s="1" t="s">
        <v>3073</v>
      </c>
      <c r="J382" t="str">
        <f t="shared" si="5"/>
        <v>http://www.badatelna.eu/reprodukce/?fondId=1073&amp;zaznamId=1108959&amp;reproId=3780191</v>
      </c>
      <c r="K382">
        <f>IF(LEN(TRIM(E382))=0,"",VLOOKUP(E382,Sheet2!$B$1:$E$19,2,FALSE))</f>
        <v>1073</v>
      </c>
      <c r="L382">
        <f>IF(LEN(TRIM(E382))=0,"",VLOOKUP(E382,Sheet2!$B$1:$E$19,3,FALSE))</f>
        <v>1108959</v>
      </c>
      <c r="M382">
        <f>IF(LEN(TRIM(E382))=0,"",VLOOKUP(E382,Sheet2!$B$1:$E$19,4,FALSE))+(F382-1)</f>
        <v>3780191</v>
      </c>
    </row>
    <row r="383" spans="1:17" s="1" customFormat="1" ht="15" customHeight="1" x14ac:dyDescent="0.25">
      <c r="A383" s="28" t="s">
        <v>180</v>
      </c>
      <c r="B383" s="28" t="s">
        <v>259</v>
      </c>
      <c r="C383" s="6" t="s">
        <v>2020</v>
      </c>
      <c r="D383" s="1" t="s">
        <v>454</v>
      </c>
      <c r="E383" s="1">
        <v>2173</v>
      </c>
      <c r="F383" s="28">
        <v>179</v>
      </c>
      <c r="G383" s="9">
        <v>5</v>
      </c>
      <c r="H383" s="1">
        <v>185</v>
      </c>
      <c r="I383" s="1">
        <v>412</v>
      </c>
      <c r="J383" t="str">
        <f t="shared" si="5"/>
        <v>http://www.badatelna.eu/reprodukce/?fondId=1073&amp;zaznamId=1108959&amp;reproId=3780172</v>
      </c>
      <c r="K383">
        <f>IF(LEN(TRIM(E383))=0,"",VLOOKUP(E383,Sheet2!$B$1:$E$19,2,FALSE))</f>
        <v>1073</v>
      </c>
      <c r="L383">
        <f>IF(LEN(TRIM(E383))=0,"",VLOOKUP(E383,Sheet2!$B$1:$E$19,3,FALSE))</f>
        <v>1108959</v>
      </c>
      <c r="M383">
        <f>IF(LEN(TRIM(E383))=0,"",VLOOKUP(E383,Sheet2!$B$1:$E$19,4,FALSE))+(F383-1)</f>
        <v>3780172</v>
      </c>
    </row>
    <row r="384" spans="1:17" s="1" customFormat="1" ht="15" customHeight="1" x14ac:dyDescent="0.25">
      <c r="A384" s="28" t="s">
        <v>180</v>
      </c>
      <c r="B384" s="28" t="s">
        <v>306</v>
      </c>
      <c r="C384" s="6" t="s">
        <v>1563</v>
      </c>
      <c r="D384" s="1" t="s">
        <v>454</v>
      </c>
      <c r="E384" s="1">
        <v>2172</v>
      </c>
      <c r="F384" s="28">
        <v>23</v>
      </c>
      <c r="G384" s="9">
        <v>22</v>
      </c>
      <c r="H384" s="1">
        <v>24</v>
      </c>
      <c r="I384" s="1">
        <v>23</v>
      </c>
      <c r="J384" t="str">
        <f t="shared" si="5"/>
        <v>http://www.badatelna.eu/reprodukce/?fondId=1073&amp;zaznamId=1108958&amp;reproId=3779764</v>
      </c>
      <c r="K384">
        <f>IF(LEN(TRIM(E384))=0,"",VLOOKUP(E384,Sheet2!$B$1:$E$19,2,FALSE))</f>
        <v>1073</v>
      </c>
      <c r="L384">
        <f>IF(LEN(TRIM(E384))=0,"",VLOOKUP(E384,Sheet2!$B$1:$E$19,3,FALSE))</f>
        <v>1108958</v>
      </c>
      <c r="M384">
        <f>IF(LEN(TRIM(E384))=0,"",VLOOKUP(E384,Sheet2!$B$1:$E$19,4,FALSE))+(F384-1)</f>
        <v>3779764</v>
      </c>
    </row>
    <row r="385" spans="1:17" s="1" customFormat="1" ht="15" customHeight="1" x14ac:dyDescent="0.25">
      <c r="A385" s="29" t="s">
        <v>180</v>
      </c>
      <c r="B385" s="28" t="s">
        <v>54</v>
      </c>
      <c r="C385" s="6" t="s">
        <v>2538</v>
      </c>
      <c r="D385" s="1" t="s">
        <v>454</v>
      </c>
      <c r="E385" s="1">
        <v>2173</v>
      </c>
      <c r="F385" s="28">
        <v>207</v>
      </c>
      <c r="G385" s="1">
        <v>23</v>
      </c>
      <c r="H385" s="1" t="s">
        <v>3073</v>
      </c>
      <c r="I385" s="1" t="s">
        <v>3073</v>
      </c>
      <c r="J385" t="str">
        <f t="shared" si="5"/>
        <v>http://www.badatelna.eu/reprodukce/?fondId=1073&amp;zaznamId=1108959&amp;reproId=3780200</v>
      </c>
      <c r="K385">
        <f>IF(LEN(TRIM(E385))=0,"",VLOOKUP(E385,Sheet2!$B$1:$E$19,2,FALSE))</f>
        <v>1073</v>
      </c>
      <c r="L385">
        <f>IF(LEN(TRIM(E385))=0,"",VLOOKUP(E385,Sheet2!$B$1:$E$19,3,FALSE))</f>
        <v>1108959</v>
      </c>
      <c r="M385">
        <f>IF(LEN(TRIM(E385))=0,"",VLOOKUP(E385,Sheet2!$B$1:$E$19,4,FALSE))+(F385-1)</f>
        <v>3780200</v>
      </c>
    </row>
    <row r="386" spans="1:17" s="1" customFormat="1" ht="15" customHeight="1" x14ac:dyDescent="0.25">
      <c r="A386" s="28" t="s">
        <v>180</v>
      </c>
      <c r="B386" s="28" t="s">
        <v>500</v>
      </c>
      <c r="C386" s="1">
        <v>1866</v>
      </c>
      <c r="D386" s="1" t="s">
        <v>2919</v>
      </c>
      <c r="E386" s="1">
        <v>999</v>
      </c>
      <c r="F386" s="28">
        <v>92</v>
      </c>
      <c r="G386" s="1">
        <v>13</v>
      </c>
      <c r="H386" s="1">
        <v>95</v>
      </c>
      <c r="I386" s="1">
        <v>153</v>
      </c>
      <c r="J386" t="str">
        <f t="shared" si="5"/>
        <v>http://www.badatelna.eu/reprodukce/?fondId=241&amp;zaznamId=1133739&amp;reproId=3885821</v>
      </c>
      <c r="K386">
        <f>IF(LEN(TRIM(E386))=0,"",VLOOKUP(E386,Sheet2!$B$1:$E$19,2,FALSE))</f>
        <v>241</v>
      </c>
      <c r="L386">
        <f>IF(LEN(TRIM(E386))=0,"",VLOOKUP(E386,Sheet2!$B$1:$E$19,3,FALSE))</f>
        <v>1133739</v>
      </c>
      <c r="M386">
        <f>IF(LEN(TRIM(E386))=0,"",VLOOKUP(E386,Sheet2!$B$1:$E$19,4,FALSE))+(F386-1)</f>
        <v>3885821</v>
      </c>
    </row>
    <row r="387" spans="1:17" s="1" customFormat="1" ht="15" customHeight="1" x14ac:dyDescent="0.25">
      <c r="A387" s="29" t="s">
        <v>2819</v>
      </c>
      <c r="B387" s="28" t="s">
        <v>197</v>
      </c>
      <c r="C387" s="6" t="s">
        <v>2444</v>
      </c>
      <c r="D387" s="1" t="s">
        <v>454</v>
      </c>
      <c r="E387" s="1">
        <v>2173</v>
      </c>
      <c r="F387" s="28">
        <v>204</v>
      </c>
      <c r="G387" s="1">
        <v>17</v>
      </c>
      <c r="H387" s="1" t="s">
        <v>3073</v>
      </c>
      <c r="I387" s="1" t="s">
        <v>3073</v>
      </c>
      <c r="J387" t="str">
        <f t="shared" ref="J387:J450" si="6">IF(LEN(TRIM(E387))=0,"","http://www.badatelna.eu/reprodukce/?fondId="&amp;K387&amp;"&amp;zaznamId="&amp;L387&amp;"&amp;reproId="&amp;M387)</f>
        <v>http://www.badatelna.eu/reprodukce/?fondId=1073&amp;zaznamId=1108959&amp;reproId=3780197</v>
      </c>
      <c r="K387">
        <f>IF(LEN(TRIM(E387))=0,"",VLOOKUP(E387,Sheet2!$B$1:$E$19,2,FALSE))</f>
        <v>1073</v>
      </c>
      <c r="L387">
        <f>IF(LEN(TRIM(E387))=0,"",VLOOKUP(E387,Sheet2!$B$1:$E$19,3,FALSE))</f>
        <v>1108959</v>
      </c>
      <c r="M387">
        <f>IF(LEN(TRIM(E387))=0,"",VLOOKUP(E387,Sheet2!$B$1:$E$19,4,FALSE))+(F387-1)</f>
        <v>3780197</v>
      </c>
    </row>
    <row r="388" spans="1:17" s="1" customFormat="1" ht="15" customHeight="1" x14ac:dyDescent="0.25">
      <c r="A388" s="28" t="s">
        <v>133</v>
      </c>
      <c r="B388" s="28" t="s">
        <v>129</v>
      </c>
      <c r="C388" s="6" t="s">
        <v>2340</v>
      </c>
      <c r="D388" s="1" t="s">
        <v>454</v>
      </c>
      <c r="E388" s="1">
        <v>2173</v>
      </c>
      <c r="F388" s="28">
        <v>200</v>
      </c>
      <c r="G388" s="9">
        <v>10</v>
      </c>
      <c r="H388" s="1" t="s">
        <v>3073</v>
      </c>
      <c r="I388" s="1" t="s">
        <v>3073</v>
      </c>
      <c r="J388" t="str">
        <f t="shared" si="6"/>
        <v>http://www.badatelna.eu/reprodukce/?fondId=1073&amp;zaznamId=1108959&amp;reproId=3780193</v>
      </c>
      <c r="K388">
        <f>IF(LEN(TRIM(E388))=0,"",VLOOKUP(E388,Sheet2!$B$1:$E$19,2,FALSE))</f>
        <v>1073</v>
      </c>
      <c r="L388">
        <f>IF(LEN(TRIM(E388))=0,"",VLOOKUP(E388,Sheet2!$B$1:$E$19,3,FALSE))</f>
        <v>1108959</v>
      </c>
      <c r="M388">
        <f>IF(LEN(TRIM(E388))=0,"",VLOOKUP(E388,Sheet2!$B$1:$E$19,4,FALSE))+(F388-1)</f>
        <v>3780193</v>
      </c>
      <c r="N388"/>
      <c r="O388"/>
      <c r="P388"/>
      <c r="Q388"/>
    </row>
    <row r="389" spans="1:17" s="1" customFormat="1" ht="15" customHeight="1" x14ac:dyDescent="0.25">
      <c r="A389" s="28" t="s">
        <v>133</v>
      </c>
      <c r="B389" s="28" t="s">
        <v>266</v>
      </c>
      <c r="C389" s="6" t="s">
        <v>2021</v>
      </c>
      <c r="D389" s="1" t="s">
        <v>454</v>
      </c>
      <c r="E389" s="1">
        <v>2173</v>
      </c>
      <c r="F389" s="28">
        <v>181</v>
      </c>
      <c r="G389" s="9">
        <v>8</v>
      </c>
      <c r="H389" s="1">
        <v>185</v>
      </c>
      <c r="I389" s="1">
        <v>412</v>
      </c>
      <c r="J389" t="str">
        <f t="shared" si="6"/>
        <v>http://www.badatelna.eu/reprodukce/?fondId=1073&amp;zaznamId=1108959&amp;reproId=3780174</v>
      </c>
      <c r="K389">
        <f>IF(LEN(TRIM(E389))=0,"",VLOOKUP(E389,Sheet2!$B$1:$E$19,2,FALSE))</f>
        <v>1073</v>
      </c>
      <c r="L389">
        <f>IF(LEN(TRIM(E389))=0,"",VLOOKUP(E389,Sheet2!$B$1:$E$19,3,FALSE))</f>
        <v>1108959</v>
      </c>
      <c r="M389">
        <f>IF(LEN(TRIM(E389))=0,"",VLOOKUP(E389,Sheet2!$B$1:$E$19,4,FALSE))+(F389-1)</f>
        <v>3780174</v>
      </c>
    </row>
    <row r="390" spans="1:17" s="1" customFormat="1" ht="15" customHeight="1" x14ac:dyDescent="0.25">
      <c r="A390" s="28" t="s">
        <v>133</v>
      </c>
      <c r="B390" s="28" t="s">
        <v>19</v>
      </c>
      <c r="C390" s="1">
        <v>1893</v>
      </c>
      <c r="D390" s="1" t="s">
        <v>454</v>
      </c>
      <c r="E390" s="1">
        <v>2172</v>
      </c>
      <c r="F390" s="28">
        <v>87</v>
      </c>
      <c r="G390" s="9">
        <v>86</v>
      </c>
      <c r="H390" s="1">
        <v>89</v>
      </c>
      <c r="I390" s="1">
        <v>88</v>
      </c>
      <c r="J390" t="str">
        <f t="shared" si="6"/>
        <v>http://www.badatelna.eu/reprodukce/?fondId=1073&amp;zaznamId=1108958&amp;reproId=3779828</v>
      </c>
      <c r="K390">
        <f>IF(LEN(TRIM(E390))=0,"",VLOOKUP(E390,Sheet2!$B$1:$E$19,2,FALSE))</f>
        <v>1073</v>
      </c>
      <c r="L390">
        <f>IF(LEN(TRIM(E390))=0,"",VLOOKUP(E390,Sheet2!$B$1:$E$19,3,FALSE))</f>
        <v>1108958</v>
      </c>
      <c r="M390">
        <f>IF(LEN(TRIM(E390))=0,"",VLOOKUP(E390,Sheet2!$B$1:$E$19,4,FALSE))+(F390-1)</f>
        <v>3779828</v>
      </c>
    </row>
    <row r="391" spans="1:17" s="1" customFormat="1" ht="15" customHeight="1" x14ac:dyDescent="0.25">
      <c r="A391" s="28" t="s">
        <v>133</v>
      </c>
      <c r="B391" s="28" t="s">
        <v>49</v>
      </c>
      <c r="C391" s="6" t="s">
        <v>2022</v>
      </c>
      <c r="D391" s="1" t="s">
        <v>454</v>
      </c>
      <c r="E391" s="1">
        <v>2173</v>
      </c>
      <c r="F391" s="28">
        <v>180</v>
      </c>
      <c r="G391" s="9">
        <v>7</v>
      </c>
      <c r="H391" s="1">
        <v>185</v>
      </c>
      <c r="I391" s="1">
        <v>412</v>
      </c>
      <c r="J391" t="str">
        <f t="shared" si="6"/>
        <v>http://www.badatelna.eu/reprodukce/?fondId=1073&amp;zaznamId=1108959&amp;reproId=3780173</v>
      </c>
      <c r="K391">
        <f>IF(LEN(TRIM(E391))=0,"",VLOOKUP(E391,Sheet2!$B$1:$E$19,2,FALSE))</f>
        <v>1073</v>
      </c>
      <c r="L391">
        <f>IF(LEN(TRIM(E391))=0,"",VLOOKUP(E391,Sheet2!$B$1:$E$19,3,FALSE))</f>
        <v>1108959</v>
      </c>
      <c r="M391">
        <f>IF(LEN(TRIM(E391))=0,"",VLOOKUP(E391,Sheet2!$B$1:$E$19,4,FALSE))+(F391-1)</f>
        <v>3780173</v>
      </c>
    </row>
    <row r="392" spans="1:17" s="1" customFormat="1" ht="15" customHeight="1" x14ac:dyDescent="0.25">
      <c r="A392" s="28" t="s">
        <v>133</v>
      </c>
      <c r="B392" s="28" t="s">
        <v>272</v>
      </c>
      <c r="C392" s="6" t="s">
        <v>1841</v>
      </c>
      <c r="D392" s="1" t="s">
        <v>454</v>
      </c>
      <c r="E392" s="1">
        <v>2172</v>
      </c>
      <c r="F392" s="28">
        <v>176</v>
      </c>
      <c r="G392" s="9">
        <v>169</v>
      </c>
      <c r="H392" s="1" t="s">
        <v>3073</v>
      </c>
      <c r="I392" s="1" t="s">
        <v>3073</v>
      </c>
      <c r="J392" t="str">
        <f t="shared" si="6"/>
        <v>http://www.badatelna.eu/reprodukce/?fondId=1073&amp;zaznamId=1108958&amp;reproId=3779917</v>
      </c>
      <c r="K392">
        <f>IF(LEN(TRIM(E392))=0,"",VLOOKUP(E392,Sheet2!$B$1:$E$19,2,FALSE))</f>
        <v>1073</v>
      </c>
      <c r="L392">
        <f>IF(LEN(TRIM(E392))=0,"",VLOOKUP(E392,Sheet2!$B$1:$E$19,3,FALSE))</f>
        <v>1108958</v>
      </c>
      <c r="M392">
        <f>IF(LEN(TRIM(E392))=0,"",VLOOKUP(E392,Sheet2!$B$1:$E$19,4,FALSE))+(F392-1)</f>
        <v>3779917</v>
      </c>
    </row>
    <row r="393" spans="1:17" s="1" customFormat="1" ht="15" customHeight="1" x14ac:dyDescent="0.25">
      <c r="A393" s="28" t="s">
        <v>133</v>
      </c>
      <c r="B393" s="28" t="s">
        <v>783</v>
      </c>
      <c r="C393" s="6" t="s">
        <v>1635</v>
      </c>
      <c r="D393" s="1" t="s">
        <v>454</v>
      </c>
      <c r="E393" s="1">
        <v>2172</v>
      </c>
      <c r="F393" s="28">
        <v>94</v>
      </c>
      <c r="G393" s="9">
        <v>93</v>
      </c>
      <c r="H393" s="1">
        <v>96</v>
      </c>
      <c r="I393" s="1">
        <v>95</v>
      </c>
      <c r="J393" t="str">
        <f t="shared" si="6"/>
        <v>http://www.badatelna.eu/reprodukce/?fondId=1073&amp;zaznamId=1108958&amp;reproId=3779835</v>
      </c>
      <c r="K393">
        <f>IF(LEN(TRIM(E393))=0,"",VLOOKUP(E393,Sheet2!$B$1:$E$19,2,FALSE))</f>
        <v>1073</v>
      </c>
      <c r="L393">
        <f>IF(LEN(TRIM(E393))=0,"",VLOOKUP(E393,Sheet2!$B$1:$E$19,3,FALSE))</f>
        <v>1108958</v>
      </c>
      <c r="M393">
        <f>IF(LEN(TRIM(E393))=0,"",VLOOKUP(E393,Sheet2!$B$1:$E$19,4,FALSE))+(F393-1)</f>
        <v>3779835</v>
      </c>
    </row>
    <row r="394" spans="1:17" s="1" customFormat="1" ht="15" customHeight="1" x14ac:dyDescent="0.25">
      <c r="A394" s="28" t="s">
        <v>133</v>
      </c>
      <c r="B394" s="28" t="s">
        <v>91</v>
      </c>
      <c r="C394" s="6" t="s">
        <v>1497</v>
      </c>
      <c r="D394" s="1" t="s">
        <v>454</v>
      </c>
      <c r="E394" s="1">
        <v>2172</v>
      </c>
      <c r="F394" s="28">
        <v>4</v>
      </c>
      <c r="G394" s="9">
        <v>1</v>
      </c>
      <c r="H394" s="1">
        <v>8</v>
      </c>
      <c r="I394" s="1">
        <v>1</v>
      </c>
      <c r="J394" t="str">
        <f t="shared" si="6"/>
        <v>http://www.badatelna.eu/reprodukce/?fondId=1073&amp;zaznamId=1108958&amp;reproId=3779745</v>
      </c>
      <c r="K394">
        <f>IF(LEN(TRIM(E394))=0,"",VLOOKUP(E394,Sheet2!$B$1:$E$19,2,FALSE))</f>
        <v>1073</v>
      </c>
      <c r="L394">
        <f>IF(LEN(TRIM(E394))=0,"",VLOOKUP(E394,Sheet2!$B$1:$E$19,3,FALSE))</f>
        <v>1108958</v>
      </c>
      <c r="M394">
        <f>IF(LEN(TRIM(E394))=0,"",VLOOKUP(E394,Sheet2!$B$1:$E$19,4,FALSE))+(F394-1)</f>
        <v>3779745</v>
      </c>
    </row>
    <row r="395" spans="1:17" s="1" customFormat="1" ht="15" customHeight="1" x14ac:dyDescent="0.25">
      <c r="A395" s="28" t="s">
        <v>235</v>
      </c>
      <c r="B395" s="28" t="s">
        <v>415</v>
      </c>
      <c r="C395" s="6" t="s">
        <v>2653</v>
      </c>
      <c r="D395" s="1" t="s">
        <v>454</v>
      </c>
      <c r="E395" s="1">
        <v>2173</v>
      </c>
      <c r="F395" s="28">
        <v>222</v>
      </c>
      <c r="G395" s="9">
        <v>50</v>
      </c>
      <c r="H395" s="1" t="s">
        <v>3073</v>
      </c>
      <c r="I395" s="1" t="s">
        <v>3073</v>
      </c>
      <c r="J395" t="str">
        <f t="shared" si="6"/>
        <v>http://www.badatelna.eu/reprodukce/?fondId=1073&amp;zaznamId=1108959&amp;reproId=3780215</v>
      </c>
      <c r="K395">
        <f>IF(LEN(TRIM(E395))=0,"",VLOOKUP(E395,Sheet2!$B$1:$E$19,2,FALSE))</f>
        <v>1073</v>
      </c>
      <c r="L395">
        <f>IF(LEN(TRIM(E395))=0,"",VLOOKUP(E395,Sheet2!$B$1:$E$19,3,FALSE))</f>
        <v>1108959</v>
      </c>
      <c r="M395">
        <f>IF(LEN(TRIM(E395))=0,"",VLOOKUP(E395,Sheet2!$B$1:$E$19,4,FALSE))+(F395-1)</f>
        <v>3780215</v>
      </c>
    </row>
    <row r="396" spans="1:17" s="1" customFormat="1" ht="15" customHeight="1" x14ac:dyDescent="0.25">
      <c r="A396" s="28" t="s">
        <v>235</v>
      </c>
      <c r="B396" s="28" t="s">
        <v>19</v>
      </c>
      <c r="C396" s="6" t="s">
        <v>2605</v>
      </c>
      <c r="D396" s="1" t="s">
        <v>454</v>
      </c>
      <c r="E396" s="1">
        <v>2173</v>
      </c>
      <c r="F396" s="28">
        <v>218</v>
      </c>
      <c r="G396" s="9">
        <v>46</v>
      </c>
      <c r="H396" s="1" t="s">
        <v>3073</v>
      </c>
      <c r="I396" s="1" t="s">
        <v>3073</v>
      </c>
      <c r="J396" t="str">
        <f t="shared" si="6"/>
        <v>http://www.badatelna.eu/reprodukce/?fondId=1073&amp;zaznamId=1108959&amp;reproId=3780211</v>
      </c>
      <c r="K396">
        <f>IF(LEN(TRIM(E396))=0,"",VLOOKUP(E396,Sheet2!$B$1:$E$19,2,FALSE))</f>
        <v>1073</v>
      </c>
      <c r="L396">
        <f>IF(LEN(TRIM(E396))=0,"",VLOOKUP(E396,Sheet2!$B$1:$E$19,3,FALSE))</f>
        <v>1108959</v>
      </c>
      <c r="M396">
        <f>IF(LEN(TRIM(E396))=0,"",VLOOKUP(E396,Sheet2!$B$1:$E$19,4,FALSE))+(F396-1)</f>
        <v>3780211</v>
      </c>
      <c r="N396"/>
      <c r="O396"/>
      <c r="P396"/>
      <c r="Q396"/>
    </row>
    <row r="397" spans="1:17" s="1" customFormat="1" ht="15" customHeight="1" x14ac:dyDescent="0.25">
      <c r="A397" s="28" t="s">
        <v>235</v>
      </c>
      <c r="B397" s="28" t="s">
        <v>265</v>
      </c>
      <c r="C397" s="1">
        <v>1856</v>
      </c>
      <c r="D397" s="1" t="s">
        <v>2919</v>
      </c>
      <c r="E397" s="1">
        <v>998</v>
      </c>
      <c r="F397" s="28">
        <v>50</v>
      </c>
      <c r="G397" s="1">
        <v>48</v>
      </c>
      <c r="H397" s="1">
        <v>64</v>
      </c>
      <c r="I397" s="1">
        <v>61</v>
      </c>
      <c r="J397" t="str">
        <f t="shared" si="6"/>
        <v>http://www.badatelna.eu/reprodukce/?fondId=241&amp;zaznamId=1133738&amp;reproId=3885696</v>
      </c>
      <c r="K397">
        <f>IF(LEN(TRIM(E397))=0,"",VLOOKUP(E397,Sheet2!$B$1:$E$19,2,FALSE))</f>
        <v>241</v>
      </c>
      <c r="L397">
        <f>IF(LEN(TRIM(E397))=0,"",VLOOKUP(E397,Sheet2!$B$1:$E$19,3,FALSE))</f>
        <v>1133738</v>
      </c>
      <c r="M397">
        <f>IF(LEN(TRIM(E397))=0,"",VLOOKUP(E397,Sheet2!$B$1:$E$19,4,FALSE))+(F397-1)</f>
        <v>3885696</v>
      </c>
    </row>
    <row r="398" spans="1:17" s="1" customFormat="1" ht="15" customHeight="1" x14ac:dyDescent="0.25">
      <c r="A398" s="28" t="s">
        <v>235</v>
      </c>
      <c r="B398" s="28" t="s">
        <v>54</v>
      </c>
      <c r="C398" s="6" t="s">
        <v>2530</v>
      </c>
      <c r="D398" s="1" t="s">
        <v>454</v>
      </c>
      <c r="E398" s="1">
        <v>2173</v>
      </c>
      <c r="F398" s="28">
        <v>207</v>
      </c>
      <c r="G398" s="1">
        <v>24</v>
      </c>
      <c r="H398" s="1" t="s">
        <v>3073</v>
      </c>
      <c r="I398" s="1" t="s">
        <v>3073</v>
      </c>
      <c r="J398" t="str">
        <f t="shared" si="6"/>
        <v>http://www.badatelna.eu/reprodukce/?fondId=1073&amp;zaznamId=1108959&amp;reproId=3780200</v>
      </c>
      <c r="K398">
        <f>IF(LEN(TRIM(E398))=0,"",VLOOKUP(E398,Sheet2!$B$1:$E$19,2,FALSE))</f>
        <v>1073</v>
      </c>
      <c r="L398">
        <f>IF(LEN(TRIM(E398))=0,"",VLOOKUP(E398,Sheet2!$B$1:$E$19,3,FALSE))</f>
        <v>1108959</v>
      </c>
      <c r="M398">
        <f>IF(LEN(TRIM(E398))=0,"",VLOOKUP(E398,Sheet2!$B$1:$E$19,4,FALSE))+(F398-1)</f>
        <v>3780200</v>
      </c>
    </row>
    <row r="399" spans="1:17" s="1" customFormat="1" ht="15" customHeight="1" x14ac:dyDescent="0.25">
      <c r="A399" s="29" t="s">
        <v>2822</v>
      </c>
      <c r="B399" s="28" t="s">
        <v>13</v>
      </c>
      <c r="C399" s="6" t="s">
        <v>2455</v>
      </c>
      <c r="D399" s="1" t="s">
        <v>454</v>
      </c>
      <c r="E399" s="1">
        <v>2173</v>
      </c>
      <c r="F399" s="28">
        <v>204</v>
      </c>
      <c r="G399" s="1">
        <v>18</v>
      </c>
      <c r="H399" s="1" t="s">
        <v>3073</v>
      </c>
      <c r="I399" s="1" t="s">
        <v>3073</v>
      </c>
      <c r="J399" t="str">
        <f t="shared" si="6"/>
        <v>http://www.badatelna.eu/reprodukce/?fondId=1073&amp;zaznamId=1108959&amp;reproId=3780197</v>
      </c>
      <c r="K399">
        <f>IF(LEN(TRIM(E399))=0,"",VLOOKUP(E399,Sheet2!$B$1:$E$19,2,FALSE))</f>
        <v>1073</v>
      </c>
      <c r="L399">
        <f>IF(LEN(TRIM(E399))=0,"",VLOOKUP(E399,Sheet2!$B$1:$E$19,3,FALSE))</f>
        <v>1108959</v>
      </c>
      <c r="M399">
        <f>IF(LEN(TRIM(E399))=0,"",VLOOKUP(E399,Sheet2!$B$1:$E$19,4,FALSE))+(F399-1)</f>
        <v>3780197</v>
      </c>
    </row>
    <row r="400" spans="1:17" s="1" customFormat="1" ht="15" customHeight="1" x14ac:dyDescent="0.25">
      <c r="A400" s="29" t="s">
        <v>2778</v>
      </c>
      <c r="B400" s="28" t="s">
        <v>746</v>
      </c>
      <c r="C400" s="6" t="s">
        <v>1734</v>
      </c>
      <c r="D400" s="1" t="s">
        <v>454</v>
      </c>
      <c r="E400" s="1">
        <v>2172</v>
      </c>
      <c r="F400" s="28">
        <v>129</v>
      </c>
      <c r="G400" s="9" t="s">
        <v>2775</v>
      </c>
      <c r="H400" s="1">
        <v>132</v>
      </c>
      <c r="I400" s="1">
        <v>131</v>
      </c>
      <c r="J400" t="str">
        <f t="shared" si="6"/>
        <v>http://www.badatelna.eu/reprodukce/?fondId=1073&amp;zaznamId=1108958&amp;reproId=3779870</v>
      </c>
      <c r="K400">
        <f>IF(LEN(TRIM(E400))=0,"",VLOOKUP(E400,Sheet2!$B$1:$E$19,2,FALSE))</f>
        <v>1073</v>
      </c>
      <c r="L400">
        <f>IF(LEN(TRIM(E400))=0,"",VLOOKUP(E400,Sheet2!$B$1:$E$19,3,FALSE))</f>
        <v>1108958</v>
      </c>
      <c r="M400">
        <f>IF(LEN(TRIM(E400))=0,"",VLOOKUP(E400,Sheet2!$B$1:$E$19,4,FALSE))+(F400-1)</f>
        <v>3779870</v>
      </c>
    </row>
    <row r="401" spans="1:17" s="1" customFormat="1" ht="15" customHeight="1" x14ac:dyDescent="0.25">
      <c r="A401" s="28" t="s">
        <v>491</v>
      </c>
      <c r="B401" s="28" t="s">
        <v>469</v>
      </c>
      <c r="C401" s="1">
        <v>1866</v>
      </c>
      <c r="D401" s="1" t="s">
        <v>2919</v>
      </c>
      <c r="E401" s="1">
        <v>999</v>
      </c>
      <c r="F401" s="28">
        <v>91</v>
      </c>
      <c r="G401" s="1">
        <v>12</v>
      </c>
      <c r="H401" s="1">
        <v>95</v>
      </c>
      <c r="I401" s="1">
        <v>153</v>
      </c>
      <c r="J401" t="str">
        <f t="shared" si="6"/>
        <v>http://www.badatelna.eu/reprodukce/?fondId=241&amp;zaznamId=1133739&amp;reproId=3885820</v>
      </c>
      <c r="K401">
        <f>IF(LEN(TRIM(E401))=0,"",VLOOKUP(E401,Sheet2!$B$1:$E$19,2,FALSE))</f>
        <v>241</v>
      </c>
      <c r="L401">
        <f>IF(LEN(TRIM(E401))=0,"",VLOOKUP(E401,Sheet2!$B$1:$E$19,3,FALSE))</f>
        <v>1133739</v>
      </c>
      <c r="M401">
        <f>IF(LEN(TRIM(E401))=0,"",VLOOKUP(E401,Sheet2!$B$1:$E$19,4,FALSE))+(F401-1)</f>
        <v>3885820</v>
      </c>
      <c r="N401"/>
      <c r="O401"/>
      <c r="P401"/>
      <c r="Q401"/>
    </row>
    <row r="402" spans="1:17" s="1" customFormat="1" ht="15" customHeight="1" x14ac:dyDescent="0.25">
      <c r="A402" s="27" t="s">
        <v>491</v>
      </c>
      <c r="B402" s="27" t="s">
        <v>469</v>
      </c>
      <c r="C402" s="5" t="s">
        <v>1092</v>
      </c>
      <c r="D402" s="3" t="s">
        <v>454</v>
      </c>
      <c r="E402" s="3">
        <v>2170</v>
      </c>
      <c r="F402" s="37">
        <v>19</v>
      </c>
      <c r="G402" s="10">
        <v>15</v>
      </c>
      <c r="H402" s="3">
        <v>61</v>
      </c>
      <c r="I402" s="3">
        <v>57</v>
      </c>
      <c r="J402" t="str">
        <f t="shared" si="6"/>
        <v>http://www.badatelna.eu/reprodukce/?fondId=1073&amp;zaznamId=1108956&amp;reproId=3779611</v>
      </c>
      <c r="K402">
        <f>IF(LEN(TRIM(E402))=0,"",VLOOKUP(E402,Sheet2!$B$1:$E$19,2,FALSE))</f>
        <v>1073</v>
      </c>
      <c r="L402">
        <f>IF(LEN(TRIM(E402))=0,"",VLOOKUP(E402,Sheet2!$B$1:$E$19,3,FALSE))</f>
        <v>1108956</v>
      </c>
      <c r="M402">
        <f>IF(LEN(TRIM(E402))=0,"",VLOOKUP(E402,Sheet2!$B$1:$E$19,4,FALSE))+(F402-1)</f>
        <v>3779611</v>
      </c>
    </row>
    <row r="403" spans="1:17" s="1" customFormat="1" ht="15" customHeight="1" x14ac:dyDescent="0.25">
      <c r="A403" s="28" t="s">
        <v>456</v>
      </c>
      <c r="B403" s="28" t="s">
        <v>48</v>
      </c>
      <c r="C403" s="6" t="s">
        <v>2286</v>
      </c>
      <c r="D403" s="1" t="s">
        <v>454</v>
      </c>
      <c r="E403" s="1">
        <v>2173</v>
      </c>
      <c r="F403" s="28">
        <v>198</v>
      </c>
      <c r="G403" s="9">
        <v>5</v>
      </c>
      <c r="H403" s="1" t="s">
        <v>3073</v>
      </c>
      <c r="I403" s="1" t="s">
        <v>3073</v>
      </c>
      <c r="J403" t="str">
        <f t="shared" si="6"/>
        <v>http://www.badatelna.eu/reprodukce/?fondId=1073&amp;zaznamId=1108959&amp;reproId=3780191</v>
      </c>
      <c r="K403">
        <f>IF(LEN(TRIM(E403))=0,"",VLOOKUP(E403,Sheet2!$B$1:$E$19,2,FALSE))</f>
        <v>1073</v>
      </c>
      <c r="L403">
        <f>IF(LEN(TRIM(E403))=0,"",VLOOKUP(E403,Sheet2!$B$1:$E$19,3,FALSE))</f>
        <v>1108959</v>
      </c>
      <c r="M403">
        <f>IF(LEN(TRIM(E403))=0,"",VLOOKUP(E403,Sheet2!$B$1:$E$19,4,FALSE))+(F403-1)</f>
        <v>3780191</v>
      </c>
    </row>
    <row r="404" spans="1:17" s="1" customFormat="1" ht="15" customHeight="1" x14ac:dyDescent="0.25">
      <c r="A404" s="27" t="s">
        <v>277</v>
      </c>
      <c r="B404" s="27" t="s">
        <v>492</v>
      </c>
      <c r="C404" s="5" t="s">
        <v>1301</v>
      </c>
      <c r="D404" s="3" t="s">
        <v>454</v>
      </c>
      <c r="E404" s="3">
        <v>2171</v>
      </c>
      <c r="F404" s="28">
        <v>30</v>
      </c>
      <c r="G404" s="10">
        <v>27</v>
      </c>
      <c r="H404" s="3">
        <v>42</v>
      </c>
      <c r="I404" s="3">
        <v>32</v>
      </c>
      <c r="J404" t="str">
        <f t="shared" si="6"/>
        <v>http://www.badatelna.eu/reprodukce/?fondId=1073&amp;zaznamId=1108957&amp;reproId=3779697</v>
      </c>
      <c r="K404">
        <f>IF(LEN(TRIM(E404))=0,"",VLOOKUP(E404,Sheet2!$B$1:$E$19,2,FALSE))</f>
        <v>1073</v>
      </c>
      <c r="L404">
        <f>IF(LEN(TRIM(E404))=0,"",VLOOKUP(E404,Sheet2!$B$1:$E$19,3,FALSE))</f>
        <v>1108957</v>
      </c>
      <c r="M404">
        <f>IF(LEN(TRIM(E404))=0,"",VLOOKUP(E404,Sheet2!$B$1:$E$19,4,FALSE))+(F404-1)</f>
        <v>3779697</v>
      </c>
    </row>
    <row r="405" spans="1:17" s="1" customFormat="1" ht="15" customHeight="1" x14ac:dyDescent="0.25">
      <c r="A405" s="27" t="s">
        <v>277</v>
      </c>
      <c r="B405" s="27" t="s">
        <v>493</v>
      </c>
      <c r="C405" s="5" t="s">
        <v>1481</v>
      </c>
      <c r="D405" s="3" t="s">
        <v>454</v>
      </c>
      <c r="E405" s="3">
        <v>2171</v>
      </c>
      <c r="F405" s="28">
        <v>33</v>
      </c>
      <c r="G405" s="10">
        <v>30</v>
      </c>
      <c r="H405" s="3">
        <v>42</v>
      </c>
      <c r="I405" s="3">
        <v>32</v>
      </c>
      <c r="J405" t="str">
        <f t="shared" si="6"/>
        <v>http://www.badatelna.eu/reprodukce/?fondId=1073&amp;zaznamId=1108957&amp;reproId=3779700</v>
      </c>
      <c r="K405">
        <f>IF(LEN(TRIM(E405))=0,"",VLOOKUP(E405,Sheet2!$B$1:$E$19,2,FALSE))</f>
        <v>1073</v>
      </c>
      <c r="L405">
        <f>IF(LEN(TRIM(E405))=0,"",VLOOKUP(E405,Sheet2!$B$1:$E$19,3,FALSE))</f>
        <v>1108957</v>
      </c>
      <c r="M405">
        <f>IF(LEN(TRIM(E405))=0,"",VLOOKUP(E405,Sheet2!$B$1:$E$19,4,FALSE))+(F405-1)</f>
        <v>3779700</v>
      </c>
      <c r="N405"/>
      <c r="O405"/>
      <c r="P405"/>
      <c r="Q405"/>
    </row>
    <row r="406" spans="1:17" s="1" customFormat="1" ht="15" customHeight="1" x14ac:dyDescent="0.25">
      <c r="A406" s="28" t="s">
        <v>277</v>
      </c>
      <c r="B406" s="28" t="s">
        <v>711</v>
      </c>
      <c r="C406" s="15">
        <v>7467</v>
      </c>
      <c r="D406" s="1" t="s">
        <v>454</v>
      </c>
      <c r="E406" s="1">
        <v>2172</v>
      </c>
      <c r="F406" s="28">
        <v>199</v>
      </c>
      <c r="G406" s="9">
        <v>187</v>
      </c>
      <c r="H406" s="1" t="s">
        <v>3073</v>
      </c>
      <c r="I406" s="1" t="s">
        <v>3073</v>
      </c>
      <c r="J406" t="str">
        <f t="shared" si="6"/>
        <v>http://www.badatelna.eu/reprodukce/?fondId=1073&amp;zaznamId=1108958&amp;reproId=3779940</v>
      </c>
      <c r="K406">
        <f>IF(LEN(TRIM(E406))=0,"",VLOOKUP(E406,Sheet2!$B$1:$E$19,2,FALSE))</f>
        <v>1073</v>
      </c>
      <c r="L406">
        <f>IF(LEN(TRIM(E406))=0,"",VLOOKUP(E406,Sheet2!$B$1:$E$19,3,FALSE))</f>
        <v>1108958</v>
      </c>
      <c r="M406">
        <f>IF(LEN(TRIM(E406))=0,"",VLOOKUP(E406,Sheet2!$B$1:$E$19,4,FALSE))+(F406-1)</f>
        <v>3779940</v>
      </c>
    </row>
    <row r="407" spans="1:17" s="1" customFormat="1" ht="15" customHeight="1" x14ac:dyDescent="0.25">
      <c r="A407" s="27" t="s">
        <v>277</v>
      </c>
      <c r="B407" s="27" t="s">
        <v>10</v>
      </c>
      <c r="C407" s="5" t="s">
        <v>1093</v>
      </c>
      <c r="D407" s="3" t="s">
        <v>454</v>
      </c>
      <c r="E407" s="3">
        <v>2170</v>
      </c>
      <c r="F407" s="31">
        <v>37</v>
      </c>
      <c r="G407" s="10">
        <v>33</v>
      </c>
      <c r="H407" s="3">
        <v>61</v>
      </c>
      <c r="I407" s="3">
        <v>57</v>
      </c>
      <c r="J407" t="str">
        <f t="shared" si="6"/>
        <v>http://www.badatelna.eu/reprodukce/?fondId=1073&amp;zaznamId=1108956&amp;reproId=3779629</v>
      </c>
      <c r="K407">
        <f>IF(LEN(TRIM(E407))=0,"",VLOOKUP(E407,Sheet2!$B$1:$E$19,2,FALSE))</f>
        <v>1073</v>
      </c>
      <c r="L407">
        <f>IF(LEN(TRIM(E407))=0,"",VLOOKUP(E407,Sheet2!$B$1:$E$19,3,FALSE))</f>
        <v>1108956</v>
      </c>
      <c r="M407">
        <f>IF(LEN(TRIM(E407))=0,"",VLOOKUP(E407,Sheet2!$B$1:$E$19,4,FALSE))+(F407-1)</f>
        <v>3779629</v>
      </c>
      <c r="N407"/>
      <c r="O407"/>
      <c r="P407"/>
      <c r="Q407"/>
    </row>
    <row r="408" spans="1:17" s="1" customFormat="1" ht="15" customHeight="1" x14ac:dyDescent="0.25">
      <c r="A408" s="28" t="s">
        <v>277</v>
      </c>
      <c r="B408" s="28" t="s">
        <v>784</v>
      </c>
      <c r="C408" s="6" t="s">
        <v>1735</v>
      </c>
      <c r="D408" s="1" t="s">
        <v>454</v>
      </c>
      <c r="E408" s="1">
        <v>2172</v>
      </c>
      <c r="F408" s="28">
        <v>127</v>
      </c>
      <c r="G408" s="9" t="s">
        <v>2780</v>
      </c>
      <c r="H408" s="1">
        <v>132</v>
      </c>
      <c r="I408" s="1">
        <v>131</v>
      </c>
      <c r="J408" t="str">
        <f t="shared" si="6"/>
        <v>http://www.badatelna.eu/reprodukce/?fondId=1073&amp;zaznamId=1108958&amp;reproId=3779868</v>
      </c>
      <c r="K408">
        <f>IF(LEN(TRIM(E408))=0,"",VLOOKUP(E408,Sheet2!$B$1:$E$19,2,FALSE))</f>
        <v>1073</v>
      </c>
      <c r="L408">
        <f>IF(LEN(TRIM(E408))=0,"",VLOOKUP(E408,Sheet2!$B$1:$E$19,3,FALSE))</f>
        <v>1108958</v>
      </c>
      <c r="M408">
        <f>IF(LEN(TRIM(E408))=0,"",VLOOKUP(E408,Sheet2!$B$1:$E$19,4,FALSE))+(F408-1)</f>
        <v>3779868</v>
      </c>
    </row>
    <row r="409" spans="1:17" s="1" customFormat="1" ht="15" customHeight="1" x14ac:dyDescent="0.25">
      <c r="A409" s="27" t="s">
        <v>277</v>
      </c>
      <c r="B409" s="27" t="s">
        <v>39</v>
      </c>
      <c r="C409" s="5" t="s">
        <v>1094</v>
      </c>
      <c r="D409" s="3" t="s">
        <v>454</v>
      </c>
      <c r="E409" s="3">
        <v>2170</v>
      </c>
      <c r="F409" s="31">
        <v>38</v>
      </c>
      <c r="G409" s="10">
        <v>34</v>
      </c>
      <c r="H409" s="3">
        <v>61</v>
      </c>
      <c r="I409" s="3">
        <v>57</v>
      </c>
      <c r="J409" t="str">
        <f t="shared" si="6"/>
        <v>http://www.badatelna.eu/reprodukce/?fondId=1073&amp;zaznamId=1108956&amp;reproId=3779630</v>
      </c>
      <c r="K409">
        <f>IF(LEN(TRIM(E409))=0,"",VLOOKUP(E409,Sheet2!$B$1:$E$19,2,FALSE))</f>
        <v>1073</v>
      </c>
      <c r="L409">
        <f>IF(LEN(TRIM(E409))=0,"",VLOOKUP(E409,Sheet2!$B$1:$E$19,3,FALSE))</f>
        <v>1108956</v>
      </c>
      <c r="M409">
        <f>IF(LEN(TRIM(E409))=0,"",VLOOKUP(E409,Sheet2!$B$1:$E$19,4,FALSE))+(F409-1)</f>
        <v>3779630</v>
      </c>
    </row>
    <row r="410" spans="1:17" s="1" customFormat="1" ht="15" customHeight="1" x14ac:dyDescent="0.25">
      <c r="A410" s="28" t="s">
        <v>277</v>
      </c>
      <c r="B410" s="28" t="s">
        <v>424</v>
      </c>
      <c r="C410" s="6" t="s">
        <v>1926</v>
      </c>
      <c r="D410" s="1" t="s">
        <v>454</v>
      </c>
      <c r="E410" s="1">
        <v>2172</v>
      </c>
      <c r="F410" s="28">
        <v>216</v>
      </c>
      <c r="G410" s="9">
        <v>200</v>
      </c>
      <c r="H410" s="1" t="s">
        <v>3073</v>
      </c>
      <c r="I410" s="1" t="s">
        <v>3073</v>
      </c>
      <c r="J410" t="str">
        <f t="shared" si="6"/>
        <v>http://www.badatelna.eu/reprodukce/?fondId=1073&amp;zaznamId=1108958&amp;reproId=3779957</v>
      </c>
      <c r="K410">
        <f>IF(LEN(TRIM(E410))=0,"",VLOOKUP(E410,Sheet2!$B$1:$E$19,2,FALSE))</f>
        <v>1073</v>
      </c>
      <c r="L410">
        <f>IF(LEN(TRIM(E410))=0,"",VLOOKUP(E410,Sheet2!$B$1:$E$19,3,FALSE))</f>
        <v>1108958</v>
      </c>
      <c r="M410">
        <f>IF(LEN(TRIM(E410))=0,"",VLOOKUP(E410,Sheet2!$B$1:$E$19,4,FALSE))+(F410-1)</f>
        <v>3779957</v>
      </c>
    </row>
    <row r="411" spans="1:17" s="1" customFormat="1" ht="15" customHeight="1" x14ac:dyDescent="0.25">
      <c r="A411" s="28" t="s">
        <v>277</v>
      </c>
      <c r="B411" s="28" t="s">
        <v>265</v>
      </c>
      <c r="C411" s="6" t="s">
        <v>2023</v>
      </c>
      <c r="D411" s="1" t="s">
        <v>454</v>
      </c>
      <c r="E411" s="1">
        <v>2173</v>
      </c>
      <c r="F411" s="37">
        <v>183</v>
      </c>
      <c r="G411" s="9">
        <v>13</v>
      </c>
      <c r="H411" s="1">
        <v>185</v>
      </c>
      <c r="I411" s="1">
        <v>412</v>
      </c>
      <c r="J411" t="str">
        <f t="shared" si="6"/>
        <v>http://www.badatelna.eu/reprodukce/?fondId=1073&amp;zaznamId=1108959&amp;reproId=3780176</v>
      </c>
      <c r="K411">
        <f>IF(LEN(TRIM(E411))=0,"",VLOOKUP(E411,Sheet2!$B$1:$E$19,2,FALSE))</f>
        <v>1073</v>
      </c>
      <c r="L411">
        <f>IF(LEN(TRIM(E411))=0,"",VLOOKUP(E411,Sheet2!$B$1:$E$19,3,FALSE))</f>
        <v>1108959</v>
      </c>
      <c r="M411">
        <f>IF(LEN(TRIM(E411))=0,"",VLOOKUP(E411,Sheet2!$B$1:$E$19,4,FALSE))+(F411-1)</f>
        <v>3780176</v>
      </c>
    </row>
    <row r="412" spans="1:17" s="1" customFormat="1" ht="15" customHeight="1" x14ac:dyDescent="0.25">
      <c r="A412" s="28" t="s">
        <v>277</v>
      </c>
      <c r="B412" s="28" t="s">
        <v>785</v>
      </c>
      <c r="C412" s="1">
        <v>1885</v>
      </c>
      <c r="D412" s="1" t="s">
        <v>454</v>
      </c>
      <c r="E412" s="1">
        <v>2172</v>
      </c>
      <c r="F412" s="28">
        <v>46</v>
      </c>
      <c r="G412" s="9">
        <v>45</v>
      </c>
      <c r="H412" s="1">
        <v>48</v>
      </c>
      <c r="I412" s="1">
        <v>49</v>
      </c>
      <c r="J412" t="str">
        <f t="shared" si="6"/>
        <v>http://www.badatelna.eu/reprodukce/?fondId=1073&amp;zaznamId=1108958&amp;reproId=3779787</v>
      </c>
      <c r="K412">
        <f>IF(LEN(TRIM(E412))=0,"",VLOOKUP(E412,Sheet2!$B$1:$E$19,2,FALSE))</f>
        <v>1073</v>
      </c>
      <c r="L412">
        <f>IF(LEN(TRIM(E412))=0,"",VLOOKUP(E412,Sheet2!$B$1:$E$19,3,FALSE))</f>
        <v>1108958</v>
      </c>
      <c r="M412">
        <f>IF(LEN(TRIM(E412))=0,"",VLOOKUP(E412,Sheet2!$B$1:$E$19,4,FALSE))+(F412-1)</f>
        <v>3779787</v>
      </c>
    </row>
    <row r="413" spans="1:17" s="1" customFormat="1" ht="15" customHeight="1" x14ac:dyDescent="0.25">
      <c r="A413" s="27" t="s">
        <v>277</v>
      </c>
      <c r="B413" s="27" t="s">
        <v>494</v>
      </c>
      <c r="C413" s="5" t="s">
        <v>1095</v>
      </c>
      <c r="D413" s="3" t="s">
        <v>454</v>
      </c>
      <c r="E413" s="3">
        <v>2170</v>
      </c>
      <c r="F413" s="28">
        <v>45</v>
      </c>
      <c r="G413" s="10">
        <v>41</v>
      </c>
      <c r="H413" s="3">
        <v>61</v>
      </c>
      <c r="I413" s="3">
        <v>57</v>
      </c>
      <c r="J413" t="str">
        <f t="shared" si="6"/>
        <v>http://www.badatelna.eu/reprodukce/?fondId=1073&amp;zaznamId=1108956&amp;reproId=3779637</v>
      </c>
      <c r="K413">
        <f>IF(LEN(TRIM(E413))=0,"",VLOOKUP(E413,Sheet2!$B$1:$E$19,2,FALSE))</f>
        <v>1073</v>
      </c>
      <c r="L413">
        <f>IF(LEN(TRIM(E413))=0,"",VLOOKUP(E413,Sheet2!$B$1:$E$19,3,FALSE))</f>
        <v>1108956</v>
      </c>
      <c r="M413">
        <f>IF(LEN(TRIM(E413))=0,"",VLOOKUP(E413,Sheet2!$B$1:$E$19,4,FALSE))+(F413-1)</f>
        <v>3779637</v>
      </c>
    </row>
    <row r="414" spans="1:17" s="1" customFormat="1" ht="15" customHeight="1" x14ac:dyDescent="0.25">
      <c r="A414" s="28" t="s">
        <v>268</v>
      </c>
      <c r="B414" s="28" t="s">
        <v>263</v>
      </c>
      <c r="C414" s="6" t="s">
        <v>2024</v>
      </c>
      <c r="D414" s="1" t="s">
        <v>454</v>
      </c>
      <c r="E414" s="1">
        <v>2173</v>
      </c>
      <c r="F414" s="28">
        <v>181</v>
      </c>
      <c r="G414" s="9">
        <v>8</v>
      </c>
      <c r="H414" s="1">
        <v>185</v>
      </c>
      <c r="I414" s="1">
        <v>412</v>
      </c>
      <c r="J414" t="str">
        <f t="shared" si="6"/>
        <v>http://www.badatelna.eu/reprodukce/?fondId=1073&amp;zaznamId=1108959&amp;reproId=3780174</v>
      </c>
      <c r="K414">
        <f>IF(LEN(TRIM(E414))=0,"",VLOOKUP(E414,Sheet2!$B$1:$E$19,2,FALSE))</f>
        <v>1073</v>
      </c>
      <c r="L414">
        <f>IF(LEN(TRIM(E414))=0,"",VLOOKUP(E414,Sheet2!$B$1:$E$19,3,FALSE))</f>
        <v>1108959</v>
      </c>
      <c r="M414">
        <f>IF(LEN(TRIM(E414))=0,"",VLOOKUP(E414,Sheet2!$B$1:$E$19,4,FALSE))+(F414-1)</f>
        <v>3780174</v>
      </c>
    </row>
    <row r="415" spans="1:17" s="1" customFormat="1" ht="15" customHeight="1" x14ac:dyDescent="0.25">
      <c r="A415" s="28" t="s">
        <v>445</v>
      </c>
      <c r="B415" s="29" t="s">
        <v>24</v>
      </c>
      <c r="C415" s="1">
        <v>1860</v>
      </c>
      <c r="D415" s="1" t="s">
        <v>2919</v>
      </c>
      <c r="E415" s="1">
        <v>998</v>
      </c>
      <c r="F415" s="28">
        <v>59</v>
      </c>
      <c r="G415" s="1">
        <v>56</v>
      </c>
      <c r="H415" s="1">
        <v>64</v>
      </c>
      <c r="I415" s="1">
        <v>61</v>
      </c>
      <c r="J415" t="str">
        <f t="shared" si="6"/>
        <v>http://www.badatelna.eu/reprodukce/?fondId=241&amp;zaznamId=1133738&amp;reproId=3885705</v>
      </c>
      <c r="K415">
        <f>IF(LEN(TRIM(E415))=0,"",VLOOKUP(E415,Sheet2!$B$1:$E$19,2,FALSE))</f>
        <v>241</v>
      </c>
      <c r="L415">
        <f>IF(LEN(TRIM(E415))=0,"",VLOOKUP(E415,Sheet2!$B$1:$E$19,3,FALSE))</f>
        <v>1133738</v>
      </c>
      <c r="M415">
        <f>IF(LEN(TRIM(E415))=0,"",VLOOKUP(E415,Sheet2!$B$1:$E$19,4,FALSE))+(F415-1)</f>
        <v>3885705</v>
      </c>
    </row>
    <row r="416" spans="1:17" s="1" customFormat="1" ht="15" customHeight="1" x14ac:dyDescent="0.25">
      <c r="A416" s="27" t="s">
        <v>445</v>
      </c>
      <c r="B416" s="27" t="s">
        <v>495</v>
      </c>
      <c r="C416" s="5" t="s">
        <v>1060</v>
      </c>
      <c r="D416" s="3" t="s">
        <v>454</v>
      </c>
      <c r="E416" s="3">
        <v>2170</v>
      </c>
      <c r="F416" s="28">
        <v>11</v>
      </c>
      <c r="G416" s="10">
        <v>7</v>
      </c>
      <c r="H416" s="3">
        <v>60</v>
      </c>
      <c r="I416" s="3">
        <v>56</v>
      </c>
      <c r="J416" t="str">
        <f t="shared" si="6"/>
        <v>http://www.badatelna.eu/reprodukce/?fondId=1073&amp;zaznamId=1108956&amp;reproId=3779603</v>
      </c>
      <c r="K416">
        <f>IF(LEN(TRIM(E416))=0,"",VLOOKUP(E416,Sheet2!$B$1:$E$19,2,FALSE))</f>
        <v>1073</v>
      </c>
      <c r="L416">
        <f>IF(LEN(TRIM(E416))=0,"",VLOOKUP(E416,Sheet2!$B$1:$E$19,3,FALSE))</f>
        <v>1108956</v>
      </c>
      <c r="M416">
        <f>IF(LEN(TRIM(E416))=0,"",VLOOKUP(E416,Sheet2!$B$1:$E$19,4,FALSE))+(F416-1)</f>
        <v>3779603</v>
      </c>
    </row>
    <row r="417" spans="1:17" s="1" customFormat="1" ht="15" customHeight="1" x14ac:dyDescent="0.25">
      <c r="A417" s="28" t="s">
        <v>445</v>
      </c>
      <c r="B417" s="28" t="s">
        <v>801</v>
      </c>
      <c r="C417" s="1">
        <v>1864</v>
      </c>
      <c r="D417" s="1" t="s">
        <v>2919</v>
      </c>
      <c r="E417" s="1">
        <v>999</v>
      </c>
      <c r="F417" s="28">
        <v>86</v>
      </c>
      <c r="G417" s="1">
        <v>7</v>
      </c>
      <c r="H417" s="1">
        <v>95</v>
      </c>
      <c r="I417" s="1">
        <v>153</v>
      </c>
      <c r="J417" t="str">
        <f t="shared" si="6"/>
        <v>http://www.badatelna.eu/reprodukce/?fondId=241&amp;zaznamId=1133739&amp;reproId=3885815</v>
      </c>
      <c r="K417">
        <f>IF(LEN(TRIM(E417))=0,"",VLOOKUP(E417,Sheet2!$B$1:$E$19,2,FALSE))</f>
        <v>241</v>
      </c>
      <c r="L417">
        <f>IF(LEN(TRIM(E417))=0,"",VLOOKUP(E417,Sheet2!$B$1:$E$19,3,FALSE))</f>
        <v>1133739</v>
      </c>
      <c r="M417">
        <f>IF(LEN(TRIM(E417))=0,"",VLOOKUP(E417,Sheet2!$B$1:$E$19,4,FALSE))+(F417-1)</f>
        <v>3885815</v>
      </c>
    </row>
    <row r="418" spans="1:17" s="1" customFormat="1" ht="15" customHeight="1" x14ac:dyDescent="0.25">
      <c r="A418" s="28" t="s">
        <v>445</v>
      </c>
      <c r="B418" s="29" t="s">
        <v>2924</v>
      </c>
      <c r="C418" s="1">
        <v>1850</v>
      </c>
      <c r="D418" s="1" t="s">
        <v>2919</v>
      </c>
      <c r="E418" s="1">
        <v>998</v>
      </c>
      <c r="F418" s="28">
        <v>31</v>
      </c>
      <c r="G418" s="1">
        <v>29</v>
      </c>
      <c r="H418" s="1">
        <v>63</v>
      </c>
      <c r="I418" s="1">
        <v>60</v>
      </c>
      <c r="J418" t="str">
        <f t="shared" si="6"/>
        <v>http://www.badatelna.eu/reprodukce/?fondId=241&amp;zaznamId=1133738&amp;reproId=3885677</v>
      </c>
      <c r="K418">
        <f>IF(LEN(TRIM(E418))=0,"",VLOOKUP(E418,Sheet2!$B$1:$E$19,2,FALSE))</f>
        <v>241</v>
      </c>
      <c r="L418">
        <f>IF(LEN(TRIM(E418))=0,"",VLOOKUP(E418,Sheet2!$B$1:$E$19,3,FALSE))</f>
        <v>1133738</v>
      </c>
      <c r="M418">
        <f>IF(LEN(TRIM(E418))=0,"",VLOOKUP(E418,Sheet2!$B$1:$E$19,4,FALSE))+(F418-1)</f>
        <v>3885677</v>
      </c>
    </row>
    <row r="419" spans="1:17" s="1" customFormat="1" ht="15" customHeight="1" x14ac:dyDescent="0.25">
      <c r="A419" s="27" t="s">
        <v>445</v>
      </c>
      <c r="B419" s="27" t="s">
        <v>496</v>
      </c>
      <c r="C419" s="5" t="s">
        <v>1059</v>
      </c>
      <c r="D419" s="3" t="s">
        <v>454</v>
      </c>
      <c r="E419" s="3">
        <v>2170</v>
      </c>
      <c r="F419" s="28">
        <v>9</v>
      </c>
      <c r="G419" s="10">
        <v>5</v>
      </c>
      <c r="H419" s="3">
        <v>60</v>
      </c>
      <c r="I419" s="3">
        <v>56</v>
      </c>
      <c r="J419" t="str">
        <f t="shared" si="6"/>
        <v>http://www.badatelna.eu/reprodukce/?fondId=1073&amp;zaznamId=1108956&amp;reproId=3779601</v>
      </c>
      <c r="K419">
        <f>IF(LEN(TRIM(E419))=0,"",VLOOKUP(E419,Sheet2!$B$1:$E$19,2,FALSE))</f>
        <v>1073</v>
      </c>
      <c r="L419">
        <f>IF(LEN(TRIM(E419))=0,"",VLOOKUP(E419,Sheet2!$B$1:$E$19,3,FALSE))</f>
        <v>1108956</v>
      </c>
      <c r="M419">
        <f>IF(LEN(TRIM(E419))=0,"",VLOOKUP(E419,Sheet2!$B$1:$E$19,4,FALSE))+(F419-1)</f>
        <v>3779601</v>
      </c>
      <c r="N419"/>
      <c r="O419"/>
      <c r="P419"/>
      <c r="Q419"/>
    </row>
    <row r="420" spans="1:17" s="1" customFormat="1" ht="15" customHeight="1" x14ac:dyDescent="0.25">
      <c r="A420" s="28" t="s">
        <v>445</v>
      </c>
      <c r="B420" s="28" t="s">
        <v>91</v>
      </c>
      <c r="C420" s="1">
        <v>1854</v>
      </c>
      <c r="D420" s="1" t="s">
        <v>2919</v>
      </c>
      <c r="E420" s="1">
        <v>998</v>
      </c>
      <c r="F420" s="28">
        <v>43</v>
      </c>
      <c r="G420" s="1">
        <v>41</v>
      </c>
      <c r="H420" s="1">
        <v>63</v>
      </c>
      <c r="I420" s="1">
        <v>60</v>
      </c>
      <c r="J420" t="str">
        <f t="shared" si="6"/>
        <v>http://www.badatelna.eu/reprodukce/?fondId=241&amp;zaznamId=1133738&amp;reproId=3885689</v>
      </c>
      <c r="K420">
        <f>IF(LEN(TRIM(E420))=0,"",VLOOKUP(E420,Sheet2!$B$1:$E$19,2,FALSE))</f>
        <v>241</v>
      </c>
      <c r="L420">
        <f>IF(LEN(TRIM(E420))=0,"",VLOOKUP(E420,Sheet2!$B$1:$E$19,3,FALSE))</f>
        <v>1133738</v>
      </c>
      <c r="M420">
        <f>IF(LEN(TRIM(E420))=0,"",VLOOKUP(E420,Sheet2!$B$1:$E$19,4,FALSE))+(F420-1)</f>
        <v>3885689</v>
      </c>
    </row>
    <row r="421" spans="1:17" s="1" customFormat="1" ht="15" customHeight="1" x14ac:dyDescent="0.25">
      <c r="A421" s="28" t="s">
        <v>445</v>
      </c>
      <c r="B421" s="28" t="s">
        <v>91</v>
      </c>
      <c r="C421" s="6" t="s">
        <v>2726</v>
      </c>
      <c r="D421" s="1" t="s">
        <v>454</v>
      </c>
      <c r="E421" s="1">
        <v>2173</v>
      </c>
      <c r="F421" s="28">
        <v>226</v>
      </c>
      <c r="G421" s="9">
        <v>57</v>
      </c>
      <c r="H421" s="1" t="s">
        <v>3073</v>
      </c>
      <c r="I421" s="1" t="s">
        <v>3073</v>
      </c>
      <c r="J421" t="str">
        <f t="shared" si="6"/>
        <v>http://www.badatelna.eu/reprodukce/?fondId=1073&amp;zaznamId=1108959&amp;reproId=3780219</v>
      </c>
      <c r="K421">
        <f>IF(LEN(TRIM(E421))=0,"",VLOOKUP(E421,Sheet2!$B$1:$E$19,2,FALSE))</f>
        <v>1073</v>
      </c>
      <c r="L421">
        <f>IF(LEN(TRIM(E421))=0,"",VLOOKUP(E421,Sheet2!$B$1:$E$19,3,FALSE))</f>
        <v>1108959</v>
      </c>
      <c r="M421">
        <f>IF(LEN(TRIM(E421))=0,"",VLOOKUP(E421,Sheet2!$B$1:$E$19,4,FALSE))+(F421-1)</f>
        <v>3780219</v>
      </c>
    </row>
    <row r="422" spans="1:17" s="1" customFormat="1" ht="15" customHeight="1" x14ac:dyDescent="0.25">
      <c r="A422" s="28" t="s">
        <v>445</v>
      </c>
      <c r="B422" s="29" t="s">
        <v>289</v>
      </c>
      <c r="C422" s="1">
        <v>1851</v>
      </c>
      <c r="D422" s="1" t="s">
        <v>2919</v>
      </c>
      <c r="E422" s="1">
        <v>998</v>
      </c>
      <c r="F422" s="28">
        <v>31</v>
      </c>
      <c r="G422" s="1">
        <v>29</v>
      </c>
      <c r="H422" s="1">
        <v>63</v>
      </c>
      <c r="I422" s="1">
        <v>60</v>
      </c>
      <c r="J422" t="str">
        <f t="shared" si="6"/>
        <v>http://www.badatelna.eu/reprodukce/?fondId=241&amp;zaznamId=1133738&amp;reproId=3885677</v>
      </c>
      <c r="K422">
        <f>IF(LEN(TRIM(E422))=0,"",VLOOKUP(E422,Sheet2!$B$1:$E$19,2,FALSE))</f>
        <v>241</v>
      </c>
      <c r="L422">
        <f>IF(LEN(TRIM(E422))=0,"",VLOOKUP(E422,Sheet2!$B$1:$E$19,3,FALSE))</f>
        <v>1133738</v>
      </c>
      <c r="M422">
        <f>IF(LEN(TRIM(E422))=0,"",VLOOKUP(E422,Sheet2!$B$1:$E$19,4,FALSE))+(F422-1)</f>
        <v>3885677</v>
      </c>
    </row>
    <row r="423" spans="1:17" s="1" customFormat="1" ht="15" customHeight="1" x14ac:dyDescent="0.25">
      <c r="A423" s="28" t="s">
        <v>220</v>
      </c>
      <c r="B423" s="28" t="s">
        <v>165</v>
      </c>
      <c r="C423" s="6" t="s">
        <v>2614</v>
      </c>
      <c r="D423" s="1" t="s">
        <v>454</v>
      </c>
      <c r="E423" s="1">
        <v>2173</v>
      </c>
      <c r="F423" s="28">
        <v>219</v>
      </c>
      <c r="G423" s="9">
        <v>46</v>
      </c>
      <c r="H423" s="1" t="s">
        <v>3073</v>
      </c>
      <c r="I423" s="1" t="s">
        <v>3073</v>
      </c>
      <c r="J423" t="str">
        <f t="shared" si="6"/>
        <v>http://www.badatelna.eu/reprodukce/?fondId=1073&amp;zaznamId=1108959&amp;reproId=3780212</v>
      </c>
      <c r="K423">
        <f>IF(LEN(TRIM(E423))=0,"",VLOOKUP(E423,Sheet2!$B$1:$E$19,2,FALSE))</f>
        <v>1073</v>
      </c>
      <c r="L423">
        <f>IF(LEN(TRIM(E423))=0,"",VLOOKUP(E423,Sheet2!$B$1:$E$19,3,FALSE))</f>
        <v>1108959</v>
      </c>
      <c r="M423">
        <f>IF(LEN(TRIM(E423))=0,"",VLOOKUP(E423,Sheet2!$B$1:$E$19,4,FALSE))+(F423-1)</f>
        <v>3780212</v>
      </c>
      <c r="N423"/>
      <c r="O423"/>
      <c r="P423"/>
      <c r="Q423"/>
    </row>
    <row r="424" spans="1:17" s="1" customFormat="1" ht="15" customHeight="1" x14ac:dyDescent="0.25">
      <c r="A424" s="28" t="s">
        <v>220</v>
      </c>
      <c r="B424" s="28" t="s">
        <v>786</v>
      </c>
      <c r="C424" s="6" t="s">
        <v>1774</v>
      </c>
      <c r="D424" s="1" t="s">
        <v>454</v>
      </c>
      <c r="E424" s="1">
        <v>2172</v>
      </c>
      <c r="F424" s="28">
        <v>148</v>
      </c>
      <c r="G424" s="9">
        <v>144</v>
      </c>
      <c r="H424" s="1">
        <v>149</v>
      </c>
      <c r="I424" s="1">
        <v>145</v>
      </c>
      <c r="J424" t="str">
        <f t="shared" si="6"/>
        <v>http://www.badatelna.eu/reprodukce/?fondId=1073&amp;zaznamId=1108958&amp;reproId=3779889</v>
      </c>
      <c r="K424">
        <f>IF(LEN(TRIM(E424))=0,"",VLOOKUP(E424,Sheet2!$B$1:$E$19,2,FALSE))</f>
        <v>1073</v>
      </c>
      <c r="L424">
        <f>IF(LEN(TRIM(E424))=0,"",VLOOKUP(E424,Sheet2!$B$1:$E$19,3,FALSE))</f>
        <v>1108958</v>
      </c>
      <c r="M424">
        <f>IF(LEN(TRIM(E424))=0,"",VLOOKUP(E424,Sheet2!$B$1:$E$19,4,FALSE))+(F424-1)</f>
        <v>3779889</v>
      </c>
    </row>
    <row r="425" spans="1:17" s="1" customFormat="1" ht="15" customHeight="1" x14ac:dyDescent="0.25">
      <c r="A425" s="28" t="s">
        <v>220</v>
      </c>
      <c r="B425" s="28" t="s">
        <v>787</v>
      </c>
      <c r="C425" s="6" t="s">
        <v>1689</v>
      </c>
      <c r="D425" s="1" t="s">
        <v>454</v>
      </c>
      <c r="E425" s="1">
        <v>2172</v>
      </c>
      <c r="F425" s="28">
        <v>115</v>
      </c>
      <c r="G425" s="9" t="s">
        <v>2771</v>
      </c>
      <c r="H425" s="1">
        <v>116</v>
      </c>
      <c r="I425" s="1">
        <v>115</v>
      </c>
      <c r="J425" t="str">
        <f t="shared" si="6"/>
        <v>http://www.badatelna.eu/reprodukce/?fondId=1073&amp;zaznamId=1108958&amp;reproId=3779856</v>
      </c>
      <c r="K425">
        <f>IF(LEN(TRIM(E425))=0,"",VLOOKUP(E425,Sheet2!$B$1:$E$19,2,FALSE))</f>
        <v>1073</v>
      </c>
      <c r="L425">
        <f>IF(LEN(TRIM(E425))=0,"",VLOOKUP(E425,Sheet2!$B$1:$E$19,3,FALSE))</f>
        <v>1108958</v>
      </c>
      <c r="M425">
        <f>IF(LEN(TRIM(E425))=0,"",VLOOKUP(E425,Sheet2!$B$1:$E$19,4,FALSE))+(F425-1)</f>
        <v>3779856</v>
      </c>
    </row>
    <row r="426" spans="1:17" s="1" customFormat="1" ht="15" customHeight="1" x14ac:dyDescent="0.25">
      <c r="A426" s="28" t="s">
        <v>220</v>
      </c>
      <c r="B426" s="28" t="s">
        <v>249</v>
      </c>
      <c r="C426" s="6" t="s">
        <v>2026</v>
      </c>
      <c r="D426" s="1" t="s">
        <v>454</v>
      </c>
      <c r="E426" s="1">
        <v>2173</v>
      </c>
      <c r="F426" s="28">
        <v>179</v>
      </c>
      <c r="G426" s="9">
        <v>4</v>
      </c>
      <c r="H426" s="1">
        <v>185</v>
      </c>
      <c r="I426" s="1">
        <v>412</v>
      </c>
      <c r="J426" t="str">
        <f t="shared" si="6"/>
        <v>http://www.badatelna.eu/reprodukce/?fondId=1073&amp;zaznamId=1108959&amp;reproId=3780172</v>
      </c>
      <c r="K426">
        <f>IF(LEN(TRIM(E426))=0,"",VLOOKUP(E426,Sheet2!$B$1:$E$19,2,FALSE))</f>
        <v>1073</v>
      </c>
      <c r="L426">
        <f>IF(LEN(TRIM(E426))=0,"",VLOOKUP(E426,Sheet2!$B$1:$E$19,3,FALSE))</f>
        <v>1108959</v>
      </c>
      <c r="M426">
        <f>IF(LEN(TRIM(E426))=0,"",VLOOKUP(E426,Sheet2!$B$1:$E$19,4,FALSE))+(F426-1)</f>
        <v>3780172</v>
      </c>
    </row>
    <row r="427" spans="1:17" s="1" customFormat="1" ht="15" customHeight="1" x14ac:dyDescent="0.25">
      <c r="A427" s="27" t="s">
        <v>220</v>
      </c>
      <c r="B427" s="27" t="s">
        <v>306</v>
      </c>
      <c r="C427" s="5" t="s">
        <v>1096</v>
      </c>
      <c r="D427" s="3" t="s">
        <v>454</v>
      </c>
      <c r="E427" s="3">
        <v>2170</v>
      </c>
      <c r="F427" s="31">
        <v>46</v>
      </c>
      <c r="G427" s="10">
        <v>42</v>
      </c>
      <c r="H427" s="3">
        <v>61</v>
      </c>
      <c r="I427" s="3">
        <v>57</v>
      </c>
      <c r="J427" t="str">
        <f t="shared" si="6"/>
        <v>http://www.badatelna.eu/reprodukce/?fondId=1073&amp;zaznamId=1108956&amp;reproId=3779638</v>
      </c>
      <c r="K427">
        <f>IF(LEN(TRIM(E427))=0,"",VLOOKUP(E427,Sheet2!$B$1:$E$19,2,FALSE))</f>
        <v>1073</v>
      </c>
      <c r="L427">
        <f>IF(LEN(TRIM(E427))=0,"",VLOOKUP(E427,Sheet2!$B$1:$E$19,3,FALSE))</f>
        <v>1108956</v>
      </c>
      <c r="M427">
        <f>IF(LEN(TRIM(E427))=0,"",VLOOKUP(E427,Sheet2!$B$1:$E$19,4,FALSE))+(F427-1)</f>
        <v>3779638</v>
      </c>
    </row>
    <row r="428" spans="1:17" s="1" customFormat="1" ht="15" customHeight="1" x14ac:dyDescent="0.25">
      <c r="A428" s="28" t="s">
        <v>220</v>
      </c>
      <c r="B428" s="28" t="s">
        <v>254</v>
      </c>
      <c r="C428" s="6" t="s">
        <v>2025</v>
      </c>
      <c r="D428" s="1" t="s">
        <v>454</v>
      </c>
      <c r="E428" s="1">
        <v>2173</v>
      </c>
      <c r="F428" s="28">
        <v>182</v>
      </c>
      <c r="G428" s="9">
        <v>11</v>
      </c>
      <c r="H428" s="1">
        <v>185</v>
      </c>
      <c r="I428" s="1">
        <v>412</v>
      </c>
      <c r="J428" t="str">
        <f t="shared" si="6"/>
        <v>http://www.badatelna.eu/reprodukce/?fondId=1073&amp;zaznamId=1108959&amp;reproId=3780175</v>
      </c>
      <c r="K428">
        <f>IF(LEN(TRIM(E428))=0,"",VLOOKUP(E428,Sheet2!$B$1:$E$19,2,FALSE))</f>
        <v>1073</v>
      </c>
      <c r="L428">
        <f>IF(LEN(TRIM(E428))=0,"",VLOOKUP(E428,Sheet2!$B$1:$E$19,3,FALSE))</f>
        <v>1108959</v>
      </c>
      <c r="M428">
        <f>IF(LEN(TRIM(E428))=0,"",VLOOKUP(E428,Sheet2!$B$1:$E$19,4,FALSE))+(F428-1)</f>
        <v>3780175</v>
      </c>
    </row>
    <row r="429" spans="1:17" s="1" customFormat="1" ht="15" customHeight="1" x14ac:dyDescent="0.25">
      <c r="A429" s="28" t="s">
        <v>220</v>
      </c>
      <c r="B429" s="28" t="s">
        <v>91</v>
      </c>
      <c r="C429" s="6" t="s">
        <v>2504</v>
      </c>
      <c r="D429" s="1" t="s">
        <v>454</v>
      </c>
      <c r="E429" s="1">
        <v>2173</v>
      </c>
      <c r="F429" s="28">
        <v>206</v>
      </c>
      <c r="G429" s="1">
        <v>21</v>
      </c>
      <c r="H429" s="1" t="s">
        <v>3073</v>
      </c>
      <c r="I429" s="1" t="s">
        <v>3073</v>
      </c>
      <c r="J429" t="str">
        <f t="shared" si="6"/>
        <v>http://www.badatelna.eu/reprodukce/?fondId=1073&amp;zaznamId=1108959&amp;reproId=3780199</v>
      </c>
      <c r="K429">
        <f>IF(LEN(TRIM(E429))=0,"",VLOOKUP(E429,Sheet2!$B$1:$E$19,2,FALSE))</f>
        <v>1073</v>
      </c>
      <c r="L429">
        <f>IF(LEN(TRIM(E429))=0,"",VLOOKUP(E429,Sheet2!$B$1:$E$19,3,FALSE))</f>
        <v>1108959</v>
      </c>
      <c r="M429">
        <f>IF(LEN(TRIM(E429))=0,"",VLOOKUP(E429,Sheet2!$B$1:$E$19,4,FALSE))+(F429-1)</f>
        <v>3780199</v>
      </c>
    </row>
    <row r="430" spans="1:17" s="1" customFormat="1" ht="15" customHeight="1" x14ac:dyDescent="0.25">
      <c r="A430" s="28" t="s">
        <v>3088</v>
      </c>
      <c r="B430" s="28" t="s">
        <v>705</v>
      </c>
      <c r="C430" s="15" t="s">
        <v>3090</v>
      </c>
      <c r="D430" s="1" t="s">
        <v>454</v>
      </c>
      <c r="E430" s="1">
        <v>2172</v>
      </c>
      <c r="F430" s="28">
        <v>168</v>
      </c>
      <c r="G430" s="9" t="s">
        <v>3087</v>
      </c>
      <c r="H430" s="1" t="s">
        <v>3073</v>
      </c>
      <c r="I430" s="1" t="s">
        <v>3073</v>
      </c>
      <c r="J430" t="str">
        <f t="shared" si="6"/>
        <v>http://www.badatelna.eu/reprodukce/?fondId=1073&amp;zaznamId=1108958&amp;reproId=3779909</v>
      </c>
      <c r="K430">
        <f>IF(LEN(TRIM(E430))=0,"",VLOOKUP(E430,Sheet2!$B$1:$E$19,2,FALSE))</f>
        <v>1073</v>
      </c>
      <c r="L430">
        <f>IF(LEN(TRIM(E430))=0,"",VLOOKUP(E430,Sheet2!$B$1:$E$19,3,FALSE))</f>
        <v>1108958</v>
      </c>
      <c r="M430">
        <f>IF(LEN(TRIM(E430))=0,"",VLOOKUP(E430,Sheet2!$B$1:$E$19,4,FALSE))+(F430-1)</f>
        <v>3779909</v>
      </c>
    </row>
    <row r="431" spans="1:17" s="1" customFormat="1" ht="15" customHeight="1" x14ac:dyDescent="0.25">
      <c r="A431" s="28" t="s">
        <v>788</v>
      </c>
      <c r="B431" s="28" t="s">
        <v>359</v>
      </c>
      <c r="C431" s="6" t="s">
        <v>1894</v>
      </c>
      <c r="D431" s="1" t="s">
        <v>454</v>
      </c>
      <c r="E431" s="1">
        <v>2172</v>
      </c>
      <c r="F431" s="28">
        <v>201</v>
      </c>
      <c r="G431" s="9">
        <v>188</v>
      </c>
      <c r="H431" s="1" t="s">
        <v>3073</v>
      </c>
      <c r="I431" s="1" t="s">
        <v>3073</v>
      </c>
      <c r="J431" t="str">
        <f t="shared" si="6"/>
        <v>http://www.badatelna.eu/reprodukce/?fondId=1073&amp;zaznamId=1108958&amp;reproId=3779942</v>
      </c>
      <c r="K431">
        <f>IF(LEN(TRIM(E431))=0,"",VLOOKUP(E431,Sheet2!$B$1:$E$19,2,FALSE))</f>
        <v>1073</v>
      </c>
      <c r="L431">
        <f>IF(LEN(TRIM(E431))=0,"",VLOOKUP(E431,Sheet2!$B$1:$E$19,3,FALSE))</f>
        <v>1108958</v>
      </c>
      <c r="M431">
        <f>IF(LEN(TRIM(E431))=0,"",VLOOKUP(E431,Sheet2!$B$1:$E$19,4,FALSE))+(F431-1)</f>
        <v>3779942</v>
      </c>
    </row>
    <row r="432" spans="1:17" s="1" customFormat="1" ht="15" customHeight="1" x14ac:dyDescent="0.25">
      <c r="A432" s="28" t="s">
        <v>262</v>
      </c>
      <c r="B432" s="28" t="s">
        <v>126</v>
      </c>
      <c r="C432" s="6" t="s">
        <v>1736</v>
      </c>
      <c r="D432" s="1" t="s">
        <v>454</v>
      </c>
      <c r="E432" s="1">
        <v>2172</v>
      </c>
      <c r="F432" s="28">
        <v>129</v>
      </c>
      <c r="G432" s="9" t="s">
        <v>2775</v>
      </c>
      <c r="H432" s="1">
        <v>132</v>
      </c>
      <c r="I432" s="1">
        <v>131</v>
      </c>
      <c r="J432" t="str">
        <f t="shared" si="6"/>
        <v>http://www.badatelna.eu/reprodukce/?fondId=1073&amp;zaznamId=1108958&amp;reproId=3779870</v>
      </c>
      <c r="K432">
        <f>IF(LEN(TRIM(E432))=0,"",VLOOKUP(E432,Sheet2!$B$1:$E$19,2,FALSE))</f>
        <v>1073</v>
      </c>
      <c r="L432">
        <f>IF(LEN(TRIM(E432))=0,"",VLOOKUP(E432,Sheet2!$B$1:$E$19,3,FALSE))</f>
        <v>1108958</v>
      </c>
      <c r="M432">
        <f>IF(LEN(TRIM(E432))=0,"",VLOOKUP(E432,Sheet2!$B$1:$E$19,4,FALSE))+(F432-1)</f>
        <v>3779870</v>
      </c>
    </row>
    <row r="433" spans="1:17" s="1" customFormat="1" ht="15" customHeight="1" x14ac:dyDescent="0.25">
      <c r="A433" s="28" t="s">
        <v>262</v>
      </c>
      <c r="B433" s="28" t="s">
        <v>270</v>
      </c>
      <c r="C433" s="6" t="s">
        <v>2029</v>
      </c>
      <c r="D433" s="1" t="s">
        <v>454</v>
      </c>
      <c r="E433" s="1">
        <v>2173</v>
      </c>
      <c r="F433" s="28">
        <v>181</v>
      </c>
      <c r="G433" s="9">
        <v>9</v>
      </c>
      <c r="H433" s="1">
        <v>185</v>
      </c>
      <c r="I433" s="1">
        <v>412</v>
      </c>
      <c r="J433" t="str">
        <f t="shared" si="6"/>
        <v>http://www.badatelna.eu/reprodukce/?fondId=1073&amp;zaznamId=1108959&amp;reproId=3780174</v>
      </c>
      <c r="K433">
        <f>IF(LEN(TRIM(E433))=0,"",VLOOKUP(E433,Sheet2!$B$1:$E$19,2,FALSE))</f>
        <v>1073</v>
      </c>
      <c r="L433">
        <f>IF(LEN(TRIM(E433))=0,"",VLOOKUP(E433,Sheet2!$B$1:$E$19,3,FALSE))</f>
        <v>1108959</v>
      </c>
      <c r="M433">
        <f>IF(LEN(TRIM(E433))=0,"",VLOOKUP(E433,Sheet2!$B$1:$E$19,4,FALSE))+(F433-1)</f>
        <v>3780174</v>
      </c>
    </row>
    <row r="434" spans="1:17" s="1" customFormat="1" ht="15" customHeight="1" x14ac:dyDescent="0.25">
      <c r="A434" s="28" t="s">
        <v>262</v>
      </c>
      <c r="B434" s="28" t="s">
        <v>198</v>
      </c>
      <c r="C434" s="16" t="s">
        <v>1817</v>
      </c>
      <c r="D434" s="1" t="s">
        <v>454</v>
      </c>
      <c r="E434" s="1">
        <v>2172</v>
      </c>
      <c r="F434" s="28">
        <v>168</v>
      </c>
      <c r="G434" s="9">
        <v>161</v>
      </c>
      <c r="H434" s="1" t="s">
        <v>3073</v>
      </c>
      <c r="I434" s="1" t="s">
        <v>3073</v>
      </c>
      <c r="J434" t="str">
        <f t="shared" si="6"/>
        <v>http://www.badatelna.eu/reprodukce/?fondId=1073&amp;zaznamId=1108958&amp;reproId=3779909</v>
      </c>
      <c r="K434">
        <f>IF(LEN(TRIM(E434))=0,"",VLOOKUP(E434,Sheet2!$B$1:$E$19,2,FALSE))</f>
        <v>1073</v>
      </c>
      <c r="L434">
        <f>IF(LEN(TRIM(E434))=0,"",VLOOKUP(E434,Sheet2!$B$1:$E$19,3,FALSE))</f>
        <v>1108958</v>
      </c>
      <c r="M434">
        <f>IF(LEN(TRIM(E434))=0,"",VLOOKUP(E434,Sheet2!$B$1:$E$19,4,FALSE))+(F434-1)</f>
        <v>3779909</v>
      </c>
    </row>
    <row r="435" spans="1:17" s="1" customFormat="1" ht="15" customHeight="1" x14ac:dyDescent="0.25">
      <c r="A435" s="28" t="s">
        <v>262</v>
      </c>
      <c r="B435" s="28" t="s">
        <v>39</v>
      </c>
      <c r="C435" s="1">
        <v>1883</v>
      </c>
      <c r="D435" s="1" t="s">
        <v>454</v>
      </c>
      <c r="E435" s="1">
        <v>2172</v>
      </c>
      <c r="F435" s="28">
        <v>33</v>
      </c>
      <c r="G435" s="9">
        <v>32</v>
      </c>
      <c r="H435" s="1">
        <v>36</v>
      </c>
      <c r="I435" s="1">
        <v>35</v>
      </c>
      <c r="J435" t="str">
        <f t="shared" si="6"/>
        <v>http://www.badatelna.eu/reprodukce/?fondId=1073&amp;zaznamId=1108958&amp;reproId=3779774</v>
      </c>
      <c r="K435">
        <f>IF(LEN(TRIM(E435))=0,"",VLOOKUP(E435,Sheet2!$B$1:$E$19,2,FALSE))</f>
        <v>1073</v>
      </c>
      <c r="L435">
        <f>IF(LEN(TRIM(E435))=0,"",VLOOKUP(E435,Sheet2!$B$1:$E$19,3,FALSE))</f>
        <v>1108958</v>
      </c>
      <c r="M435">
        <f>IF(LEN(TRIM(E435))=0,"",VLOOKUP(E435,Sheet2!$B$1:$E$19,4,FALSE))+(F435-1)</f>
        <v>3779774</v>
      </c>
    </row>
    <row r="436" spans="1:17" s="1" customFormat="1" ht="15" customHeight="1" x14ac:dyDescent="0.25">
      <c r="A436" s="28" t="s">
        <v>262</v>
      </c>
      <c r="B436" s="28" t="s">
        <v>39</v>
      </c>
      <c r="C436" s="6" t="s">
        <v>2027</v>
      </c>
      <c r="D436" s="1" t="s">
        <v>454</v>
      </c>
      <c r="E436" s="1">
        <v>2173</v>
      </c>
      <c r="F436" s="28">
        <v>183</v>
      </c>
      <c r="G436" s="9">
        <v>13</v>
      </c>
      <c r="H436" s="1">
        <v>185</v>
      </c>
      <c r="I436" s="1">
        <v>412</v>
      </c>
      <c r="J436" t="str">
        <f t="shared" si="6"/>
        <v>http://www.badatelna.eu/reprodukce/?fondId=1073&amp;zaznamId=1108959&amp;reproId=3780176</v>
      </c>
      <c r="K436">
        <f>IF(LEN(TRIM(E436))=0,"",VLOOKUP(E436,Sheet2!$B$1:$E$19,2,FALSE))</f>
        <v>1073</v>
      </c>
      <c r="L436">
        <f>IF(LEN(TRIM(E436))=0,"",VLOOKUP(E436,Sheet2!$B$1:$E$19,3,FALSE))</f>
        <v>1108959</v>
      </c>
      <c r="M436">
        <f>IF(LEN(TRIM(E436))=0,"",VLOOKUP(E436,Sheet2!$B$1:$E$19,4,FALSE))+(F436-1)</f>
        <v>3780176</v>
      </c>
    </row>
    <row r="437" spans="1:17" s="1" customFormat="1" ht="15" customHeight="1" x14ac:dyDescent="0.25">
      <c r="A437" s="28" t="s">
        <v>262</v>
      </c>
      <c r="B437" s="28" t="s">
        <v>39</v>
      </c>
      <c r="C437" s="6" t="s">
        <v>2027</v>
      </c>
      <c r="D437" s="1" t="s">
        <v>454</v>
      </c>
      <c r="E437" s="1">
        <v>2173</v>
      </c>
      <c r="F437" s="28">
        <v>213</v>
      </c>
      <c r="G437" s="9" t="s">
        <v>2915</v>
      </c>
      <c r="H437" s="1" t="s">
        <v>3073</v>
      </c>
      <c r="I437" s="1" t="s">
        <v>3073</v>
      </c>
      <c r="J437" t="str">
        <f t="shared" si="6"/>
        <v>http://www.badatelna.eu/reprodukce/?fondId=1073&amp;zaznamId=1108959&amp;reproId=3780206</v>
      </c>
      <c r="K437">
        <f>IF(LEN(TRIM(E437))=0,"",VLOOKUP(E437,Sheet2!$B$1:$E$19,2,FALSE))</f>
        <v>1073</v>
      </c>
      <c r="L437">
        <f>IF(LEN(TRIM(E437))=0,"",VLOOKUP(E437,Sheet2!$B$1:$E$19,3,FALSE))</f>
        <v>1108959</v>
      </c>
      <c r="M437">
        <f>IF(LEN(TRIM(E437))=0,"",VLOOKUP(E437,Sheet2!$B$1:$E$19,4,FALSE))+(F437-1)</f>
        <v>3780206</v>
      </c>
    </row>
    <row r="438" spans="1:17" s="1" customFormat="1" ht="15" customHeight="1" x14ac:dyDescent="0.25">
      <c r="A438" s="28" t="s">
        <v>262</v>
      </c>
      <c r="B438" s="28" t="s">
        <v>259</v>
      </c>
      <c r="C438" s="6" t="s">
        <v>2028</v>
      </c>
      <c r="D438" s="1" t="s">
        <v>454</v>
      </c>
      <c r="E438" s="1">
        <v>2173</v>
      </c>
      <c r="F438" s="28">
        <v>180</v>
      </c>
      <c r="G438" s="9">
        <v>6</v>
      </c>
      <c r="H438" s="1">
        <v>185</v>
      </c>
      <c r="I438" s="1">
        <v>412</v>
      </c>
      <c r="J438" t="str">
        <f t="shared" si="6"/>
        <v>http://www.badatelna.eu/reprodukce/?fondId=1073&amp;zaznamId=1108959&amp;reproId=3780173</v>
      </c>
      <c r="K438">
        <f>IF(LEN(TRIM(E438))=0,"",VLOOKUP(E438,Sheet2!$B$1:$E$19,2,FALSE))</f>
        <v>1073</v>
      </c>
      <c r="L438">
        <f>IF(LEN(TRIM(E438))=0,"",VLOOKUP(E438,Sheet2!$B$1:$E$19,3,FALSE))</f>
        <v>1108959</v>
      </c>
      <c r="M438">
        <f>IF(LEN(TRIM(E438))=0,"",VLOOKUP(E438,Sheet2!$B$1:$E$19,4,FALSE))+(F438-1)</f>
        <v>3780173</v>
      </c>
    </row>
    <row r="439" spans="1:17" s="1" customFormat="1" ht="15" customHeight="1" x14ac:dyDescent="0.25">
      <c r="A439" s="29" t="s">
        <v>2828</v>
      </c>
      <c r="B439" s="28" t="s">
        <v>19</v>
      </c>
      <c r="C439" s="6" t="s">
        <v>2514</v>
      </c>
      <c r="D439" s="1" t="s">
        <v>454</v>
      </c>
      <c r="E439" s="1">
        <v>2173</v>
      </c>
      <c r="F439" s="28">
        <v>206</v>
      </c>
      <c r="G439" s="1">
        <v>22</v>
      </c>
      <c r="H439" s="1" t="s">
        <v>3073</v>
      </c>
      <c r="I439" s="1" t="s">
        <v>3073</v>
      </c>
      <c r="J439" t="str">
        <f t="shared" si="6"/>
        <v>http://www.badatelna.eu/reprodukce/?fondId=1073&amp;zaznamId=1108959&amp;reproId=3780199</v>
      </c>
      <c r="K439">
        <f>IF(LEN(TRIM(E439))=0,"",VLOOKUP(E439,Sheet2!$B$1:$E$19,2,FALSE))</f>
        <v>1073</v>
      </c>
      <c r="L439">
        <f>IF(LEN(TRIM(E439))=0,"",VLOOKUP(E439,Sheet2!$B$1:$E$19,3,FALSE))</f>
        <v>1108959</v>
      </c>
      <c r="M439">
        <f>IF(LEN(TRIM(E439))=0,"",VLOOKUP(E439,Sheet2!$B$1:$E$19,4,FALSE))+(F439-1)</f>
        <v>3780199</v>
      </c>
    </row>
    <row r="440" spans="1:17" s="1" customFormat="1" ht="15" customHeight="1" x14ac:dyDescent="0.25">
      <c r="A440" s="28" t="s">
        <v>497</v>
      </c>
      <c r="B440" s="28" t="s">
        <v>40</v>
      </c>
      <c r="C440" s="1">
        <v>1850</v>
      </c>
      <c r="D440" s="1" t="s">
        <v>2919</v>
      </c>
      <c r="E440" s="1">
        <v>998</v>
      </c>
      <c r="F440" s="28">
        <v>29</v>
      </c>
      <c r="G440" s="1">
        <v>27</v>
      </c>
      <c r="H440" s="1">
        <v>63</v>
      </c>
      <c r="I440" s="1">
        <v>60</v>
      </c>
      <c r="J440" t="str">
        <f t="shared" si="6"/>
        <v>http://www.badatelna.eu/reprodukce/?fondId=241&amp;zaznamId=1133738&amp;reproId=3885675</v>
      </c>
      <c r="K440">
        <f>IF(LEN(TRIM(E440))=0,"",VLOOKUP(E440,Sheet2!$B$1:$E$19,2,FALSE))</f>
        <v>241</v>
      </c>
      <c r="L440">
        <f>IF(LEN(TRIM(E440))=0,"",VLOOKUP(E440,Sheet2!$B$1:$E$19,3,FALSE))</f>
        <v>1133738</v>
      </c>
      <c r="M440">
        <f>IF(LEN(TRIM(E440))=0,"",VLOOKUP(E440,Sheet2!$B$1:$E$19,4,FALSE))+(F440-1)</f>
        <v>3885675</v>
      </c>
    </row>
    <row r="441" spans="1:17" s="1" customFormat="1" ht="15" customHeight="1" x14ac:dyDescent="0.25">
      <c r="A441" s="27" t="s">
        <v>497</v>
      </c>
      <c r="B441" s="27" t="s">
        <v>498</v>
      </c>
      <c r="C441" s="5" t="s">
        <v>1098</v>
      </c>
      <c r="D441" s="3" t="s">
        <v>454</v>
      </c>
      <c r="E441" s="3">
        <v>2170</v>
      </c>
      <c r="F441" s="28">
        <v>35</v>
      </c>
      <c r="G441" s="10">
        <v>31</v>
      </c>
      <c r="H441" s="3">
        <v>61</v>
      </c>
      <c r="I441" s="3">
        <v>57</v>
      </c>
      <c r="J441" t="str">
        <f t="shared" si="6"/>
        <v>http://www.badatelna.eu/reprodukce/?fondId=1073&amp;zaznamId=1108956&amp;reproId=3779627</v>
      </c>
      <c r="K441">
        <f>IF(LEN(TRIM(E441))=0,"",VLOOKUP(E441,Sheet2!$B$1:$E$19,2,FALSE))</f>
        <v>1073</v>
      </c>
      <c r="L441">
        <f>IF(LEN(TRIM(E441))=0,"",VLOOKUP(E441,Sheet2!$B$1:$E$19,3,FALSE))</f>
        <v>1108956</v>
      </c>
      <c r="M441">
        <f>IF(LEN(TRIM(E441))=0,"",VLOOKUP(E441,Sheet2!$B$1:$E$19,4,FALSE))+(F441-1)</f>
        <v>3779627</v>
      </c>
    </row>
    <row r="442" spans="1:17" s="1" customFormat="1" ht="15" customHeight="1" x14ac:dyDescent="0.25">
      <c r="A442" s="28" t="s">
        <v>497</v>
      </c>
      <c r="B442" s="28" t="s">
        <v>2933</v>
      </c>
      <c r="C442" s="1">
        <v>1851</v>
      </c>
      <c r="D442" s="1" t="s">
        <v>2919</v>
      </c>
      <c r="E442" s="1">
        <v>998</v>
      </c>
      <c r="F442" s="28">
        <v>32</v>
      </c>
      <c r="G442" s="1">
        <v>30</v>
      </c>
      <c r="H442" s="1">
        <v>63</v>
      </c>
      <c r="I442" s="1">
        <v>60</v>
      </c>
      <c r="J442" t="str">
        <f t="shared" si="6"/>
        <v>http://www.badatelna.eu/reprodukce/?fondId=241&amp;zaznamId=1133738&amp;reproId=3885678</v>
      </c>
      <c r="K442">
        <f>IF(LEN(TRIM(E442))=0,"",VLOOKUP(E442,Sheet2!$B$1:$E$19,2,FALSE))</f>
        <v>241</v>
      </c>
      <c r="L442">
        <f>IF(LEN(TRIM(E442))=0,"",VLOOKUP(E442,Sheet2!$B$1:$E$19,3,FALSE))</f>
        <v>1133738</v>
      </c>
      <c r="M442">
        <f>IF(LEN(TRIM(E442))=0,"",VLOOKUP(E442,Sheet2!$B$1:$E$19,4,FALSE))+(F442-1)</f>
        <v>3885678</v>
      </c>
    </row>
    <row r="443" spans="1:17" s="1" customFormat="1" ht="15" customHeight="1" x14ac:dyDescent="0.25">
      <c r="A443" s="27" t="s">
        <v>497</v>
      </c>
      <c r="B443" s="27" t="s">
        <v>469</v>
      </c>
      <c r="C443" s="5" t="s">
        <v>1097</v>
      </c>
      <c r="D443" s="3" t="s">
        <v>454</v>
      </c>
      <c r="E443" s="3">
        <v>2170</v>
      </c>
      <c r="F443" s="28">
        <v>41</v>
      </c>
      <c r="G443" s="10">
        <v>37</v>
      </c>
      <c r="H443" s="3">
        <v>61</v>
      </c>
      <c r="I443" s="3">
        <v>57</v>
      </c>
      <c r="J443" t="str">
        <f t="shared" si="6"/>
        <v>http://www.badatelna.eu/reprodukce/?fondId=1073&amp;zaznamId=1108956&amp;reproId=3779633</v>
      </c>
      <c r="K443">
        <f>IF(LEN(TRIM(E443))=0,"",VLOOKUP(E443,Sheet2!$B$1:$E$19,2,FALSE))</f>
        <v>1073</v>
      </c>
      <c r="L443">
        <f>IF(LEN(TRIM(E443))=0,"",VLOOKUP(E443,Sheet2!$B$1:$E$19,3,FALSE))</f>
        <v>1108956</v>
      </c>
      <c r="M443">
        <f>IF(LEN(TRIM(E443))=0,"",VLOOKUP(E443,Sheet2!$B$1:$E$19,4,FALSE))+(F443-1)</f>
        <v>3779633</v>
      </c>
    </row>
    <row r="444" spans="1:17" s="1" customFormat="1" ht="15" customHeight="1" x14ac:dyDescent="0.25">
      <c r="A444" s="27" t="s">
        <v>497</v>
      </c>
      <c r="B444" s="27" t="s">
        <v>469</v>
      </c>
      <c r="C444" s="5" t="s">
        <v>1051</v>
      </c>
      <c r="D444" s="3" t="s">
        <v>454</v>
      </c>
      <c r="E444" s="3">
        <v>2171</v>
      </c>
      <c r="F444" s="28">
        <v>5</v>
      </c>
      <c r="G444" s="10">
        <v>2</v>
      </c>
      <c r="H444" s="3">
        <v>41</v>
      </c>
      <c r="I444" s="3">
        <v>32</v>
      </c>
      <c r="J444" t="str">
        <f t="shared" si="6"/>
        <v>http://www.badatelna.eu/reprodukce/?fondId=1073&amp;zaznamId=1108957&amp;reproId=3779672</v>
      </c>
      <c r="K444">
        <f>IF(LEN(TRIM(E444))=0,"",VLOOKUP(E444,Sheet2!$B$1:$E$19,2,FALSE))</f>
        <v>1073</v>
      </c>
      <c r="L444">
        <f>IF(LEN(TRIM(E444))=0,"",VLOOKUP(E444,Sheet2!$B$1:$E$19,3,FALSE))</f>
        <v>1108957</v>
      </c>
      <c r="M444">
        <f>IF(LEN(TRIM(E444))=0,"",VLOOKUP(E444,Sheet2!$B$1:$E$19,4,FALSE))+(F444-1)</f>
        <v>3779672</v>
      </c>
    </row>
    <row r="445" spans="1:17" s="1" customFormat="1" ht="15" customHeight="1" x14ac:dyDescent="0.25">
      <c r="A445" s="28" t="s">
        <v>497</v>
      </c>
      <c r="B445" s="28" t="s">
        <v>13</v>
      </c>
      <c r="C445" s="1">
        <v>1862</v>
      </c>
      <c r="D445" s="1" t="s">
        <v>2919</v>
      </c>
      <c r="E445" s="1">
        <v>999</v>
      </c>
      <c r="F445" s="28">
        <v>81</v>
      </c>
      <c r="G445" s="1">
        <v>2</v>
      </c>
      <c r="H445" s="1">
        <v>95</v>
      </c>
      <c r="I445" s="1">
        <v>153</v>
      </c>
      <c r="J445" t="str">
        <f t="shared" si="6"/>
        <v>http://www.badatelna.eu/reprodukce/?fondId=241&amp;zaznamId=1133739&amp;reproId=3885810</v>
      </c>
      <c r="K445">
        <f>IF(LEN(TRIM(E445))=0,"",VLOOKUP(E445,Sheet2!$B$1:$E$19,2,FALSE))</f>
        <v>241</v>
      </c>
      <c r="L445">
        <f>IF(LEN(TRIM(E445))=0,"",VLOOKUP(E445,Sheet2!$B$1:$E$19,3,FALSE))</f>
        <v>1133739</v>
      </c>
      <c r="M445">
        <f>IF(LEN(TRIM(E445))=0,"",VLOOKUP(E445,Sheet2!$B$1:$E$19,4,FALSE))+(F445-1)</f>
        <v>3885810</v>
      </c>
    </row>
    <row r="446" spans="1:17" s="1" customFormat="1" ht="15" customHeight="1" x14ac:dyDescent="0.25">
      <c r="A446" s="28" t="s">
        <v>789</v>
      </c>
      <c r="B446" s="28" t="s">
        <v>632</v>
      </c>
      <c r="C446" s="6" t="s">
        <v>1690</v>
      </c>
      <c r="D446" s="1" t="s">
        <v>454</v>
      </c>
      <c r="E446" s="1">
        <v>2172</v>
      </c>
      <c r="F446" s="28">
        <v>114</v>
      </c>
      <c r="G446" s="9" t="s">
        <v>2770</v>
      </c>
      <c r="H446" s="1">
        <v>116</v>
      </c>
      <c r="I446" s="1">
        <v>115</v>
      </c>
      <c r="J446" t="str">
        <f t="shared" si="6"/>
        <v>http://www.badatelna.eu/reprodukce/?fondId=1073&amp;zaznamId=1108958&amp;reproId=3779855</v>
      </c>
      <c r="K446">
        <f>IF(LEN(TRIM(E446))=0,"",VLOOKUP(E446,Sheet2!$B$1:$E$19,2,FALSE))</f>
        <v>1073</v>
      </c>
      <c r="L446">
        <f>IF(LEN(TRIM(E446))=0,"",VLOOKUP(E446,Sheet2!$B$1:$E$19,3,FALSE))</f>
        <v>1108958</v>
      </c>
      <c r="M446">
        <f>IF(LEN(TRIM(E446))=0,"",VLOOKUP(E446,Sheet2!$B$1:$E$19,4,FALSE))+(F446-1)</f>
        <v>3779855</v>
      </c>
      <c r="N446"/>
      <c r="O446"/>
      <c r="P446"/>
      <c r="Q446"/>
    </row>
    <row r="447" spans="1:17" s="1" customFormat="1" ht="15" customHeight="1" x14ac:dyDescent="0.25">
      <c r="A447" s="28" t="s">
        <v>264</v>
      </c>
      <c r="B447" s="29" t="s">
        <v>420</v>
      </c>
      <c r="C447" s="1">
        <v>1856</v>
      </c>
      <c r="D447" s="1" t="s">
        <v>2919</v>
      </c>
      <c r="E447" s="1">
        <v>998</v>
      </c>
      <c r="F447" s="28">
        <v>48</v>
      </c>
      <c r="G447" s="1">
        <v>46</v>
      </c>
      <c r="H447" s="1">
        <v>63</v>
      </c>
      <c r="I447" s="1">
        <v>60</v>
      </c>
      <c r="J447" t="str">
        <f t="shared" si="6"/>
        <v>http://www.badatelna.eu/reprodukce/?fondId=241&amp;zaznamId=1133738&amp;reproId=3885694</v>
      </c>
      <c r="K447">
        <f>IF(LEN(TRIM(E447))=0,"",VLOOKUP(E447,Sheet2!$B$1:$E$19,2,FALSE))</f>
        <v>241</v>
      </c>
      <c r="L447">
        <f>IF(LEN(TRIM(E447))=0,"",VLOOKUP(E447,Sheet2!$B$1:$E$19,3,FALSE))</f>
        <v>1133738</v>
      </c>
      <c r="M447">
        <f>IF(LEN(TRIM(E447))=0,"",VLOOKUP(E447,Sheet2!$B$1:$E$19,4,FALSE))+(F447-1)</f>
        <v>3885694</v>
      </c>
      <c r="N447"/>
      <c r="O447"/>
      <c r="P447"/>
      <c r="Q447"/>
    </row>
    <row r="448" spans="1:17" s="1" customFormat="1" ht="15" customHeight="1" x14ac:dyDescent="0.25">
      <c r="A448" s="28" t="s">
        <v>264</v>
      </c>
      <c r="B448" s="28" t="s">
        <v>420</v>
      </c>
      <c r="C448" s="6" t="s">
        <v>2741</v>
      </c>
      <c r="D448" s="1" t="s">
        <v>454</v>
      </c>
      <c r="E448" s="1">
        <v>2173</v>
      </c>
      <c r="F448" s="28">
        <v>229</v>
      </c>
      <c r="G448" s="9">
        <v>62</v>
      </c>
      <c r="H448" s="1" t="s">
        <v>3073</v>
      </c>
      <c r="I448" s="1" t="s">
        <v>3073</v>
      </c>
      <c r="J448" t="str">
        <f t="shared" si="6"/>
        <v>http://www.badatelna.eu/reprodukce/?fondId=1073&amp;zaznamId=1108959&amp;reproId=3780222</v>
      </c>
      <c r="K448">
        <f>IF(LEN(TRIM(E448))=0,"",VLOOKUP(E448,Sheet2!$B$1:$E$19,2,FALSE))</f>
        <v>1073</v>
      </c>
      <c r="L448">
        <f>IF(LEN(TRIM(E448))=0,"",VLOOKUP(E448,Sheet2!$B$1:$E$19,3,FALSE))</f>
        <v>1108959</v>
      </c>
      <c r="M448">
        <f>IF(LEN(TRIM(E448))=0,"",VLOOKUP(E448,Sheet2!$B$1:$E$19,4,FALSE))+(F448-1)</f>
        <v>3780222</v>
      </c>
      <c r="N448"/>
      <c r="O448"/>
      <c r="P448"/>
      <c r="Q448"/>
    </row>
    <row r="449" spans="1:17" s="1" customFormat="1" ht="15" customHeight="1" x14ac:dyDescent="0.25">
      <c r="A449" s="29" t="s">
        <v>264</v>
      </c>
      <c r="B449" s="28" t="s">
        <v>225</v>
      </c>
      <c r="C449" s="6" t="s">
        <v>2505</v>
      </c>
      <c r="D449" s="1" t="s">
        <v>454</v>
      </c>
      <c r="E449" s="1">
        <v>2173</v>
      </c>
      <c r="F449" s="28">
        <v>206</v>
      </c>
      <c r="G449" s="17">
        <v>22</v>
      </c>
      <c r="H449" s="1" t="s">
        <v>3073</v>
      </c>
      <c r="I449" s="1" t="s">
        <v>3073</v>
      </c>
      <c r="J449" t="str">
        <f t="shared" si="6"/>
        <v>http://www.badatelna.eu/reprodukce/?fondId=1073&amp;zaznamId=1108959&amp;reproId=3780199</v>
      </c>
      <c r="K449">
        <f>IF(LEN(TRIM(E449))=0,"",VLOOKUP(E449,Sheet2!$B$1:$E$19,2,FALSE))</f>
        <v>1073</v>
      </c>
      <c r="L449">
        <f>IF(LEN(TRIM(E449))=0,"",VLOOKUP(E449,Sheet2!$B$1:$E$19,3,FALSE))</f>
        <v>1108959</v>
      </c>
      <c r="M449">
        <f>IF(LEN(TRIM(E449))=0,"",VLOOKUP(E449,Sheet2!$B$1:$E$19,4,FALSE))+(F449-1)</f>
        <v>3780199</v>
      </c>
    </row>
    <row r="450" spans="1:17" s="1" customFormat="1" ht="15" customHeight="1" x14ac:dyDescent="0.25">
      <c r="A450" s="28" t="s">
        <v>264</v>
      </c>
      <c r="B450" s="28" t="s">
        <v>40</v>
      </c>
      <c r="C450" s="6" t="s">
        <v>2031</v>
      </c>
      <c r="D450" s="1" t="s">
        <v>454</v>
      </c>
      <c r="E450" s="1">
        <v>2173</v>
      </c>
      <c r="F450" s="28">
        <v>182</v>
      </c>
      <c r="G450" s="9">
        <v>10</v>
      </c>
      <c r="H450" s="1">
        <v>185</v>
      </c>
      <c r="I450" s="1">
        <v>412</v>
      </c>
      <c r="J450" t="str">
        <f t="shared" si="6"/>
        <v>http://www.badatelna.eu/reprodukce/?fondId=1073&amp;zaznamId=1108959&amp;reproId=3780175</v>
      </c>
      <c r="K450">
        <f>IF(LEN(TRIM(E450))=0,"",VLOOKUP(E450,Sheet2!$B$1:$E$19,2,FALSE))</f>
        <v>1073</v>
      </c>
      <c r="L450">
        <f>IF(LEN(TRIM(E450))=0,"",VLOOKUP(E450,Sheet2!$B$1:$E$19,3,FALSE))</f>
        <v>1108959</v>
      </c>
      <c r="M450">
        <f>IF(LEN(TRIM(E450))=0,"",VLOOKUP(E450,Sheet2!$B$1:$E$19,4,FALSE))+(F450-1)</f>
        <v>3780175</v>
      </c>
    </row>
    <row r="451" spans="1:17" s="1" customFormat="1" ht="15" customHeight="1" x14ac:dyDescent="0.25">
      <c r="A451" s="28" t="s">
        <v>264</v>
      </c>
      <c r="B451" s="28" t="s">
        <v>40</v>
      </c>
      <c r="C451" s="6" t="s">
        <v>2031</v>
      </c>
      <c r="D451" s="1" t="s">
        <v>454</v>
      </c>
      <c r="E451" s="1">
        <v>2173</v>
      </c>
      <c r="F451" s="28">
        <v>211</v>
      </c>
      <c r="G451" s="9" t="s">
        <v>2760</v>
      </c>
      <c r="H451" s="1" t="s">
        <v>3073</v>
      </c>
      <c r="I451" s="1" t="s">
        <v>3073</v>
      </c>
      <c r="J451" t="str">
        <f t="shared" ref="J451:J514" si="7">IF(LEN(TRIM(E451))=0,"","http://www.badatelna.eu/reprodukce/?fondId="&amp;K451&amp;"&amp;zaznamId="&amp;L451&amp;"&amp;reproId="&amp;M451)</f>
        <v>http://www.badatelna.eu/reprodukce/?fondId=1073&amp;zaznamId=1108959&amp;reproId=3780204</v>
      </c>
      <c r="K451">
        <f>IF(LEN(TRIM(E451))=0,"",VLOOKUP(E451,Sheet2!$B$1:$E$19,2,FALSE))</f>
        <v>1073</v>
      </c>
      <c r="L451">
        <f>IF(LEN(TRIM(E451))=0,"",VLOOKUP(E451,Sheet2!$B$1:$E$19,3,FALSE))</f>
        <v>1108959</v>
      </c>
      <c r="M451">
        <f>IF(LEN(TRIM(E451))=0,"",VLOOKUP(E451,Sheet2!$B$1:$E$19,4,FALSE))+(F451-1)</f>
        <v>3780204</v>
      </c>
    </row>
    <row r="452" spans="1:17" s="1" customFormat="1" ht="15" customHeight="1" x14ac:dyDescent="0.25">
      <c r="A452" s="27" t="s">
        <v>264</v>
      </c>
      <c r="B452" s="27" t="s">
        <v>25</v>
      </c>
      <c r="C452" s="5" t="s">
        <v>1061</v>
      </c>
      <c r="D452" s="3" t="s">
        <v>454</v>
      </c>
      <c r="E452" s="3">
        <v>2170</v>
      </c>
      <c r="F452" s="28">
        <v>10</v>
      </c>
      <c r="G452" s="10">
        <v>6</v>
      </c>
      <c r="H452" s="3">
        <v>60</v>
      </c>
      <c r="I452" s="3">
        <v>56</v>
      </c>
      <c r="J452" t="str">
        <f t="shared" si="7"/>
        <v>http://www.badatelna.eu/reprodukce/?fondId=1073&amp;zaznamId=1108956&amp;reproId=3779602</v>
      </c>
      <c r="K452">
        <f>IF(LEN(TRIM(E452))=0,"",VLOOKUP(E452,Sheet2!$B$1:$E$19,2,FALSE))</f>
        <v>1073</v>
      </c>
      <c r="L452">
        <f>IF(LEN(TRIM(E452))=0,"",VLOOKUP(E452,Sheet2!$B$1:$E$19,3,FALSE))</f>
        <v>1108956</v>
      </c>
      <c r="M452">
        <f>IF(LEN(TRIM(E452))=0,"",VLOOKUP(E452,Sheet2!$B$1:$E$19,4,FALSE))+(F452-1)</f>
        <v>3779602</v>
      </c>
    </row>
    <row r="453" spans="1:17" s="1" customFormat="1" ht="15" customHeight="1" x14ac:dyDescent="0.25">
      <c r="A453" s="28" t="s">
        <v>264</v>
      </c>
      <c r="B453" s="29" t="s">
        <v>272</v>
      </c>
      <c r="C453" s="1">
        <v>1849</v>
      </c>
      <c r="D453" s="1" t="s">
        <v>2919</v>
      </c>
      <c r="E453" s="1">
        <v>998</v>
      </c>
      <c r="F453" s="28">
        <v>21</v>
      </c>
      <c r="G453" s="1">
        <v>19</v>
      </c>
      <c r="H453" s="1">
        <v>63</v>
      </c>
      <c r="I453" s="1">
        <v>60</v>
      </c>
      <c r="J453" t="str">
        <f t="shared" si="7"/>
        <v>http://www.badatelna.eu/reprodukce/?fondId=241&amp;zaznamId=1133738&amp;reproId=3885667</v>
      </c>
      <c r="K453">
        <f>IF(LEN(TRIM(E453))=0,"",VLOOKUP(E453,Sheet2!$B$1:$E$19,2,FALSE))</f>
        <v>241</v>
      </c>
      <c r="L453">
        <f>IF(LEN(TRIM(E453))=0,"",VLOOKUP(E453,Sheet2!$B$1:$E$19,3,FALSE))</f>
        <v>1133738</v>
      </c>
      <c r="M453">
        <f>IF(LEN(TRIM(E453))=0,"",VLOOKUP(E453,Sheet2!$B$1:$E$19,4,FALSE))+(F453-1)</f>
        <v>3885667</v>
      </c>
    </row>
    <row r="454" spans="1:17" s="1" customFormat="1" ht="15" customHeight="1" x14ac:dyDescent="0.25">
      <c r="A454" s="27" t="s">
        <v>264</v>
      </c>
      <c r="B454" s="27" t="s">
        <v>13</v>
      </c>
      <c r="C454" s="5" t="s">
        <v>1062</v>
      </c>
      <c r="D454" s="3" t="s">
        <v>454</v>
      </c>
      <c r="E454" s="3">
        <v>2170</v>
      </c>
      <c r="F454" s="28">
        <v>5</v>
      </c>
      <c r="G454" s="10">
        <v>1</v>
      </c>
      <c r="H454" s="3">
        <v>60</v>
      </c>
      <c r="I454" s="3">
        <v>56</v>
      </c>
      <c r="J454" t="str">
        <f t="shared" si="7"/>
        <v>http://www.badatelna.eu/reprodukce/?fondId=1073&amp;zaznamId=1108956&amp;reproId=3779597</v>
      </c>
      <c r="K454">
        <f>IF(LEN(TRIM(E454))=0,"",VLOOKUP(E454,Sheet2!$B$1:$E$19,2,FALSE))</f>
        <v>1073</v>
      </c>
      <c r="L454">
        <f>IF(LEN(TRIM(E454))=0,"",VLOOKUP(E454,Sheet2!$B$1:$E$19,3,FALSE))</f>
        <v>1108956</v>
      </c>
      <c r="M454">
        <f>IF(LEN(TRIM(E454))=0,"",VLOOKUP(E454,Sheet2!$B$1:$E$19,4,FALSE))+(F454-1)</f>
        <v>3779597</v>
      </c>
    </row>
    <row r="455" spans="1:17" s="1" customFormat="1" ht="15" customHeight="1" x14ac:dyDescent="0.25">
      <c r="A455" s="28" t="s">
        <v>264</v>
      </c>
      <c r="B455" s="28" t="s">
        <v>247</v>
      </c>
      <c r="C455" s="6" t="s">
        <v>2030</v>
      </c>
      <c r="D455" s="1" t="s">
        <v>454</v>
      </c>
      <c r="E455" s="1">
        <v>2173</v>
      </c>
      <c r="F455" s="28">
        <v>180</v>
      </c>
      <c r="G455" s="9">
        <v>7</v>
      </c>
      <c r="H455" s="1">
        <v>185</v>
      </c>
      <c r="I455" s="1">
        <v>412</v>
      </c>
      <c r="J455" t="str">
        <f t="shared" si="7"/>
        <v>http://www.badatelna.eu/reprodukce/?fondId=1073&amp;zaznamId=1108959&amp;reproId=3780173</v>
      </c>
      <c r="K455">
        <f>IF(LEN(TRIM(E455))=0,"",VLOOKUP(E455,Sheet2!$B$1:$E$19,2,FALSE))</f>
        <v>1073</v>
      </c>
      <c r="L455">
        <f>IF(LEN(TRIM(E455))=0,"",VLOOKUP(E455,Sheet2!$B$1:$E$19,3,FALSE))</f>
        <v>1108959</v>
      </c>
      <c r="M455">
        <f>IF(LEN(TRIM(E455))=0,"",VLOOKUP(E455,Sheet2!$B$1:$E$19,4,FALSE))+(F455-1)</f>
        <v>3780173</v>
      </c>
      <c r="N455"/>
      <c r="O455"/>
      <c r="P455"/>
      <c r="Q455"/>
    </row>
    <row r="456" spans="1:17" s="1" customFormat="1" ht="15" customHeight="1" x14ac:dyDescent="0.25">
      <c r="A456" s="28" t="s">
        <v>264</v>
      </c>
      <c r="B456" s="28" t="s">
        <v>256</v>
      </c>
      <c r="C456" s="6" t="s">
        <v>2032</v>
      </c>
      <c r="D456" s="1" t="s">
        <v>454</v>
      </c>
      <c r="E456" s="1">
        <v>2173</v>
      </c>
      <c r="F456" s="28">
        <v>180</v>
      </c>
      <c r="G456" s="9">
        <v>6</v>
      </c>
      <c r="H456" s="1">
        <v>185</v>
      </c>
      <c r="I456" s="1">
        <v>412</v>
      </c>
      <c r="J456" t="str">
        <f t="shared" si="7"/>
        <v>http://www.badatelna.eu/reprodukce/?fondId=1073&amp;zaznamId=1108959&amp;reproId=3780173</v>
      </c>
      <c r="K456">
        <f>IF(LEN(TRIM(E456))=0,"",VLOOKUP(E456,Sheet2!$B$1:$E$19,2,FALSE))</f>
        <v>1073</v>
      </c>
      <c r="L456">
        <f>IF(LEN(TRIM(E456))=0,"",VLOOKUP(E456,Sheet2!$B$1:$E$19,3,FALSE))</f>
        <v>1108959</v>
      </c>
      <c r="M456">
        <f>IF(LEN(TRIM(E456))=0,"",VLOOKUP(E456,Sheet2!$B$1:$E$19,4,FALSE))+(F456-1)</f>
        <v>3780173</v>
      </c>
    </row>
    <row r="457" spans="1:17" s="1" customFormat="1" ht="15" customHeight="1" x14ac:dyDescent="0.25">
      <c r="A457" s="28" t="s">
        <v>261</v>
      </c>
      <c r="B457" s="28" t="s">
        <v>260</v>
      </c>
      <c r="C457" s="6" t="s">
        <v>2033</v>
      </c>
      <c r="D457" s="1" t="s">
        <v>454</v>
      </c>
      <c r="E457" s="1">
        <v>2173</v>
      </c>
      <c r="F457" s="28">
        <v>179</v>
      </c>
      <c r="G457" s="9">
        <v>5</v>
      </c>
      <c r="H457" s="1">
        <v>185</v>
      </c>
      <c r="I457" s="1">
        <v>412</v>
      </c>
      <c r="J457" t="str">
        <f t="shared" si="7"/>
        <v>http://www.badatelna.eu/reprodukce/?fondId=1073&amp;zaznamId=1108959&amp;reproId=3780172</v>
      </c>
      <c r="K457">
        <f>IF(LEN(TRIM(E457))=0,"",VLOOKUP(E457,Sheet2!$B$1:$E$19,2,FALSE))</f>
        <v>1073</v>
      </c>
      <c r="L457">
        <f>IF(LEN(TRIM(E457))=0,"",VLOOKUP(E457,Sheet2!$B$1:$E$19,3,FALSE))</f>
        <v>1108959</v>
      </c>
      <c r="M457">
        <f>IF(LEN(TRIM(E457))=0,"",VLOOKUP(E457,Sheet2!$B$1:$E$19,4,FALSE))+(F457-1)</f>
        <v>3780172</v>
      </c>
    </row>
    <row r="458" spans="1:17" s="1" customFormat="1" ht="15" customHeight="1" x14ac:dyDescent="0.25">
      <c r="A458" s="29" t="s">
        <v>2931</v>
      </c>
      <c r="B458" s="28" t="s">
        <v>290</v>
      </c>
      <c r="C458" s="1">
        <v>1850</v>
      </c>
      <c r="D458" s="1" t="s">
        <v>2919</v>
      </c>
      <c r="E458" s="1">
        <v>998</v>
      </c>
      <c r="F458" s="28">
        <v>29</v>
      </c>
      <c r="G458" s="1">
        <v>27</v>
      </c>
      <c r="H458" s="1">
        <v>63</v>
      </c>
      <c r="I458" s="1">
        <v>60</v>
      </c>
      <c r="J458" t="str">
        <f t="shared" si="7"/>
        <v>http://www.badatelna.eu/reprodukce/?fondId=241&amp;zaznamId=1133738&amp;reproId=3885675</v>
      </c>
      <c r="K458">
        <f>IF(LEN(TRIM(E458))=0,"",VLOOKUP(E458,Sheet2!$B$1:$E$19,2,FALSE))</f>
        <v>241</v>
      </c>
      <c r="L458">
        <f>IF(LEN(TRIM(E458))=0,"",VLOOKUP(E458,Sheet2!$B$1:$E$19,3,FALSE))</f>
        <v>1133738</v>
      </c>
      <c r="M458">
        <f>IF(LEN(TRIM(E458))=0,"",VLOOKUP(E458,Sheet2!$B$1:$E$19,4,FALSE))+(F458-1)</f>
        <v>3885675</v>
      </c>
    </row>
    <row r="459" spans="1:17" s="1" customFormat="1" ht="15" customHeight="1" x14ac:dyDescent="0.25">
      <c r="A459" s="28" t="s">
        <v>2931</v>
      </c>
      <c r="B459" s="28" t="s">
        <v>22</v>
      </c>
      <c r="C459" s="1">
        <v>1866</v>
      </c>
      <c r="D459" s="1" t="s">
        <v>2919</v>
      </c>
      <c r="E459" s="1">
        <v>999</v>
      </c>
      <c r="F459" s="28">
        <v>91</v>
      </c>
      <c r="G459" s="1">
        <v>12</v>
      </c>
      <c r="H459" s="1">
        <v>95</v>
      </c>
      <c r="I459" s="1">
        <v>153</v>
      </c>
      <c r="J459" t="str">
        <f t="shared" si="7"/>
        <v>http://www.badatelna.eu/reprodukce/?fondId=241&amp;zaznamId=1133739&amp;reproId=3885820</v>
      </c>
      <c r="K459">
        <f>IF(LEN(TRIM(E459))=0,"",VLOOKUP(E459,Sheet2!$B$1:$E$19,2,FALSE))</f>
        <v>241</v>
      </c>
      <c r="L459">
        <f>IF(LEN(TRIM(E459))=0,"",VLOOKUP(E459,Sheet2!$B$1:$E$19,3,FALSE))</f>
        <v>1133739</v>
      </c>
      <c r="M459">
        <f>IF(LEN(TRIM(E459))=0,"",VLOOKUP(E459,Sheet2!$B$1:$E$19,4,FALSE))+(F459-1)</f>
        <v>3885820</v>
      </c>
      <c r="N459"/>
      <c r="O459"/>
      <c r="P459"/>
      <c r="Q459"/>
    </row>
    <row r="460" spans="1:17" s="1" customFormat="1" ht="15" customHeight="1" x14ac:dyDescent="0.25">
      <c r="A460" s="27" t="s">
        <v>499</v>
      </c>
      <c r="B460" s="27" t="s">
        <v>500</v>
      </c>
      <c r="C460" s="5" t="s">
        <v>1099</v>
      </c>
      <c r="D460" s="3" t="s">
        <v>454</v>
      </c>
      <c r="E460" s="3">
        <v>2170</v>
      </c>
      <c r="F460" s="28">
        <v>20</v>
      </c>
      <c r="G460" s="10">
        <v>16</v>
      </c>
      <c r="H460" s="3">
        <v>61</v>
      </c>
      <c r="I460" s="3">
        <v>57</v>
      </c>
      <c r="J460" t="str">
        <f t="shared" si="7"/>
        <v>http://www.badatelna.eu/reprodukce/?fondId=1073&amp;zaznamId=1108956&amp;reproId=3779612</v>
      </c>
      <c r="K460">
        <f>IF(LEN(TRIM(E460))=0,"",VLOOKUP(E460,Sheet2!$B$1:$E$19,2,FALSE))</f>
        <v>1073</v>
      </c>
      <c r="L460">
        <f>IF(LEN(TRIM(E460))=0,"",VLOOKUP(E460,Sheet2!$B$1:$E$19,3,FALSE))</f>
        <v>1108956</v>
      </c>
      <c r="M460">
        <f>IF(LEN(TRIM(E460))=0,"",VLOOKUP(E460,Sheet2!$B$1:$E$19,4,FALSE))+(F460-1)</f>
        <v>3779612</v>
      </c>
    </row>
    <row r="461" spans="1:17" s="1" customFormat="1" ht="15" customHeight="1" x14ac:dyDescent="0.25">
      <c r="A461" s="28" t="s">
        <v>174</v>
      </c>
      <c r="B461" s="28" t="s">
        <v>33</v>
      </c>
      <c r="C461" s="1">
        <v>1853</v>
      </c>
      <c r="D461" s="1" t="s">
        <v>2919</v>
      </c>
      <c r="E461" s="1">
        <v>998</v>
      </c>
      <c r="F461" s="28">
        <v>37</v>
      </c>
      <c r="G461" s="1">
        <v>35</v>
      </c>
      <c r="H461" s="1">
        <v>63</v>
      </c>
      <c r="I461" s="1">
        <v>60</v>
      </c>
      <c r="J461" t="str">
        <f t="shared" si="7"/>
        <v>http://www.badatelna.eu/reprodukce/?fondId=241&amp;zaznamId=1133738&amp;reproId=3885683</v>
      </c>
      <c r="K461">
        <f>IF(LEN(TRIM(E461))=0,"",VLOOKUP(E461,Sheet2!$B$1:$E$19,2,FALSE))</f>
        <v>241</v>
      </c>
      <c r="L461">
        <f>IF(LEN(TRIM(E461))=0,"",VLOOKUP(E461,Sheet2!$B$1:$E$19,3,FALSE))</f>
        <v>1133738</v>
      </c>
      <c r="M461">
        <f>IF(LEN(TRIM(E461))=0,"",VLOOKUP(E461,Sheet2!$B$1:$E$19,4,FALSE))+(F461-1)</f>
        <v>3885683</v>
      </c>
    </row>
    <row r="462" spans="1:17" s="1" customFormat="1" ht="15" customHeight="1" x14ac:dyDescent="0.25">
      <c r="A462" s="28" t="s">
        <v>174</v>
      </c>
      <c r="B462" s="28" t="s">
        <v>33</v>
      </c>
      <c r="C462" s="6" t="s">
        <v>2398</v>
      </c>
      <c r="D462" s="1" t="s">
        <v>454</v>
      </c>
      <c r="E462" s="1">
        <v>2173</v>
      </c>
      <c r="F462" s="28">
        <v>202</v>
      </c>
      <c r="G462" s="9">
        <v>14</v>
      </c>
      <c r="H462" s="1" t="s">
        <v>3073</v>
      </c>
      <c r="I462" s="1" t="s">
        <v>3073</v>
      </c>
      <c r="J462" t="str">
        <f t="shared" si="7"/>
        <v>http://www.badatelna.eu/reprodukce/?fondId=1073&amp;zaznamId=1108959&amp;reproId=3780195</v>
      </c>
      <c r="K462">
        <f>IF(LEN(TRIM(E462))=0,"",VLOOKUP(E462,Sheet2!$B$1:$E$19,2,FALSE))</f>
        <v>1073</v>
      </c>
      <c r="L462">
        <f>IF(LEN(TRIM(E462))=0,"",VLOOKUP(E462,Sheet2!$B$1:$E$19,3,FALSE))</f>
        <v>1108959</v>
      </c>
      <c r="M462">
        <f>IF(LEN(TRIM(E462))=0,"",VLOOKUP(E462,Sheet2!$B$1:$E$19,4,FALSE))+(F462-1)</f>
        <v>3780195</v>
      </c>
    </row>
    <row r="463" spans="1:17" s="1" customFormat="1" ht="15" customHeight="1" x14ac:dyDescent="0.25">
      <c r="A463" s="28" t="s">
        <v>174</v>
      </c>
      <c r="B463" s="29" t="s">
        <v>2924</v>
      </c>
      <c r="C463" s="1">
        <v>1851</v>
      </c>
      <c r="D463" s="1" t="s">
        <v>2919</v>
      </c>
      <c r="E463" s="1">
        <v>998</v>
      </c>
      <c r="F463" s="28">
        <v>34</v>
      </c>
      <c r="G463" s="1">
        <v>32</v>
      </c>
      <c r="H463" s="1">
        <v>63</v>
      </c>
      <c r="I463" s="1">
        <v>60</v>
      </c>
      <c r="J463" t="str">
        <f t="shared" si="7"/>
        <v>http://www.badatelna.eu/reprodukce/?fondId=241&amp;zaznamId=1133738&amp;reproId=3885680</v>
      </c>
      <c r="K463">
        <f>IF(LEN(TRIM(E463))=0,"",VLOOKUP(E463,Sheet2!$B$1:$E$19,2,FALSE))</f>
        <v>241</v>
      </c>
      <c r="L463">
        <f>IF(LEN(TRIM(E463))=0,"",VLOOKUP(E463,Sheet2!$B$1:$E$19,3,FALSE))</f>
        <v>1133738</v>
      </c>
      <c r="M463">
        <f>IF(LEN(TRIM(E463))=0,"",VLOOKUP(E463,Sheet2!$B$1:$E$19,4,FALSE))+(F463-1)</f>
        <v>3885680</v>
      </c>
      <c r="N463"/>
      <c r="O463"/>
      <c r="P463"/>
      <c r="Q463"/>
    </row>
    <row r="464" spans="1:17" s="1" customFormat="1" ht="15" customHeight="1" x14ac:dyDescent="0.25">
      <c r="A464" s="28" t="s">
        <v>174</v>
      </c>
      <c r="B464" s="28" t="s">
        <v>665</v>
      </c>
      <c r="C464" s="1">
        <v>1883</v>
      </c>
      <c r="D464" s="1" t="s">
        <v>454</v>
      </c>
      <c r="E464" s="1">
        <v>2172</v>
      </c>
      <c r="F464" s="28">
        <v>35</v>
      </c>
      <c r="G464" s="9">
        <v>34</v>
      </c>
      <c r="H464" s="1">
        <v>36</v>
      </c>
      <c r="I464" s="1">
        <v>35</v>
      </c>
      <c r="J464" t="str">
        <f t="shared" si="7"/>
        <v>http://www.badatelna.eu/reprodukce/?fondId=1073&amp;zaznamId=1108958&amp;reproId=3779776</v>
      </c>
      <c r="K464">
        <f>IF(LEN(TRIM(E464))=0,"",VLOOKUP(E464,Sheet2!$B$1:$E$19,2,FALSE))</f>
        <v>1073</v>
      </c>
      <c r="L464">
        <f>IF(LEN(TRIM(E464))=0,"",VLOOKUP(E464,Sheet2!$B$1:$E$19,3,FALSE))</f>
        <v>1108958</v>
      </c>
      <c r="M464">
        <f>IF(LEN(TRIM(E464))=0,"",VLOOKUP(E464,Sheet2!$B$1:$E$19,4,FALSE))+(F464-1)</f>
        <v>3779776</v>
      </c>
    </row>
    <row r="465" spans="1:17" s="1" customFormat="1" ht="15" customHeight="1" x14ac:dyDescent="0.25">
      <c r="A465" s="27" t="s">
        <v>174</v>
      </c>
      <c r="B465" s="27" t="s">
        <v>501</v>
      </c>
      <c r="C465" s="5" t="s">
        <v>1102</v>
      </c>
      <c r="D465" s="3" t="s">
        <v>454</v>
      </c>
      <c r="E465" s="3">
        <v>2170</v>
      </c>
      <c r="F465" s="28">
        <v>48</v>
      </c>
      <c r="G465" s="10">
        <v>44</v>
      </c>
      <c r="H465" s="3">
        <v>61</v>
      </c>
      <c r="I465" s="3">
        <v>57</v>
      </c>
      <c r="J465" t="str">
        <f t="shared" si="7"/>
        <v>http://www.badatelna.eu/reprodukce/?fondId=1073&amp;zaznamId=1108956&amp;reproId=3779640</v>
      </c>
      <c r="K465">
        <f>IF(LEN(TRIM(E465))=0,"",VLOOKUP(E465,Sheet2!$B$1:$E$19,2,FALSE))</f>
        <v>1073</v>
      </c>
      <c r="L465">
        <f>IF(LEN(TRIM(E465))=0,"",VLOOKUP(E465,Sheet2!$B$1:$E$19,3,FALSE))</f>
        <v>1108956</v>
      </c>
      <c r="M465">
        <f>IF(LEN(TRIM(E465))=0,"",VLOOKUP(E465,Sheet2!$B$1:$E$19,4,FALSE))+(F465-1)</f>
        <v>3779640</v>
      </c>
    </row>
    <row r="466" spans="1:17" s="1" customFormat="1" ht="15" customHeight="1" x14ac:dyDescent="0.25">
      <c r="A466" s="27" t="s">
        <v>174</v>
      </c>
      <c r="B466" s="27" t="s">
        <v>46</v>
      </c>
      <c r="C466" s="5" t="s">
        <v>1271</v>
      </c>
      <c r="D466" s="3" t="s">
        <v>454</v>
      </c>
      <c r="E466" s="3">
        <v>2170</v>
      </c>
      <c r="F466" s="28">
        <v>51</v>
      </c>
      <c r="G466" s="10">
        <v>47</v>
      </c>
      <c r="H466" s="3">
        <v>67</v>
      </c>
      <c r="I466" s="3">
        <v>63</v>
      </c>
      <c r="J466" t="str">
        <f t="shared" si="7"/>
        <v>http://www.badatelna.eu/reprodukce/?fondId=1073&amp;zaznamId=1108956&amp;reproId=3779643</v>
      </c>
      <c r="K466">
        <f>IF(LEN(TRIM(E466))=0,"",VLOOKUP(E466,Sheet2!$B$1:$E$19,2,FALSE))</f>
        <v>1073</v>
      </c>
      <c r="L466">
        <f>IF(LEN(TRIM(E466))=0,"",VLOOKUP(E466,Sheet2!$B$1:$E$19,3,FALSE))</f>
        <v>1108956</v>
      </c>
      <c r="M466">
        <f>IF(LEN(TRIM(E466))=0,"",VLOOKUP(E466,Sheet2!$B$1:$E$19,4,FALSE))+(F466-1)</f>
        <v>3779643</v>
      </c>
    </row>
    <row r="467" spans="1:17" s="1" customFormat="1" ht="15" customHeight="1" x14ac:dyDescent="0.25">
      <c r="A467" s="28" t="s">
        <v>174</v>
      </c>
      <c r="B467" s="28" t="s">
        <v>314</v>
      </c>
      <c r="C467" s="1">
        <v>1884</v>
      </c>
      <c r="D467" s="1" t="s">
        <v>454</v>
      </c>
      <c r="E467" s="1">
        <v>2172</v>
      </c>
      <c r="F467" s="28">
        <v>39</v>
      </c>
      <c r="G467" s="20" t="s">
        <v>3080</v>
      </c>
      <c r="H467" s="1">
        <v>42</v>
      </c>
      <c r="I467" s="1">
        <v>41</v>
      </c>
      <c r="J467" t="str">
        <f t="shared" si="7"/>
        <v>http://www.badatelna.eu/reprodukce/?fondId=1073&amp;zaznamId=1108958&amp;reproId=3779780</v>
      </c>
      <c r="K467">
        <f>IF(LEN(TRIM(E467))=0,"",VLOOKUP(E467,Sheet2!$B$1:$E$19,2,FALSE))</f>
        <v>1073</v>
      </c>
      <c r="L467">
        <f>IF(LEN(TRIM(E467))=0,"",VLOOKUP(E467,Sheet2!$B$1:$E$19,3,FALSE))</f>
        <v>1108958</v>
      </c>
      <c r="M467">
        <f>IF(LEN(TRIM(E467))=0,"",VLOOKUP(E467,Sheet2!$B$1:$E$19,4,FALSE))+(F467-1)</f>
        <v>3779780</v>
      </c>
    </row>
    <row r="468" spans="1:17" s="1" customFormat="1" ht="15" customHeight="1" x14ac:dyDescent="0.25">
      <c r="A468" s="27" t="s">
        <v>174</v>
      </c>
      <c r="B468" s="27" t="s">
        <v>314</v>
      </c>
      <c r="C468" s="5" t="s">
        <v>1270</v>
      </c>
      <c r="D468" s="3" t="s">
        <v>454</v>
      </c>
      <c r="E468" s="3">
        <v>2170</v>
      </c>
      <c r="F468" s="28">
        <v>50</v>
      </c>
      <c r="G468" s="10">
        <v>46</v>
      </c>
      <c r="H468" s="3">
        <v>67</v>
      </c>
      <c r="I468" s="3">
        <v>63</v>
      </c>
      <c r="J468" t="str">
        <f t="shared" si="7"/>
        <v>http://www.badatelna.eu/reprodukce/?fondId=1073&amp;zaznamId=1108956&amp;reproId=3779642</v>
      </c>
      <c r="K468">
        <f>IF(LEN(TRIM(E468))=0,"",VLOOKUP(E468,Sheet2!$B$1:$E$19,2,FALSE))</f>
        <v>1073</v>
      </c>
      <c r="L468">
        <f>IF(LEN(TRIM(E468))=0,"",VLOOKUP(E468,Sheet2!$B$1:$E$19,3,FALSE))</f>
        <v>1108956</v>
      </c>
      <c r="M468">
        <f>IF(LEN(TRIM(E468))=0,"",VLOOKUP(E468,Sheet2!$B$1:$E$19,4,FALSE))+(F468-1)</f>
        <v>3779642</v>
      </c>
      <c r="N468"/>
      <c r="O468"/>
      <c r="P468"/>
      <c r="Q468"/>
    </row>
    <row r="469" spans="1:17" s="1" customFormat="1" ht="15" customHeight="1" x14ac:dyDescent="0.25">
      <c r="A469" s="27" t="s">
        <v>174</v>
      </c>
      <c r="B469" s="27" t="s">
        <v>22</v>
      </c>
      <c r="C469" s="5" t="s">
        <v>1101</v>
      </c>
      <c r="D469" s="3" t="s">
        <v>454</v>
      </c>
      <c r="E469" s="3">
        <v>2170</v>
      </c>
      <c r="F469" s="31">
        <v>18</v>
      </c>
      <c r="G469" s="10">
        <v>14</v>
      </c>
      <c r="H469" s="3">
        <v>61</v>
      </c>
      <c r="I469" s="3">
        <v>57</v>
      </c>
      <c r="J469" t="str">
        <f t="shared" si="7"/>
        <v>http://www.badatelna.eu/reprodukce/?fondId=1073&amp;zaznamId=1108956&amp;reproId=3779610</v>
      </c>
      <c r="K469">
        <f>IF(LEN(TRIM(E469))=0,"",VLOOKUP(E469,Sheet2!$B$1:$E$19,2,FALSE))</f>
        <v>1073</v>
      </c>
      <c r="L469">
        <f>IF(LEN(TRIM(E469))=0,"",VLOOKUP(E469,Sheet2!$B$1:$E$19,3,FALSE))</f>
        <v>1108956</v>
      </c>
      <c r="M469">
        <f>IF(LEN(TRIM(E469))=0,"",VLOOKUP(E469,Sheet2!$B$1:$E$19,4,FALSE))+(F469-1)</f>
        <v>3779610</v>
      </c>
    </row>
    <row r="470" spans="1:17" s="1" customFormat="1" ht="15" customHeight="1" x14ac:dyDescent="0.25">
      <c r="A470" s="28" t="s">
        <v>174</v>
      </c>
      <c r="B470" s="28" t="s">
        <v>475</v>
      </c>
      <c r="C470" s="6" t="s">
        <v>1511</v>
      </c>
      <c r="D470" s="1" t="s">
        <v>454</v>
      </c>
      <c r="E470" s="1">
        <v>2172</v>
      </c>
      <c r="F470" s="28">
        <v>11</v>
      </c>
      <c r="G470" s="9">
        <v>10</v>
      </c>
      <c r="H470" s="1" t="s">
        <v>3073</v>
      </c>
      <c r="I470" s="1" t="s">
        <v>3073</v>
      </c>
      <c r="J470" t="str">
        <f t="shared" si="7"/>
        <v>http://www.badatelna.eu/reprodukce/?fondId=1073&amp;zaznamId=1108958&amp;reproId=3779752</v>
      </c>
      <c r="K470">
        <f>IF(LEN(TRIM(E470))=0,"",VLOOKUP(E470,Sheet2!$B$1:$E$19,2,FALSE))</f>
        <v>1073</v>
      </c>
      <c r="L470">
        <f>IF(LEN(TRIM(E470))=0,"",VLOOKUP(E470,Sheet2!$B$1:$E$19,3,FALSE))</f>
        <v>1108958</v>
      </c>
      <c r="M470">
        <f>IF(LEN(TRIM(E470))=0,"",VLOOKUP(E470,Sheet2!$B$1:$E$19,4,FALSE))+(F470-1)</f>
        <v>3779752</v>
      </c>
    </row>
    <row r="471" spans="1:17" s="1" customFormat="1" ht="15" customHeight="1" x14ac:dyDescent="0.25">
      <c r="A471" s="28" t="s">
        <v>174</v>
      </c>
      <c r="B471" s="28" t="s">
        <v>54</v>
      </c>
      <c r="C471" s="1">
        <v>1861</v>
      </c>
      <c r="D471" s="1" t="s">
        <v>2919</v>
      </c>
      <c r="E471" s="1">
        <v>998</v>
      </c>
      <c r="F471" s="28">
        <v>60</v>
      </c>
      <c r="G471" s="1">
        <v>57</v>
      </c>
      <c r="H471" s="1">
        <v>64</v>
      </c>
      <c r="I471" s="1">
        <v>61</v>
      </c>
      <c r="J471" t="str">
        <f t="shared" si="7"/>
        <v>http://www.badatelna.eu/reprodukce/?fondId=241&amp;zaznamId=1133738&amp;reproId=3885706</v>
      </c>
      <c r="K471">
        <f>IF(LEN(TRIM(E471))=0,"",VLOOKUP(E471,Sheet2!$B$1:$E$19,2,FALSE))</f>
        <v>241</v>
      </c>
      <c r="L471">
        <f>IF(LEN(TRIM(E471))=0,"",VLOOKUP(E471,Sheet2!$B$1:$E$19,3,FALSE))</f>
        <v>1133738</v>
      </c>
      <c r="M471">
        <f>IF(LEN(TRIM(E471))=0,"",VLOOKUP(E471,Sheet2!$B$1:$E$19,4,FALSE))+(F471-1)</f>
        <v>3885706</v>
      </c>
    </row>
    <row r="472" spans="1:17" s="1" customFormat="1" ht="15" customHeight="1" x14ac:dyDescent="0.25">
      <c r="A472" s="28" t="s">
        <v>174</v>
      </c>
      <c r="B472" s="28" t="s">
        <v>247</v>
      </c>
      <c r="C472" s="1">
        <v>1852</v>
      </c>
      <c r="D472" s="1" t="s">
        <v>2919</v>
      </c>
      <c r="E472" s="1">
        <v>998</v>
      </c>
      <c r="F472" s="28">
        <v>36</v>
      </c>
      <c r="G472" s="1">
        <v>34</v>
      </c>
      <c r="H472" s="1">
        <v>63</v>
      </c>
      <c r="I472" s="1">
        <v>60</v>
      </c>
      <c r="J472" t="str">
        <f t="shared" si="7"/>
        <v>http://www.badatelna.eu/reprodukce/?fondId=241&amp;zaznamId=1133738&amp;reproId=3885682</v>
      </c>
      <c r="K472">
        <f>IF(LEN(TRIM(E472))=0,"",VLOOKUP(E472,Sheet2!$B$1:$E$19,2,FALSE))</f>
        <v>241</v>
      </c>
      <c r="L472">
        <f>IF(LEN(TRIM(E472))=0,"",VLOOKUP(E472,Sheet2!$B$1:$E$19,3,FALSE))</f>
        <v>1133738</v>
      </c>
      <c r="M472">
        <f>IF(LEN(TRIM(E472))=0,"",VLOOKUP(E472,Sheet2!$B$1:$E$19,4,FALSE))+(F472-1)</f>
        <v>3885682</v>
      </c>
    </row>
    <row r="473" spans="1:17" s="1" customFormat="1" ht="15" customHeight="1" x14ac:dyDescent="0.25">
      <c r="A473" s="27" t="s">
        <v>174</v>
      </c>
      <c r="B473" s="27" t="s">
        <v>44</v>
      </c>
      <c r="C473" s="5" t="s">
        <v>1100</v>
      </c>
      <c r="D473" s="3" t="s">
        <v>454</v>
      </c>
      <c r="E473" s="3">
        <v>2170</v>
      </c>
      <c r="F473" s="28">
        <v>32</v>
      </c>
      <c r="G473" s="10">
        <v>28</v>
      </c>
      <c r="H473" s="3">
        <v>61</v>
      </c>
      <c r="I473" s="3">
        <v>57</v>
      </c>
      <c r="J473" t="str">
        <f t="shared" si="7"/>
        <v>http://www.badatelna.eu/reprodukce/?fondId=1073&amp;zaznamId=1108956&amp;reproId=3779624</v>
      </c>
      <c r="K473">
        <f>IF(LEN(TRIM(E473))=0,"",VLOOKUP(E473,Sheet2!$B$1:$E$19,2,FALSE))</f>
        <v>1073</v>
      </c>
      <c r="L473">
        <f>IF(LEN(TRIM(E473))=0,"",VLOOKUP(E473,Sheet2!$B$1:$E$19,3,FALSE))</f>
        <v>1108956</v>
      </c>
      <c r="M473">
        <f>IF(LEN(TRIM(E473))=0,"",VLOOKUP(E473,Sheet2!$B$1:$E$19,4,FALSE))+(F473-1)</f>
        <v>3779624</v>
      </c>
    </row>
    <row r="474" spans="1:17" s="1" customFormat="1" ht="15" customHeight="1" x14ac:dyDescent="0.25">
      <c r="A474" s="28" t="s">
        <v>174</v>
      </c>
      <c r="B474" s="28" t="s">
        <v>598</v>
      </c>
      <c r="C474" s="1">
        <v>1884</v>
      </c>
      <c r="D474" s="1" t="s">
        <v>454</v>
      </c>
      <c r="E474" s="1">
        <v>2172</v>
      </c>
      <c r="F474" s="28">
        <v>40</v>
      </c>
      <c r="G474" s="9" t="s">
        <v>2762</v>
      </c>
      <c r="H474" s="1">
        <v>42</v>
      </c>
      <c r="I474" s="1">
        <v>41</v>
      </c>
      <c r="J474" t="str">
        <f t="shared" si="7"/>
        <v>http://www.badatelna.eu/reprodukce/?fondId=1073&amp;zaznamId=1108958&amp;reproId=3779781</v>
      </c>
      <c r="K474">
        <f>IF(LEN(TRIM(E474))=0,"",VLOOKUP(E474,Sheet2!$B$1:$E$19,2,FALSE))</f>
        <v>1073</v>
      </c>
      <c r="L474">
        <f>IF(LEN(TRIM(E474))=0,"",VLOOKUP(E474,Sheet2!$B$1:$E$19,3,FALSE))</f>
        <v>1108958</v>
      </c>
      <c r="M474">
        <f>IF(LEN(TRIM(E474))=0,"",VLOOKUP(E474,Sheet2!$B$1:$E$19,4,FALSE))+(F474-1)</f>
        <v>3779781</v>
      </c>
    </row>
    <row r="475" spans="1:17" s="1" customFormat="1" ht="15" customHeight="1" x14ac:dyDescent="0.25">
      <c r="A475" s="27" t="s">
        <v>174</v>
      </c>
      <c r="B475" s="27" t="s">
        <v>407</v>
      </c>
      <c r="C475" s="5" t="s">
        <v>1269</v>
      </c>
      <c r="D475" s="3" t="s">
        <v>454</v>
      </c>
      <c r="E475" s="3">
        <v>2170</v>
      </c>
      <c r="F475" s="28">
        <v>54</v>
      </c>
      <c r="G475" s="10">
        <v>50</v>
      </c>
      <c r="H475" s="3">
        <v>67</v>
      </c>
      <c r="I475" s="3">
        <v>63</v>
      </c>
      <c r="J475" t="str">
        <f t="shared" si="7"/>
        <v>http://www.badatelna.eu/reprodukce/?fondId=1073&amp;zaznamId=1108956&amp;reproId=3779646</v>
      </c>
      <c r="K475">
        <f>IF(LEN(TRIM(E475))=0,"",VLOOKUP(E475,Sheet2!$B$1:$E$19,2,FALSE))</f>
        <v>1073</v>
      </c>
      <c r="L475">
        <f>IF(LEN(TRIM(E475))=0,"",VLOOKUP(E475,Sheet2!$B$1:$E$19,3,FALSE))</f>
        <v>1108956</v>
      </c>
      <c r="M475">
        <f>IF(LEN(TRIM(E475))=0,"",VLOOKUP(E475,Sheet2!$B$1:$E$19,4,FALSE))+(F475-1)</f>
        <v>3779646</v>
      </c>
    </row>
    <row r="476" spans="1:17" s="1" customFormat="1" ht="15" customHeight="1" x14ac:dyDescent="0.25">
      <c r="A476" s="28" t="s">
        <v>444</v>
      </c>
      <c r="B476" s="28" t="s">
        <v>33</v>
      </c>
      <c r="C476" s="6" t="s">
        <v>2709</v>
      </c>
      <c r="D476" s="1" t="s">
        <v>454</v>
      </c>
      <c r="E476" s="1">
        <v>2173</v>
      </c>
      <c r="F476" s="28">
        <v>225</v>
      </c>
      <c r="G476" s="9">
        <v>56</v>
      </c>
      <c r="H476" s="1" t="s">
        <v>3073</v>
      </c>
      <c r="I476" s="1" t="s">
        <v>3073</v>
      </c>
      <c r="J476" t="str">
        <f t="shared" si="7"/>
        <v>http://www.badatelna.eu/reprodukce/?fondId=1073&amp;zaznamId=1108959&amp;reproId=3780218</v>
      </c>
      <c r="K476">
        <f>IF(LEN(TRIM(E476))=0,"",VLOOKUP(E476,Sheet2!$B$1:$E$19,2,FALSE))</f>
        <v>1073</v>
      </c>
      <c r="L476">
        <f>IF(LEN(TRIM(E476))=0,"",VLOOKUP(E476,Sheet2!$B$1:$E$19,3,FALSE))</f>
        <v>1108959</v>
      </c>
      <c r="M476">
        <f>IF(LEN(TRIM(E476))=0,"",VLOOKUP(E476,Sheet2!$B$1:$E$19,4,FALSE))+(F476-1)</f>
        <v>3780218</v>
      </c>
    </row>
    <row r="477" spans="1:17" s="1" customFormat="1" ht="15" customHeight="1" x14ac:dyDescent="0.25">
      <c r="A477" s="28" t="s">
        <v>3106</v>
      </c>
      <c r="B477" s="28" t="s">
        <v>53</v>
      </c>
      <c r="C477" s="6" t="s">
        <v>2332</v>
      </c>
      <c r="D477" s="1" t="s">
        <v>454</v>
      </c>
      <c r="E477" s="1">
        <v>2173</v>
      </c>
      <c r="F477" s="31">
        <v>199</v>
      </c>
      <c r="G477" s="9">
        <v>8</v>
      </c>
      <c r="H477" s="1" t="s">
        <v>3073</v>
      </c>
      <c r="I477" s="1" t="s">
        <v>3073</v>
      </c>
      <c r="J477" t="str">
        <f t="shared" si="7"/>
        <v>http://www.badatelna.eu/reprodukce/?fondId=1073&amp;zaznamId=1108959&amp;reproId=3780192</v>
      </c>
      <c r="K477">
        <f>IF(LEN(TRIM(E477))=0,"",VLOOKUP(E477,Sheet2!$B$1:$E$19,2,FALSE))</f>
        <v>1073</v>
      </c>
      <c r="L477">
        <f>IF(LEN(TRIM(E477))=0,"",VLOOKUP(E477,Sheet2!$B$1:$E$19,3,FALSE))</f>
        <v>1108959</v>
      </c>
      <c r="M477">
        <f>IF(LEN(TRIM(E477))=0,"",VLOOKUP(E477,Sheet2!$B$1:$E$19,4,FALSE))+(F477-1)</f>
        <v>3780192</v>
      </c>
    </row>
    <row r="478" spans="1:17" s="1" customFormat="1" ht="15" customHeight="1" x14ac:dyDescent="0.25">
      <c r="A478" s="27" t="s">
        <v>502</v>
      </c>
      <c r="B478" s="27" t="s">
        <v>75</v>
      </c>
      <c r="C478" s="5" t="s">
        <v>1103</v>
      </c>
      <c r="D478" s="3" t="s">
        <v>454</v>
      </c>
      <c r="E478" s="3">
        <v>2170</v>
      </c>
      <c r="F478" s="28">
        <v>31</v>
      </c>
      <c r="G478" s="10">
        <v>27</v>
      </c>
      <c r="H478" s="3">
        <v>61</v>
      </c>
      <c r="I478" s="3">
        <v>57</v>
      </c>
      <c r="J478" t="str">
        <f t="shared" si="7"/>
        <v>http://www.badatelna.eu/reprodukce/?fondId=1073&amp;zaznamId=1108956&amp;reproId=3779623</v>
      </c>
      <c r="K478">
        <f>IF(LEN(TRIM(E478))=0,"",VLOOKUP(E478,Sheet2!$B$1:$E$19,2,FALSE))</f>
        <v>1073</v>
      </c>
      <c r="L478">
        <f>IF(LEN(TRIM(E478))=0,"",VLOOKUP(E478,Sheet2!$B$1:$E$19,3,FALSE))</f>
        <v>1108956</v>
      </c>
      <c r="M478">
        <f>IF(LEN(TRIM(E478))=0,"",VLOOKUP(E478,Sheet2!$B$1:$E$19,4,FALSE))+(F478-1)</f>
        <v>3779623</v>
      </c>
    </row>
    <row r="479" spans="1:17" s="1" customFormat="1" ht="15" customHeight="1" x14ac:dyDescent="0.25">
      <c r="A479" s="28" t="s">
        <v>790</v>
      </c>
      <c r="B479" s="28" t="s">
        <v>708</v>
      </c>
      <c r="C479" s="6" t="s">
        <v>1869</v>
      </c>
      <c r="D479" s="1" t="s">
        <v>454</v>
      </c>
      <c r="E479" s="1">
        <v>2172</v>
      </c>
      <c r="F479" s="28">
        <v>189</v>
      </c>
      <c r="G479" s="9">
        <v>179</v>
      </c>
      <c r="H479" s="1" t="s">
        <v>3073</v>
      </c>
      <c r="I479" s="1" t="s">
        <v>3073</v>
      </c>
      <c r="J479" t="str">
        <f t="shared" si="7"/>
        <v>http://www.badatelna.eu/reprodukce/?fondId=1073&amp;zaznamId=1108958&amp;reproId=3779930</v>
      </c>
      <c r="K479">
        <f>IF(LEN(TRIM(E479))=0,"",VLOOKUP(E479,Sheet2!$B$1:$E$19,2,FALSE))</f>
        <v>1073</v>
      </c>
      <c r="L479">
        <f>IF(LEN(TRIM(E479))=0,"",VLOOKUP(E479,Sheet2!$B$1:$E$19,3,FALSE))</f>
        <v>1108958</v>
      </c>
      <c r="M479">
        <f>IF(LEN(TRIM(E479))=0,"",VLOOKUP(E479,Sheet2!$B$1:$E$19,4,FALSE))+(F479-1)</f>
        <v>3779930</v>
      </c>
    </row>
    <row r="480" spans="1:17" s="1" customFormat="1" ht="15" customHeight="1" x14ac:dyDescent="0.25">
      <c r="A480" s="28" t="s">
        <v>458</v>
      </c>
      <c r="B480" s="28" t="s">
        <v>0</v>
      </c>
      <c r="C480" s="6" t="s">
        <v>2223</v>
      </c>
      <c r="D480" s="1" t="s">
        <v>454</v>
      </c>
      <c r="E480" s="1">
        <v>2173</v>
      </c>
      <c r="F480" s="28">
        <v>196</v>
      </c>
      <c r="G480" s="9">
        <v>1</v>
      </c>
      <c r="H480" s="1" t="s">
        <v>3073</v>
      </c>
      <c r="I480" s="1" t="s">
        <v>3073</v>
      </c>
      <c r="J480" t="str">
        <f t="shared" si="7"/>
        <v>http://www.badatelna.eu/reprodukce/?fondId=1073&amp;zaznamId=1108959&amp;reproId=3780189</v>
      </c>
      <c r="K480">
        <f>IF(LEN(TRIM(E480))=0,"",VLOOKUP(E480,Sheet2!$B$1:$E$19,2,FALSE))</f>
        <v>1073</v>
      </c>
      <c r="L480">
        <f>IF(LEN(TRIM(E480))=0,"",VLOOKUP(E480,Sheet2!$B$1:$E$19,3,FALSE))</f>
        <v>1108959</v>
      </c>
      <c r="M480">
        <f>IF(LEN(TRIM(E480))=0,"",VLOOKUP(E480,Sheet2!$B$1:$E$19,4,FALSE))+(F480-1)</f>
        <v>3780189</v>
      </c>
    </row>
    <row r="481" spans="1:17" s="1" customFormat="1" ht="15" customHeight="1" x14ac:dyDescent="0.25">
      <c r="A481" s="28" t="s">
        <v>2943</v>
      </c>
      <c r="B481" s="28" t="s">
        <v>0</v>
      </c>
      <c r="C481" s="1">
        <v>1848</v>
      </c>
      <c r="D481" s="1" t="s">
        <v>2919</v>
      </c>
      <c r="E481" s="1">
        <v>998</v>
      </c>
      <c r="F481" s="28">
        <v>17</v>
      </c>
      <c r="G481" s="1">
        <v>15</v>
      </c>
      <c r="H481" s="1">
        <v>65</v>
      </c>
      <c r="I481" s="1">
        <v>62</v>
      </c>
      <c r="J481" t="str">
        <f t="shared" si="7"/>
        <v>http://www.badatelna.eu/reprodukce/?fondId=241&amp;zaznamId=1133738&amp;reproId=3885663</v>
      </c>
      <c r="K481">
        <f>IF(LEN(TRIM(E481))=0,"",VLOOKUP(E481,Sheet2!$B$1:$E$19,2,FALSE))</f>
        <v>241</v>
      </c>
      <c r="L481">
        <f>IF(LEN(TRIM(E481))=0,"",VLOOKUP(E481,Sheet2!$B$1:$E$19,3,FALSE))</f>
        <v>1133738</v>
      </c>
      <c r="M481">
        <f>IF(LEN(TRIM(E481))=0,"",VLOOKUP(E481,Sheet2!$B$1:$E$19,4,FALSE))+(F481-1)</f>
        <v>3885663</v>
      </c>
    </row>
    <row r="482" spans="1:17" s="1" customFormat="1" ht="15" customHeight="1" x14ac:dyDescent="0.25">
      <c r="A482" s="28" t="s">
        <v>114</v>
      </c>
      <c r="B482" s="28" t="s">
        <v>575</v>
      </c>
      <c r="C482" s="1">
        <v>1853</v>
      </c>
      <c r="D482" s="1" t="s">
        <v>2919</v>
      </c>
      <c r="E482" s="1">
        <v>998</v>
      </c>
      <c r="F482" s="28">
        <v>36</v>
      </c>
      <c r="G482" s="1">
        <v>34</v>
      </c>
      <c r="H482" s="1">
        <v>65</v>
      </c>
      <c r="I482" s="1">
        <v>62</v>
      </c>
      <c r="J482" t="str">
        <f t="shared" si="7"/>
        <v>http://www.badatelna.eu/reprodukce/?fondId=241&amp;zaznamId=1133738&amp;reproId=3885682</v>
      </c>
      <c r="K482">
        <f>IF(LEN(TRIM(E482))=0,"",VLOOKUP(E482,Sheet2!$B$1:$E$19,2,FALSE))</f>
        <v>241</v>
      </c>
      <c r="L482">
        <f>IF(LEN(TRIM(E482))=0,"",VLOOKUP(E482,Sheet2!$B$1:$E$19,3,FALSE))</f>
        <v>1133738</v>
      </c>
      <c r="M482">
        <f>IF(LEN(TRIM(E482))=0,"",VLOOKUP(E482,Sheet2!$B$1:$E$19,4,FALSE))+(F482-1)</f>
        <v>3885682</v>
      </c>
    </row>
    <row r="483" spans="1:17" s="1" customFormat="1" ht="15" customHeight="1" x14ac:dyDescent="0.25">
      <c r="A483" s="28" t="s">
        <v>114</v>
      </c>
      <c r="B483" s="28" t="s">
        <v>25</v>
      </c>
      <c r="C483" s="6" t="s">
        <v>2312</v>
      </c>
      <c r="D483" s="1" t="s">
        <v>454</v>
      </c>
      <c r="E483" s="1">
        <v>2173</v>
      </c>
      <c r="F483" s="31">
        <v>199</v>
      </c>
      <c r="G483" s="9">
        <v>7</v>
      </c>
      <c r="H483" s="1" t="s">
        <v>3073</v>
      </c>
      <c r="I483" s="1" t="s">
        <v>3073</v>
      </c>
      <c r="J483" t="str">
        <f t="shared" si="7"/>
        <v>http://www.badatelna.eu/reprodukce/?fondId=1073&amp;zaznamId=1108959&amp;reproId=3780192</v>
      </c>
      <c r="K483">
        <f>IF(LEN(TRIM(E483))=0,"",VLOOKUP(E483,Sheet2!$B$1:$E$19,2,FALSE))</f>
        <v>1073</v>
      </c>
      <c r="L483">
        <f>IF(LEN(TRIM(E483))=0,"",VLOOKUP(E483,Sheet2!$B$1:$E$19,3,FALSE))</f>
        <v>1108959</v>
      </c>
      <c r="M483">
        <f>IF(LEN(TRIM(E483))=0,"",VLOOKUP(E483,Sheet2!$B$1:$E$19,4,FALSE))+(F483-1)</f>
        <v>3780192</v>
      </c>
      <c r="N483"/>
      <c r="O483"/>
      <c r="P483"/>
      <c r="Q483"/>
    </row>
    <row r="484" spans="1:17" s="1" customFormat="1" ht="15" customHeight="1" x14ac:dyDescent="0.25">
      <c r="A484" s="27" t="s">
        <v>114</v>
      </c>
      <c r="B484" s="27" t="s">
        <v>503</v>
      </c>
      <c r="C484" s="5" t="s">
        <v>1104</v>
      </c>
      <c r="D484" s="3" t="s">
        <v>454</v>
      </c>
      <c r="E484" s="3">
        <v>2170</v>
      </c>
      <c r="F484" s="37">
        <v>19</v>
      </c>
      <c r="G484" s="10">
        <v>15</v>
      </c>
      <c r="H484" s="3">
        <v>61</v>
      </c>
      <c r="I484" s="3">
        <v>57</v>
      </c>
      <c r="J484" t="str">
        <f t="shared" si="7"/>
        <v>http://www.badatelna.eu/reprodukce/?fondId=1073&amp;zaznamId=1108956&amp;reproId=3779611</v>
      </c>
      <c r="K484">
        <f>IF(LEN(TRIM(E484))=0,"",VLOOKUP(E484,Sheet2!$B$1:$E$19,2,FALSE))</f>
        <v>1073</v>
      </c>
      <c r="L484">
        <f>IF(LEN(TRIM(E484))=0,"",VLOOKUP(E484,Sheet2!$B$1:$E$19,3,FALSE))</f>
        <v>1108956</v>
      </c>
      <c r="M484">
        <f>IF(LEN(TRIM(E484))=0,"",VLOOKUP(E484,Sheet2!$B$1:$E$19,4,FALSE))+(F484-1)</f>
        <v>3779611</v>
      </c>
    </row>
    <row r="485" spans="1:17" s="1" customFormat="1" ht="15" customHeight="1" x14ac:dyDescent="0.25">
      <c r="A485" s="28" t="s">
        <v>114</v>
      </c>
      <c r="B485" s="28" t="s">
        <v>39</v>
      </c>
      <c r="C485" s="6" t="s">
        <v>2417</v>
      </c>
      <c r="D485" s="1" t="s">
        <v>454</v>
      </c>
      <c r="E485" s="1">
        <v>2173</v>
      </c>
      <c r="F485" s="28">
        <v>203</v>
      </c>
      <c r="G485" s="1">
        <v>16</v>
      </c>
      <c r="H485" s="1" t="s">
        <v>3073</v>
      </c>
      <c r="I485" s="1" t="s">
        <v>3073</v>
      </c>
      <c r="J485" t="str">
        <f t="shared" si="7"/>
        <v>http://www.badatelna.eu/reprodukce/?fondId=1073&amp;zaznamId=1108959&amp;reproId=3780196</v>
      </c>
      <c r="K485">
        <f>IF(LEN(TRIM(E485))=0,"",VLOOKUP(E485,Sheet2!$B$1:$E$19,2,FALSE))</f>
        <v>1073</v>
      </c>
      <c r="L485">
        <f>IF(LEN(TRIM(E485))=0,"",VLOOKUP(E485,Sheet2!$B$1:$E$19,3,FALSE))</f>
        <v>1108959</v>
      </c>
      <c r="M485">
        <f>IF(LEN(TRIM(E485))=0,"",VLOOKUP(E485,Sheet2!$B$1:$E$19,4,FALSE))+(F485-1)</f>
        <v>3780196</v>
      </c>
    </row>
    <row r="486" spans="1:17" s="1" customFormat="1" ht="15" customHeight="1" x14ac:dyDescent="0.25">
      <c r="A486" s="28" t="s">
        <v>114</v>
      </c>
      <c r="B486" s="28" t="s">
        <v>343</v>
      </c>
      <c r="C486" s="1">
        <v>1847</v>
      </c>
      <c r="D486" s="1" t="s">
        <v>2919</v>
      </c>
      <c r="E486" s="1">
        <v>998</v>
      </c>
      <c r="F486" s="28">
        <v>6</v>
      </c>
      <c r="G486" s="1">
        <v>4</v>
      </c>
      <c r="H486" s="1">
        <v>65</v>
      </c>
      <c r="I486" s="1">
        <v>62</v>
      </c>
      <c r="J486" t="str">
        <f t="shared" si="7"/>
        <v>http://www.badatelna.eu/reprodukce/?fondId=241&amp;zaznamId=1133738&amp;reproId=3885652</v>
      </c>
      <c r="K486">
        <f>IF(LEN(TRIM(E486))=0,"",VLOOKUP(E486,Sheet2!$B$1:$E$19,2,FALSE))</f>
        <v>241</v>
      </c>
      <c r="L486">
        <f>IF(LEN(TRIM(E486))=0,"",VLOOKUP(E486,Sheet2!$B$1:$E$19,3,FALSE))</f>
        <v>1133738</v>
      </c>
      <c r="M486">
        <f>IF(LEN(TRIM(E486))=0,"",VLOOKUP(E486,Sheet2!$B$1:$E$19,4,FALSE))+(F486-1)</f>
        <v>3885652</v>
      </c>
    </row>
    <row r="487" spans="1:17" s="1" customFormat="1" ht="15" customHeight="1" x14ac:dyDescent="0.25">
      <c r="A487" s="28" t="s">
        <v>114</v>
      </c>
      <c r="B487" s="28" t="s">
        <v>254</v>
      </c>
      <c r="C487" s="1">
        <v>1847</v>
      </c>
      <c r="D487" s="1" t="s">
        <v>2919</v>
      </c>
      <c r="E487" s="1">
        <v>998</v>
      </c>
      <c r="F487" s="28">
        <v>4</v>
      </c>
      <c r="G487" s="1">
        <v>2</v>
      </c>
      <c r="H487" s="1">
        <v>65</v>
      </c>
      <c r="I487" s="1">
        <v>62</v>
      </c>
      <c r="J487" t="str">
        <f t="shared" si="7"/>
        <v>http://www.badatelna.eu/reprodukce/?fondId=241&amp;zaznamId=1133738&amp;reproId=3885650</v>
      </c>
      <c r="K487">
        <f>IF(LEN(TRIM(E487))=0,"",VLOOKUP(E487,Sheet2!$B$1:$E$19,2,FALSE))</f>
        <v>241</v>
      </c>
      <c r="L487">
        <f>IF(LEN(TRIM(E487))=0,"",VLOOKUP(E487,Sheet2!$B$1:$E$19,3,FALSE))</f>
        <v>1133738</v>
      </c>
      <c r="M487">
        <f>IF(LEN(TRIM(E487))=0,"",VLOOKUP(E487,Sheet2!$B$1:$E$19,4,FALSE))+(F487-1)</f>
        <v>3885650</v>
      </c>
    </row>
    <row r="488" spans="1:17" s="1" customFormat="1" ht="15" customHeight="1" x14ac:dyDescent="0.25">
      <c r="A488" s="28" t="s">
        <v>114</v>
      </c>
      <c r="B488" s="28" t="s">
        <v>91</v>
      </c>
      <c r="C488" s="1">
        <v>1866</v>
      </c>
      <c r="D488" s="1" t="s">
        <v>2919</v>
      </c>
      <c r="E488" s="1">
        <v>999</v>
      </c>
      <c r="F488" s="28">
        <v>91</v>
      </c>
      <c r="G488" s="1">
        <v>12</v>
      </c>
      <c r="H488" s="1">
        <v>96</v>
      </c>
      <c r="I488" s="1">
        <v>155</v>
      </c>
      <c r="J488" t="str">
        <f t="shared" si="7"/>
        <v>http://www.badatelna.eu/reprodukce/?fondId=241&amp;zaznamId=1133739&amp;reproId=3885820</v>
      </c>
      <c r="K488">
        <f>IF(LEN(TRIM(E488))=0,"",VLOOKUP(E488,Sheet2!$B$1:$E$19,2,FALSE))</f>
        <v>241</v>
      </c>
      <c r="L488">
        <f>IF(LEN(TRIM(E488))=0,"",VLOOKUP(E488,Sheet2!$B$1:$E$19,3,FALSE))</f>
        <v>1133739</v>
      </c>
      <c r="M488">
        <f>IF(LEN(TRIM(E488))=0,"",VLOOKUP(E488,Sheet2!$B$1:$E$19,4,FALSE))+(F488-1)</f>
        <v>3885820</v>
      </c>
    </row>
    <row r="489" spans="1:17" s="1" customFormat="1" ht="15" customHeight="1" x14ac:dyDescent="0.25">
      <c r="A489" s="27" t="s">
        <v>114</v>
      </c>
      <c r="B489" s="27" t="s">
        <v>91</v>
      </c>
      <c r="C489" s="5" t="s">
        <v>1104</v>
      </c>
      <c r="D489" s="3" t="s">
        <v>454</v>
      </c>
      <c r="E489" s="3">
        <v>2170</v>
      </c>
      <c r="F489" s="37">
        <v>19</v>
      </c>
      <c r="G489" s="10">
        <v>15</v>
      </c>
      <c r="H489" s="3">
        <v>61</v>
      </c>
      <c r="I489" s="3">
        <v>57</v>
      </c>
      <c r="J489" t="str">
        <f t="shared" si="7"/>
        <v>http://www.badatelna.eu/reprodukce/?fondId=1073&amp;zaznamId=1108956&amp;reproId=3779611</v>
      </c>
      <c r="K489">
        <f>IF(LEN(TRIM(E489))=0,"",VLOOKUP(E489,Sheet2!$B$1:$E$19,2,FALSE))</f>
        <v>1073</v>
      </c>
      <c r="L489">
        <f>IF(LEN(TRIM(E489))=0,"",VLOOKUP(E489,Sheet2!$B$1:$E$19,3,FALSE))</f>
        <v>1108956</v>
      </c>
      <c r="M489">
        <f>IF(LEN(TRIM(E489))=0,"",VLOOKUP(E489,Sheet2!$B$1:$E$19,4,FALSE))+(F489-1)</f>
        <v>3779611</v>
      </c>
    </row>
    <row r="490" spans="1:17" s="1" customFormat="1" ht="15" customHeight="1" x14ac:dyDescent="0.25">
      <c r="A490" s="28" t="s">
        <v>791</v>
      </c>
      <c r="B490" s="28" t="s">
        <v>792</v>
      </c>
      <c r="C490" s="15">
        <v>11121</v>
      </c>
      <c r="D490" s="1" t="s">
        <v>454</v>
      </c>
      <c r="E490" s="1">
        <v>2172</v>
      </c>
      <c r="F490" s="28">
        <v>221</v>
      </c>
      <c r="G490" s="9">
        <v>203</v>
      </c>
      <c r="H490" s="1" t="s">
        <v>3073</v>
      </c>
      <c r="I490" s="1" t="s">
        <v>3073</v>
      </c>
      <c r="J490" t="str">
        <f t="shared" si="7"/>
        <v>http://www.badatelna.eu/reprodukce/?fondId=1073&amp;zaznamId=1108958&amp;reproId=3779962</v>
      </c>
      <c r="K490">
        <f>IF(LEN(TRIM(E490))=0,"",VLOOKUP(E490,Sheet2!$B$1:$E$19,2,FALSE))</f>
        <v>1073</v>
      </c>
      <c r="L490">
        <f>IF(LEN(TRIM(E490))=0,"",VLOOKUP(E490,Sheet2!$B$1:$E$19,3,FALSE))</f>
        <v>1108958</v>
      </c>
      <c r="M490">
        <f>IF(LEN(TRIM(E490))=0,"",VLOOKUP(E490,Sheet2!$B$1:$E$19,4,FALSE))+(F490-1)</f>
        <v>3779962</v>
      </c>
      <c r="N490"/>
      <c r="O490"/>
      <c r="P490"/>
      <c r="Q490"/>
    </row>
    <row r="491" spans="1:17" s="1" customFormat="1" ht="15" customHeight="1" x14ac:dyDescent="0.25">
      <c r="A491" s="28" t="s">
        <v>404</v>
      </c>
      <c r="B491" s="28" t="s">
        <v>25</v>
      </c>
      <c r="C491" s="6" t="s">
        <v>2624</v>
      </c>
      <c r="D491" s="1" t="s">
        <v>454</v>
      </c>
      <c r="E491" s="1">
        <v>2173</v>
      </c>
      <c r="F491" s="28">
        <v>220</v>
      </c>
      <c r="G491" s="9">
        <v>47</v>
      </c>
      <c r="H491" s="1" t="s">
        <v>3073</v>
      </c>
      <c r="I491" s="1" t="s">
        <v>3073</v>
      </c>
      <c r="J491" t="str">
        <f t="shared" si="7"/>
        <v>http://www.badatelna.eu/reprodukce/?fondId=1073&amp;zaznamId=1108959&amp;reproId=3780213</v>
      </c>
      <c r="K491">
        <f>IF(LEN(TRIM(E491))=0,"",VLOOKUP(E491,Sheet2!$B$1:$E$19,2,FALSE))</f>
        <v>1073</v>
      </c>
      <c r="L491">
        <f>IF(LEN(TRIM(E491))=0,"",VLOOKUP(E491,Sheet2!$B$1:$E$19,3,FALSE))</f>
        <v>1108959</v>
      </c>
      <c r="M491">
        <f>IF(LEN(TRIM(E491))=0,"",VLOOKUP(E491,Sheet2!$B$1:$E$19,4,FALSE))+(F491-1)</f>
        <v>3780213</v>
      </c>
    </row>
    <row r="492" spans="1:17" s="1" customFormat="1" ht="15" customHeight="1" x14ac:dyDescent="0.25">
      <c r="A492" s="28" t="s">
        <v>436</v>
      </c>
      <c r="B492" s="28" t="s">
        <v>0</v>
      </c>
      <c r="C492" s="6" t="s">
        <v>2688</v>
      </c>
      <c r="D492" s="1" t="s">
        <v>454</v>
      </c>
      <c r="E492" s="1">
        <v>2173</v>
      </c>
      <c r="F492" s="28">
        <v>224</v>
      </c>
      <c r="G492" s="9">
        <v>54</v>
      </c>
      <c r="H492" s="1" t="s">
        <v>3073</v>
      </c>
      <c r="I492" s="1" t="s">
        <v>3073</v>
      </c>
      <c r="J492" t="str">
        <f t="shared" si="7"/>
        <v>http://www.badatelna.eu/reprodukce/?fondId=1073&amp;zaznamId=1108959&amp;reproId=3780217</v>
      </c>
      <c r="K492">
        <f>IF(LEN(TRIM(E492))=0,"",VLOOKUP(E492,Sheet2!$B$1:$E$19,2,FALSE))</f>
        <v>1073</v>
      </c>
      <c r="L492">
        <f>IF(LEN(TRIM(E492))=0,"",VLOOKUP(E492,Sheet2!$B$1:$E$19,3,FALSE))</f>
        <v>1108959</v>
      </c>
      <c r="M492">
        <f>IF(LEN(TRIM(E492))=0,"",VLOOKUP(E492,Sheet2!$B$1:$E$19,4,FALSE))+(F492-1)</f>
        <v>3780217</v>
      </c>
      <c r="N492"/>
      <c r="O492"/>
      <c r="P492"/>
      <c r="Q492"/>
    </row>
    <row r="493" spans="1:17" s="1" customFormat="1" ht="15" customHeight="1" x14ac:dyDescent="0.25">
      <c r="A493" s="28" t="s">
        <v>3039</v>
      </c>
      <c r="B493" s="28" t="s">
        <v>3040</v>
      </c>
      <c r="C493" s="1">
        <v>1866</v>
      </c>
      <c r="D493" s="1" t="s">
        <v>2919</v>
      </c>
      <c r="E493" s="1">
        <v>999</v>
      </c>
      <c r="F493" s="28">
        <v>91</v>
      </c>
      <c r="G493" s="1">
        <v>12</v>
      </c>
      <c r="H493" s="1">
        <v>96</v>
      </c>
      <c r="I493" s="1">
        <v>155</v>
      </c>
      <c r="J493" t="str">
        <f t="shared" si="7"/>
        <v>http://www.badatelna.eu/reprodukce/?fondId=241&amp;zaznamId=1133739&amp;reproId=3885820</v>
      </c>
      <c r="K493">
        <f>IF(LEN(TRIM(E493))=0,"",VLOOKUP(E493,Sheet2!$B$1:$E$19,2,FALSE))</f>
        <v>241</v>
      </c>
      <c r="L493">
        <f>IF(LEN(TRIM(E493))=0,"",VLOOKUP(E493,Sheet2!$B$1:$E$19,3,FALSE))</f>
        <v>1133739</v>
      </c>
      <c r="M493">
        <f>IF(LEN(TRIM(E493))=0,"",VLOOKUP(E493,Sheet2!$B$1:$E$19,4,FALSE))+(F493-1)</f>
        <v>3885820</v>
      </c>
    </row>
    <row r="494" spans="1:17" s="1" customFormat="1" ht="15" customHeight="1" x14ac:dyDescent="0.25">
      <c r="A494" s="28" t="s">
        <v>279</v>
      </c>
      <c r="B494" s="28" t="s">
        <v>172</v>
      </c>
      <c r="C494" s="6" t="s">
        <v>2034</v>
      </c>
      <c r="D494" s="1" t="s">
        <v>454</v>
      </c>
      <c r="E494" s="1">
        <v>2173</v>
      </c>
      <c r="F494" s="28">
        <v>182</v>
      </c>
      <c r="G494" s="9">
        <v>10</v>
      </c>
      <c r="H494" s="1">
        <v>186</v>
      </c>
      <c r="I494" s="1">
        <v>414</v>
      </c>
      <c r="J494" t="str">
        <f t="shared" si="7"/>
        <v>http://www.badatelna.eu/reprodukce/?fondId=1073&amp;zaznamId=1108959&amp;reproId=3780175</v>
      </c>
      <c r="K494">
        <f>IF(LEN(TRIM(E494))=0,"",VLOOKUP(E494,Sheet2!$B$1:$E$19,2,FALSE))</f>
        <v>1073</v>
      </c>
      <c r="L494">
        <f>IF(LEN(TRIM(E494))=0,"",VLOOKUP(E494,Sheet2!$B$1:$E$19,3,FALSE))</f>
        <v>1108959</v>
      </c>
      <c r="M494">
        <f>IF(LEN(TRIM(E494))=0,"",VLOOKUP(E494,Sheet2!$B$1:$E$19,4,FALSE))+(F494-1)</f>
        <v>3780175</v>
      </c>
    </row>
    <row r="495" spans="1:17" s="1" customFormat="1" ht="15" customHeight="1" x14ac:dyDescent="0.25">
      <c r="A495" s="28" t="s">
        <v>2895</v>
      </c>
      <c r="B495" s="28" t="s">
        <v>172</v>
      </c>
      <c r="C495" s="6" t="s">
        <v>2034</v>
      </c>
      <c r="D495" s="1" t="s">
        <v>454</v>
      </c>
      <c r="E495" s="1">
        <v>2173</v>
      </c>
      <c r="F495" s="28">
        <v>211</v>
      </c>
      <c r="G495" s="9" t="s">
        <v>2760</v>
      </c>
      <c r="H495" s="1" t="s">
        <v>3073</v>
      </c>
      <c r="I495" s="1" t="s">
        <v>3073</v>
      </c>
      <c r="J495" t="str">
        <f t="shared" si="7"/>
        <v>http://www.badatelna.eu/reprodukce/?fondId=1073&amp;zaznamId=1108959&amp;reproId=3780204</v>
      </c>
      <c r="K495">
        <f>IF(LEN(TRIM(E495))=0,"",VLOOKUP(E495,Sheet2!$B$1:$E$19,2,FALSE))</f>
        <v>1073</v>
      </c>
      <c r="L495">
        <f>IF(LEN(TRIM(E495))=0,"",VLOOKUP(E495,Sheet2!$B$1:$E$19,3,FALSE))</f>
        <v>1108959</v>
      </c>
      <c r="M495">
        <f>IF(LEN(TRIM(E495))=0,"",VLOOKUP(E495,Sheet2!$B$1:$E$19,4,FALSE))+(F495-1)</f>
        <v>3780204</v>
      </c>
    </row>
    <row r="496" spans="1:17" s="1" customFormat="1" ht="15" customHeight="1" x14ac:dyDescent="0.25">
      <c r="A496" s="28" t="s">
        <v>793</v>
      </c>
      <c r="B496" s="28" t="s">
        <v>25</v>
      </c>
      <c r="C496" s="1">
        <v>1849</v>
      </c>
      <c r="D496" s="1" t="s">
        <v>2919</v>
      </c>
      <c r="E496" s="1">
        <v>998</v>
      </c>
      <c r="F496" s="28">
        <v>26</v>
      </c>
      <c r="G496" s="1">
        <v>24</v>
      </c>
      <c r="H496" s="1">
        <v>65</v>
      </c>
      <c r="I496" s="1">
        <v>62</v>
      </c>
      <c r="J496" t="str">
        <f t="shared" si="7"/>
        <v>http://www.badatelna.eu/reprodukce/?fondId=241&amp;zaznamId=1133738&amp;reproId=3885672</v>
      </c>
      <c r="K496">
        <f>IF(LEN(TRIM(E496))=0,"",VLOOKUP(E496,Sheet2!$B$1:$E$19,2,FALSE))</f>
        <v>241</v>
      </c>
      <c r="L496">
        <f>IF(LEN(TRIM(E496))=0,"",VLOOKUP(E496,Sheet2!$B$1:$E$19,3,FALSE))</f>
        <v>1133738</v>
      </c>
      <c r="M496">
        <f>IF(LEN(TRIM(E496))=0,"",VLOOKUP(E496,Sheet2!$B$1:$E$19,4,FALSE))+(F496-1)</f>
        <v>3885672</v>
      </c>
      <c r="N496"/>
      <c r="O496"/>
      <c r="P496"/>
      <c r="Q496"/>
    </row>
    <row r="497" spans="1:17" s="1" customFormat="1" ht="15" customHeight="1" x14ac:dyDescent="0.25">
      <c r="A497" s="29" t="s">
        <v>793</v>
      </c>
      <c r="B497" s="29" t="s">
        <v>289</v>
      </c>
      <c r="C497" s="17">
        <v>1882</v>
      </c>
      <c r="D497" s="17" t="s">
        <v>454</v>
      </c>
      <c r="E497" s="17">
        <v>2172</v>
      </c>
      <c r="F497" s="29">
        <v>27</v>
      </c>
      <c r="G497" s="20">
        <v>26</v>
      </c>
      <c r="H497" s="17">
        <v>30</v>
      </c>
      <c r="I497" s="17">
        <v>29</v>
      </c>
      <c r="J497" t="str">
        <f t="shared" si="7"/>
        <v>http://www.badatelna.eu/reprodukce/?fondId=1073&amp;zaznamId=1108958&amp;reproId=3779768</v>
      </c>
      <c r="K497">
        <f>IF(LEN(TRIM(E497))=0,"",VLOOKUP(E497,Sheet2!$B$1:$E$19,2,FALSE))</f>
        <v>1073</v>
      </c>
      <c r="L497">
        <f>IF(LEN(TRIM(E497))=0,"",VLOOKUP(E497,Sheet2!$B$1:$E$19,3,FALSE))</f>
        <v>1108958</v>
      </c>
      <c r="M497">
        <f>IF(LEN(TRIM(E497))=0,"",VLOOKUP(E497,Sheet2!$B$1:$E$19,4,FALSE))+(F497-1)</f>
        <v>3779768</v>
      </c>
    </row>
    <row r="498" spans="1:17" s="1" customFormat="1" ht="15" customHeight="1" x14ac:dyDescent="0.25">
      <c r="A498" s="28" t="s">
        <v>2946</v>
      </c>
      <c r="B498" s="28" t="s">
        <v>7</v>
      </c>
      <c r="C498" s="1">
        <v>1855</v>
      </c>
      <c r="D498" s="1" t="s">
        <v>2919</v>
      </c>
      <c r="E498" s="1">
        <v>998</v>
      </c>
      <c r="F498" s="28">
        <v>45</v>
      </c>
      <c r="G498" s="1">
        <v>43</v>
      </c>
      <c r="H498" s="1">
        <v>65</v>
      </c>
      <c r="I498" s="1">
        <v>62</v>
      </c>
      <c r="J498" t="str">
        <f t="shared" si="7"/>
        <v>http://www.badatelna.eu/reprodukce/?fondId=241&amp;zaznamId=1133738&amp;reproId=3885691</v>
      </c>
      <c r="K498">
        <f>IF(LEN(TRIM(E498))=0,"",VLOOKUP(E498,Sheet2!$B$1:$E$19,2,FALSE))</f>
        <v>241</v>
      </c>
      <c r="L498">
        <f>IF(LEN(TRIM(E498))=0,"",VLOOKUP(E498,Sheet2!$B$1:$E$19,3,FALSE))</f>
        <v>1133738</v>
      </c>
      <c r="M498">
        <f>IF(LEN(TRIM(E498))=0,"",VLOOKUP(E498,Sheet2!$B$1:$E$19,4,FALSE))+(F498-1)</f>
        <v>3885691</v>
      </c>
    </row>
    <row r="499" spans="1:17" s="1" customFormat="1" ht="15" customHeight="1" x14ac:dyDescent="0.25">
      <c r="A499" s="28" t="s">
        <v>112</v>
      </c>
      <c r="B499" s="28" t="s">
        <v>274</v>
      </c>
      <c r="C499" s="6" t="s">
        <v>2035</v>
      </c>
      <c r="D499" s="1" t="s">
        <v>454</v>
      </c>
      <c r="E499" s="1">
        <v>2173</v>
      </c>
      <c r="F499" s="28">
        <v>178</v>
      </c>
      <c r="G499" s="9">
        <v>3</v>
      </c>
      <c r="H499" s="1">
        <v>186</v>
      </c>
      <c r="I499" s="1">
        <v>414</v>
      </c>
      <c r="J499" t="str">
        <f t="shared" si="7"/>
        <v>http://www.badatelna.eu/reprodukce/?fondId=1073&amp;zaznamId=1108959&amp;reproId=3780171</v>
      </c>
      <c r="K499">
        <f>IF(LEN(TRIM(E499))=0,"",VLOOKUP(E499,Sheet2!$B$1:$E$19,2,FALSE))</f>
        <v>1073</v>
      </c>
      <c r="L499">
        <f>IF(LEN(TRIM(E499))=0,"",VLOOKUP(E499,Sheet2!$B$1:$E$19,3,FALSE))</f>
        <v>1108959</v>
      </c>
      <c r="M499">
        <f>IF(LEN(TRIM(E499))=0,"",VLOOKUP(E499,Sheet2!$B$1:$E$19,4,FALSE))+(F499-1)</f>
        <v>3780171</v>
      </c>
      <c r="N499"/>
      <c r="O499"/>
      <c r="P499"/>
      <c r="Q499"/>
    </row>
    <row r="500" spans="1:17" s="1" customFormat="1" ht="15" customHeight="1" x14ac:dyDescent="0.25">
      <c r="A500" s="28" t="s">
        <v>112</v>
      </c>
      <c r="B500" s="28" t="s">
        <v>39</v>
      </c>
      <c r="C500" s="6" t="s">
        <v>2313</v>
      </c>
      <c r="D500" s="1" t="s">
        <v>454</v>
      </c>
      <c r="E500" s="1">
        <v>2173</v>
      </c>
      <c r="F500" s="31">
        <v>199</v>
      </c>
      <c r="G500" s="9">
        <v>7</v>
      </c>
      <c r="H500" s="1" t="s">
        <v>3073</v>
      </c>
      <c r="I500" s="1" t="s">
        <v>3073</v>
      </c>
      <c r="J500" t="str">
        <f t="shared" si="7"/>
        <v>http://www.badatelna.eu/reprodukce/?fondId=1073&amp;zaznamId=1108959&amp;reproId=3780192</v>
      </c>
      <c r="K500">
        <f>IF(LEN(TRIM(E500))=0,"",VLOOKUP(E500,Sheet2!$B$1:$E$19,2,FALSE))</f>
        <v>1073</v>
      </c>
      <c r="L500">
        <f>IF(LEN(TRIM(E500))=0,"",VLOOKUP(E500,Sheet2!$B$1:$E$19,3,FALSE))</f>
        <v>1108959</v>
      </c>
      <c r="M500">
        <f>IF(LEN(TRIM(E500))=0,"",VLOOKUP(E500,Sheet2!$B$1:$E$19,4,FALSE))+(F500-1)</f>
        <v>3780192</v>
      </c>
    </row>
    <row r="501" spans="1:17" s="1" customFormat="1" ht="15" customHeight="1" x14ac:dyDescent="0.25">
      <c r="A501" s="28" t="s">
        <v>112</v>
      </c>
      <c r="B501" s="28" t="s">
        <v>39</v>
      </c>
      <c r="C501" s="6" t="s">
        <v>1993</v>
      </c>
      <c r="D501" s="1" t="s">
        <v>454</v>
      </c>
      <c r="E501" s="1">
        <v>2173</v>
      </c>
      <c r="F501" s="28">
        <v>182</v>
      </c>
      <c r="G501" s="9">
        <v>10</v>
      </c>
      <c r="H501" s="1">
        <v>186</v>
      </c>
      <c r="I501" s="1">
        <v>414</v>
      </c>
      <c r="J501" t="str">
        <f t="shared" si="7"/>
        <v>http://www.badatelna.eu/reprodukce/?fondId=1073&amp;zaznamId=1108959&amp;reproId=3780175</v>
      </c>
      <c r="K501">
        <f>IF(LEN(TRIM(E501))=0,"",VLOOKUP(E501,Sheet2!$B$1:$E$19,2,FALSE))</f>
        <v>1073</v>
      </c>
      <c r="L501">
        <f>IF(LEN(TRIM(E501))=0,"",VLOOKUP(E501,Sheet2!$B$1:$E$19,3,FALSE))</f>
        <v>1108959</v>
      </c>
      <c r="M501">
        <f>IF(LEN(TRIM(E501))=0,"",VLOOKUP(E501,Sheet2!$B$1:$E$19,4,FALSE))+(F501-1)</f>
        <v>3780175</v>
      </c>
      <c r="N501"/>
      <c r="O501"/>
      <c r="P501"/>
      <c r="Q501"/>
    </row>
    <row r="502" spans="1:17" s="1" customFormat="1" ht="15" customHeight="1" x14ac:dyDescent="0.25">
      <c r="A502" s="28" t="s">
        <v>112</v>
      </c>
      <c r="B502" s="28" t="s">
        <v>39</v>
      </c>
      <c r="C502" s="6" t="s">
        <v>2890</v>
      </c>
      <c r="D502" s="1" t="s">
        <v>454</v>
      </c>
      <c r="E502" s="1">
        <v>2173</v>
      </c>
      <c r="F502" s="28">
        <v>211</v>
      </c>
      <c r="G502" s="9" t="s">
        <v>2881</v>
      </c>
      <c r="H502" s="1" t="s">
        <v>3073</v>
      </c>
      <c r="I502" s="1" t="s">
        <v>3073</v>
      </c>
      <c r="J502" t="str">
        <f t="shared" si="7"/>
        <v>http://www.badatelna.eu/reprodukce/?fondId=1073&amp;zaznamId=1108959&amp;reproId=3780204</v>
      </c>
      <c r="K502">
        <f>IF(LEN(TRIM(E502))=0,"",VLOOKUP(E502,Sheet2!$B$1:$E$19,2,FALSE))</f>
        <v>1073</v>
      </c>
      <c r="L502">
        <f>IF(LEN(TRIM(E502))=0,"",VLOOKUP(E502,Sheet2!$B$1:$E$19,3,FALSE))</f>
        <v>1108959</v>
      </c>
      <c r="M502">
        <f>IF(LEN(TRIM(E502))=0,"",VLOOKUP(E502,Sheet2!$B$1:$E$19,4,FALSE))+(F502-1)</f>
        <v>3780204</v>
      </c>
    </row>
    <row r="503" spans="1:17" s="1" customFormat="1" ht="15" customHeight="1" x14ac:dyDescent="0.25">
      <c r="A503" s="28" t="s">
        <v>794</v>
      </c>
      <c r="B503" s="28" t="s">
        <v>2945</v>
      </c>
      <c r="C503" s="1">
        <v>1854</v>
      </c>
      <c r="D503" s="1" t="s">
        <v>2919</v>
      </c>
      <c r="E503" s="1">
        <v>998</v>
      </c>
      <c r="F503" s="28">
        <v>43</v>
      </c>
      <c r="G503" s="1">
        <v>41</v>
      </c>
      <c r="H503" s="1">
        <v>65</v>
      </c>
      <c r="I503" s="1">
        <v>62</v>
      </c>
      <c r="J503" t="str">
        <f t="shared" si="7"/>
        <v>http://www.badatelna.eu/reprodukce/?fondId=241&amp;zaznamId=1133738&amp;reproId=3885689</v>
      </c>
      <c r="K503">
        <f>IF(LEN(TRIM(E503))=0,"",VLOOKUP(E503,Sheet2!$B$1:$E$19,2,FALSE))</f>
        <v>241</v>
      </c>
      <c r="L503">
        <f>IF(LEN(TRIM(E503))=0,"",VLOOKUP(E503,Sheet2!$B$1:$E$19,3,FALSE))</f>
        <v>1133738</v>
      </c>
      <c r="M503">
        <f>IF(LEN(TRIM(E503))=0,"",VLOOKUP(E503,Sheet2!$B$1:$E$19,4,FALSE))+(F503-1)</f>
        <v>3885689</v>
      </c>
      <c r="N503"/>
      <c r="O503"/>
      <c r="P503"/>
      <c r="Q503"/>
    </row>
    <row r="504" spans="1:17" s="1" customFormat="1" ht="15" customHeight="1" x14ac:dyDescent="0.25">
      <c r="A504" s="28" t="s">
        <v>794</v>
      </c>
      <c r="B504" s="28" t="s">
        <v>795</v>
      </c>
      <c r="C504" s="6" t="s">
        <v>1761</v>
      </c>
      <c r="D504" s="1" t="s">
        <v>454</v>
      </c>
      <c r="E504" s="1">
        <v>2172</v>
      </c>
      <c r="F504" s="28">
        <v>143</v>
      </c>
      <c r="G504" s="9">
        <v>140</v>
      </c>
      <c r="H504" s="1">
        <v>145</v>
      </c>
      <c r="I504" s="1">
        <v>142</v>
      </c>
      <c r="J504" t="str">
        <f t="shared" si="7"/>
        <v>http://www.badatelna.eu/reprodukce/?fondId=1073&amp;zaznamId=1108958&amp;reproId=3779884</v>
      </c>
      <c r="K504">
        <f>IF(LEN(TRIM(E504))=0,"",VLOOKUP(E504,Sheet2!$B$1:$E$19,2,FALSE))</f>
        <v>1073</v>
      </c>
      <c r="L504">
        <f>IF(LEN(TRIM(E504))=0,"",VLOOKUP(E504,Sheet2!$B$1:$E$19,3,FALSE))</f>
        <v>1108958</v>
      </c>
      <c r="M504">
        <f>IF(LEN(TRIM(E504))=0,"",VLOOKUP(E504,Sheet2!$B$1:$E$19,4,FALSE))+(F504-1)</f>
        <v>3779884</v>
      </c>
    </row>
    <row r="505" spans="1:17" s="1" customFormat="1" ht="15" customHeight="1" x14ac:dyDescent="0.25">
      <c r="A505" s="28" t="s">
        <v>2944</v>
      </c>
      <c r="B505" s="28" t="s">
        <v>340</v>
      </c>
      <c r="C505" s="1">
        <v>1849</v>
      </c>
      <c r="D505" s="1" t="s">
        <v>2919</v>
      </c>
      <c r="E505" s="1">
        <v>998</v>
      </c>
      <c r="F505" s="28">
        <v>23</v>
      </c>
      <c r="G505" s="1">
        <v>21</v>
      </c>
      <c r="H505" s="1">
        <v>65</v>
      </c>
      <c r="I505" s="1">
        <v>62</v>
      </c>
      <c r="J505" t="str">
        <f t="shared" si="7"/>
        <v>http://www.badatelna.eu/reprodukce/?fondId=241&amp;zaznamId=1133738&amp;reproId=3885669</v>
      </c>
      <c r="K505">
        <f>IF(LEN(TRIM(E505))=0,"",VLOOKUP(E505,Sheet2!$B$1:$E$19,2,FALSE))</f>
        <v>241</v>
      </c>
      <c r="L505">
        <f>IF(LEN(TRIM(E505))=0,"",VLOOKUP(E505,Sheet2!$B$1:$E$19,3,FALSE))</f>
        <v>1133738</v>
      </c>
      <c r="M505">
        <f>IF(LEN(TRIM(E505))=0,"",VLOOKUP(E505,Sheet2!$B$1:$E$19,4,FALSE))+(F505-1)</f>
        <v>3885669</v>
      </c>
    </row>
    <row r="506" spans="1:17" s="1" customFormat="1" ht="15" customHeight="1" x14ac:dyDescent="0.25">
      <c r="A506" s="28" t="s">
        <v>796</v>
      </c>
      <c r="B506" s="28" t="s">
        <v>767</v>
      </c>
      <c r="C506" s="6" t="s">
        <v>1755</v>
      </c>
      <c r="D506" s="1" t="s">
        <v>454</v>
      </c>
      <c r="E506" s="1">
        <v>2172</v>
      </c>
      <c r="F506" s="28">
        <v>135</v>
      </c>
      <c r="G506" s="9" t="s">
        <v>3084</v>
      </c>
      <c r="H506" s="1">
        <v>138</v>
      </c>
      <c r="I506" s="1">
        <v>136</v>
      </c>
      <c r="J506" t="str">
        <f t="shared" si="7"/>
        <v>http://www.badatelna.eu/reprodukce/?fondId=1073&amp;zaznamId=1108958&amp;reproId=3779876</v>
      </c>
      <c r="K506">
        <f>IF(LEN(TRIM(E506))=0,"",VLOOKUP(E506,Sheet2!$B$1:$E$19,2,FALSE))</f>
        <v>1073</v>
      </c>
      <c r="L506">
        <f>IF(LEN(TRIM(E506))=0,"",VLOOKUP(E506,Sheet2!$B$1:$E$19,3,FALSE))</f>
        <v>1108958</v>
      </c>
      <c r="M506">
        <f>IF(LEN(TRIM(E506))=0,"",VLOOKUP(E506,Sheet2!$B$1:$E$19,4,FALSE))+(F506-1)</f>
        <v>3779876</v>
      </c>
    </row>
    <row r="507" spans="1:17" s="1" customFormat="1" ht="15" customHeight="1" x14ac:dyDescent="0.25">
      <c r="A507" s="28" t="s">
        <v>166</v>
      </c>
      <c r="B507" s="28" t="s">
        <v>165</v>
      </c>
      <c r="C507" s="6" t="s">
        <v>2399</v>
      </c>
      <c r="D507" s="1" t="s">
        <v>454</v>
      </c>
      <c r="E507" s="1">
        <v>2173</v>
      </c>
      <c r="F507" s="28">
        <v>202</v>
      </c>
      <c r="G507" s="9">
        <v>14</v>
      </c>
      <c r="H507" s="1" t="s">
        <v>3073</v>
      </c>
      <c r="I507" s="1" t="s">
        <v>3073</v>
      </c>
      <c r="J507" t="str">
        <f t="shared" si="7"/>
        <v>http://www.badatelna.eu/reprodukce/?fondId=1073&amp;zaznamId=1108959&amp;reproId=3780195</v>
      </c>
      <c r="K507">
        <f>IF(LEN(TRIM(E507))=0,"",VLOOKUP(E507,Sheet2!$B$1:$E$19,2,FALSE))</f>
        <v>1073</v>
      </c>
      <c r="L507">
        <f>IF(LEN(TRIM(E507))=0,"",VLOOKUP(E507,Sheet2!$B$1:$E$19,3,FALSE))</f>
        <v>1108959</v>
      </c>
      <c r="M507">
        <f>IF(LEN(TRIM(E507))=0,"",VLOOKUP(E507,Sheet2!$B$1:$E$19,4,FALSE))+(F507-1)</f>
        <v>3780195</v>
      </c>
    </row>
    <row r="508" spans="1:17" s="1" customFormat="1" ht="15" customHeight="1" x14ac:dyDescent="0.25">
      <c r="A508" s="28" t="s">
        <v>166</v>
      </c>
      <c r="B508" s="28" t="s">
        <v>0</v>
      </c>
      <c r="C508" s="6" t="s">
        <v>2418</v>
      </c>
      <c r="D508" s="1" t="s">
        <v>454</v>
      </c>
      <c r="E508" s="1">
        <v>2173</v>
      </c>
      <c r="F508" s="28">
        <v>203</v>
      </c>
      <c r="G508" s="1">
        <v>15</v>
      </c>
      <c r="H508" s="1" t="s">
        <v>3073</v>
      </c>
      <c r="I508" s="1" t="s">
        <v>3073</v>
      </c>
      <c r="J508" t="str">
        <f t="shared" si="7"/>
        <v>http://www.badatelna.eu/reprodukce/?fondId=1073&amp;zaznamId=1108959&amp;reproId=3780196</v>
      </c>
      <c r="K508">
        <f>IF(LEN(TRIM(E508))=0,"",VLOOKUP(E508,Sheet2!$B$1:$E$19,2,FALSE))</f>
        <v>1073</v>
      </c>
      <c r="L508">
        <f>IF(LEN(TRIM(E508))=0,"",VLOOKUP(E508,Sheet2!$B$1:$E$19,3,FALSE))</f>
        <v>1108959</v>
      </c>
      <c r="M508">
        <f>IF(LEN(TRIM(E508))=0,"",VLOOKUP(E508,Sheet2!$B$1:$E$19,4,FALSE))+(F508-1)</f>
        <v>3780196</v>
      </c>
    </row>
    <row r="509" spans="1:17" s="1" customFormat="1" ht="15" customHeight="1" x14ac:dyDescent="0.25">
      <c r="A509" s="28" t="s">
        <v>166</v>
      </c>
      <c r="B509" s="28" t="s">
        <v>0</v>
      </c>
      <c r="C509" s="6" t="s">
        <v>2589</v>
      </c>
      <c r="D509" s="1" t="s">
        <v>454</v>
      </c>
      <c r="E509" s="1">
        <v>2173</v>
      </c>
      <c r="F509" s="28">
        <v>216</v>
      </c>
      <c r="G509" s="9">
        <v>42</v>
      </c>
      <c r="H509" s="1" t="s">
        <v>3073</v>
      </c>
      <c r="I509" s="1" t="s">
        <v>3073</v>
      </c>
      <c r="J509" t="str">
        <f t="shared" si="7"/>
        <v>http://www.badatelna.eu/reprodukce/?fondId=1073&amp;zaznamId=1108959&amp;reproId=3780209</v>
      </c>
      <c r="K509">
        <f>IF(LEN(TRIM(E509))=0,"",VLOOKUP(E509,Sheet2!$B$1:$E$19,2,FALSE))</f>
        <v>1073</v>
      </c>
      <c r="L509">
        <f>IF(LEN(TRIM(E509))=0,"",VLOOKUP(E509,Sheet2!$B$1:$E$19,3,FALSE))</f>
        <v>1108959</v>
      </c>
      <c r="M509">
        <f>IF(LEN(TRIM(E509))=0,"",VLOOKUP(E509,Sheet2!$B$1:$E$19,4,FALSE))+(F509-1)</f>
        <v>3780209</v>
      </c>
    </row>
    <row r="510" spans="1:17" s="1" customFormat="1" ht="15" customHeight="1" x14ac:dyDescent="0.25">
      <c r="A510" s="28" t="s">
        <v>166</v>
      </c>
      <c r="B510" s="28" t="s">
        <v>179</v>
      </c>
      <c r="C510" s="6" t="s">
        <v>1604</v>
      </c>
      <c r="D510" s="1" t="s">
        <v>454</v>
      </c>
      <c r="E510" s="1">
        <v>2172</v>
      </c>
      <c r="F510" s="28">
        <v>75</v>
      </c>
      <c r="G510" s="9" t="s">
        <v>2766</v>
      </c>
      <c r="H510" s="1">
        <v>76</v>
      </c>
      <c r="I510" s="1">
        <v>75</v>
      </c>
      <c r="J510" t="str">
        <f t="shared" si="7"/>
        <v>http://www.badatelna.eu/reprodukce/?fondId=1073&amp;zaznamId=1108958&amp;reproId=3779816</v>
      </c>
      <c r="K510">
        <f>IF(LEN(TRIM(E510))=0,"",VLOOKUP(E510,Sheet2!$B$1:$E$19,2,FALSE))</f>
        <v>1073</v>
      </c>
      <c r="L510">
        <f>IF(LEN(TRIM(E510))=0,"",VLOOKUP(E510,Sheet2!$B$1:$E$19,3,FALSE))</f>
        <v>1108958</v>
      </c>
      <c r="M510">
        <f>IF(LEN(TRIM(E510))=0,"",VLOOKUP(E510,Sheet2!$B$1:$E$19,4,FALSE))+(F510-1)</f>
        <v>3779816</v>
      </c>
    </row>
    <row r="511" spans="1:17" s="1" customFormat="1" ht="15" customHeight="1" x14ac:dyDescent="0.25">
      <c r="A511" s="28" t="s">
        <v>166</v>
      </c>
      <c r="B511" s="28" t="s">
        <v>19</v>
      </c>
      <c r="C511" s="6" t="s">
        <v>2036</v>
      </c>
      <c r="D511" s="1" t="s">
        <v>454</v>
      </c>
      <c r="E511" s="1">
        <v>2173</v>
      </c>
      <c r="F511" s="28">
        <v>180</v>
      </c>
      <c r="G511" s="9">
        <v>7</v>
      </c>
      <c r="H511" s="1">
        <v>186</v>
      </c>
      <c r="I511" s="1">
        <v>414</v>
      </c>
      <c r="J511" t="str">
        <f t="shared" si="7"/>
        <v>http://www.badatelna.eu/reprodukce/?fondId=1073&amp;zaznamId=1108959&amp;reproId=3780173</v>
      </c>
      <c r="K511">
        <f>IF(LEN(TRIM(E511))=0,"",VLOOKUP(E511,Sheet2!$B$1:$E$19,2,FALSE))</f>
        <v>1073</v>
      </c>
      <c r="L511">
        <f>IF(LEN(TRIM(E511))=0,"",VLOOKUP(E511,Sheet2!$B$1:$E$19,3,FALSE))</f>
        <v>1108959</v>
      </c>
      <c r="M511">
        <f>IF(LEN(TRIM(E511))=0,"",VLOOKUP(E511,Sheet2!$B$1:$E$19,4,FALSE))+(F511-1)</f>
        <v>3780173</v>
      </c>
    </row>
    <row r="512" spans="1:17" s="1" customFormat="1" ht="15" customHeight="1" x14ac:dyDescent="0.25">
      <c r="A512" s="28" t="s">
        <v>504</v>
      </c>
      <c r="B512" s="28" t="s">
        <v>165</v>
      </c>
      <c r="C512" s="1">
        <v>1864</v>
      </c>
      <c r="D512" s="1" t="s">
        <v>2919</v>
      </c>
      <c r="E512" s="1">
        <v>999</v>
      </c>
      <c r="F512" s="28">
        <v>86</v>
      </c>
      <c r="G512" s="1">
        <v>7</v>
      </c>
      <c r="H512" s="1">
        <v>96</v>
      </c>
      <c r="I512" s="1">
        <v>155</v>
      </c>
      <c r="J512" t="str">
        <f t="shared" si="7"/>
        <v>http://www.badatelna.eu/reprodukce/?fondId=241&amp;zaznamId=1133739&amp;reproId=3885815</v>
      </c>
      <c r="K512">
        <f>IF(LEN(TRIM(E512))=0,"",VLOOKUP(E512,Sheet2!$B$1:$E$19,2,FALSE))</f>
        <v>241</v>
      </c>
      <c r="L512">
        <f>IF(LEN(TRIM(E512))=0,"",VLOOKUP(E512,Sheet2!$B$1:$E$19,3,FALSE))</f>
        <v>1133739</v>
      </c>
      <c r="M512">
        <f>IF(LEN(TRIM(E512))=0,"",VLOOKUP(E512,Sheet2!$B$1:$E$19,4,FALSE))+(F512-1)</f>
        <v>3885815</v>
      </c>
      <c r="N512" s="4"/>
      <c r="O512" s="4"/>
      <c r="P512" s="4"/>
      <c r="Q512" s="4"/>
    </row>
    <row r="513" spans="1:17" s="1" customFormat="1" ht="15" customHeight="1" x14ac:dyDescent="0.25">
      <c r="A513" s="27" t="s">
        <v>504</v>
      </c>
      <c r="B513" s="27" t="s">
        <v>165</v>
      </c>
      <c r="C513" s="5" t="s">
        <v>1109</v>
      </c>
      <c r="D513" s="3" t="s">
        <v>454</v>
      </c>
      <c r="E513" s="3">
        <v>2170</v>
      </c>
      <c r="F513" s="28">
        <v>34</v>
      </c>
      <c r="G513" s="10">
        <v>30</v>
      </c>
      <c r="H513" s="3">
        <v>61</v>
      </c>
      <c r="I513" s="3">
        <v>57</v>
      </c>
      <c r="J513" t="str">
        <f t="shared" si="7"/>
        <v>http://www.badatelna.eu/reprodukce/?fondId=1073&amp;zaznamId=1108956&amp;reproId=3779626</v>
      </c>
      <c r="K513">
        <f>IF(LEN(TRIM(E513))=0,"",VLOOKUP(E513,Sheet2!$B$1:$E$19,2,FALSE))</f>
        <v>1073</v>
      </c>
      <c r="L513">
        <f>IF(LEN(TRIM(E513))=0,"",VLOOKUP(E513,Sheet2!$B$1:$E$19,3,FALSE))</f>
        <v>1108956</v>
      </c>
      <c r="M513">
        <f>IF(LEN(TRIM(E513))=0,"",VLOOKUP(E513,Sheet2!$B$1:$E$19,4,FALSE))+(F513-1)</f>
        <v>3779626</v>
      </c>
    </row>
    <row r="514" spans="1:17" s="1" customFormat="1" ht="15" customHeight="1" x14ac:dyDescent="0.25">
      <c r="A514" s="28" t="s">
        <v>504</v>
      </c>
      <c r="B514" s="28" t="s">
        <v>507</v>
      </c>
      <c r="C514" s="1">
        <v>1884</v>
      </c>
      <c r="D514" s="1" t="s">
        <v>454</v>
      </c>
      <c r="E514" s="1">
        <v>2172</v>
      </c>
      <c r="F514" s="28">
        <v>40</v>
      </c>
      <c r="G514" s="9" t="s">
        <v>2762</v>
      </c>
      <c r="H514" s="1">
        <v>42</v>
      </c>
      <c r="I514" s="1">
        <v>41</v>
      </c>
      <c r="J514" t="str">
        <f t="shared" si="7"/>
        <v>http://www.badatelna.eu/reprodukce/?fondId=1073&amp;zaznamId=1108958&amp;reproId=3779781</v>
      </c>
      <c r="K514">
        <f>IF(LEN(TRIM(E514))=0,"",VLOOKUP(E514,Sheet2!$B$1:$E$19,2,FALSE))</f>
        <v>1073</v>
      </c>
      <c r="L514">
        <f>IF(LEN(TRIM(E514))=0,"",VLOOKUP(E514,Sheet2!$B$1:$E$19,3,FALSE))</f>
        <v>1108958</v>
      </c>
      <c r="M514">
        <f>IF(LEN(TRIM(E514))=0,"",VLOOKUP(E514,Sheet2!$B$1:$E$19,4,FALSE))+(F514-1)</f>
        <v>3779781</v>
      </c>
      <c r="N514" s="4"/>
      <c r="O514" s="4"/>
      <c r="P514" s="4"/>
      <c r="Q514" s="4"/>
    </row>
    <row r="515" spans="1:17" s="1" customFormat="1" ht="15" customHeight="1" x14ac:dyDescent="0.25">
      <c r="A515" s="28" t="s">
        <v>504</v>
      </c>
      <c r="B515" s="28" t="s">
        <v>562</v>
      </c>
      <c r="C515" s="6" t="s">
        <v>1824</v>
      </c>
      <c r="D515" s="1" t="s">
        <v>454</v>
      </c>
      <c r="E515" s="1">
        <v>2172</v>
      </c>
      <c r="F515" s="28">
        <v>169</v>
      </c>
      <c r="G515" s="9" t="s">
        <v>3091</v>
      </c>
      <c r="H515" s="1" t="s">
        <v>3073</v>
      </c>
      <c r="I515" s="1" t="s">
        <v>3073</v>
      </c>
      <c r="J515" t="str">
        <f t="shared" ref="J515:J578" si="8">IF(LEN(TRIM(E515))=0,"","http://www.badatelna.eu/reprodukce/?fondId="&amp;K515&amp;"&amp;zaznamId="&amp;L515&amp;"&amp;reproId="&amp;M515)</f>
        <v>http://www.badatelna.eu/reprodukce/?fondId=1073&amp;zaznamId=1108958&amp;reproId=3779910</v>
      </c>
      <c r="K515">
        <f>IF(LEN(TRIM(E515))=0,"",VLOOKUP(E515,Sheet2!$B$1:$E$19,2,FALSE))</f>
        <v>1073</v>
      </c>
      <c r="L515">
        <f>IF(LEN(TRIM(E515))=0,"",VLOOKUP(E515,Sheet2!$B$1:$E$19,3,FALSE))</f>
        <v>1108958</v>
      </c>
      <c r="M515">
        <f>IF(LEN(TRIM(E515))=0,"",VLOOKUP(E515,Sheet2!$B$1:$E$19,4,FALSE))+(F515-1)</f>
        <v>3779910</v>
      </c>
      <c r="N515" s="4"/>
      <c r="O515" s="4"/>
      <c r="P515" s="4"/>
      <c r="Q515" s="4"/>
    </row>
    <row r="516" spans="1:17" s="1" customFormat="1" ht="15" customHeight="1" x14ac:dyDescent="0.25">
      <c r="A516" s="28" t="s">
        <v>504</v>
      </c>
      <c r="B516" s="28" t="s">
        <v>172</v>
      </c>
      <c r="C516" s="1">
        <v>1855</v>
      </c>
      <c r="D516" s="1" t="s">
        <v>2919</v>
      </c>
      <c r="E516" s="1">
        <v>998</v>
      </c>
      <c r="F516" s="28">
        <v>46</v>
      </c>
      <c r="G516" s="1">
        <v>44</v>
      </c>
      <c r="H516" s="1">
        <v>65</v>
      </c>
      <c r="I516" s="1">
        <v>62</v>
      </c>
      <c r="J516" t="str">
        <f t="shared" si="8"/>
        <v>http://www.badatelna.eu/reprodukce/?fondId=241&amp;zaznamId=1133738&amp;reproId=3885692</v>
      </c>
      <c r="K516">
        <f>IF(LEN(TRIM(E516))=0,"",VLOOKUP(E516,Sheet2!$B$1:$E$19,2,FALSE))</f>
        <v>241</v>
      </c>
      <c r="L516">
        <f>IF(LEN(TRIM(E516))=0,"",VLOOKUP(E516,Sheet2!$B$1:$E$19,3,FALSE))</f>
        <v>1133738</v>
      </c>
      <c r="M516">
        <f>IF(LEN(TRIM(E516))=0,"",VLOOKUP(E516,Sheet2!$B$1:$E$19,4,FALSE))+(F516-1)</f>
        <v>3885692</v>
      </c>
      <c r="N516"/>
      <c r="O516"/>
      <c r="P516"/>
      <c r="Q516"/>
    </row>
    <row r="517" spans="1:17" s="1" customFormat="1" ht="15" customHeight="1" x14ac:dyDescent="0.25">
      <c r="A517" s="28" t="s">
        <v>504</v>
      </c>
      <c r="B517" s="28" t="s">
        <v>0</v>
      </c>
      <c r="C517" s="6" t="s">
        <v>1811</v>
      </c>
      <c r="D517" s="1" t="s">
        <v>454</v>
      </c>
      <c r="E517" s="1">
        <v>2172</v>
      </c>
      <c r="F517" s="28">
        <v>166</v>
      </c>
      <c r="G517" s="9">
        <v>159</v>
      </c>
      <c r="H517" s="1" t="s">
        <v>3073</v>
      </c>
      <c r="I517" s="1" t="s">
        <v>3073</v>
      </c>
      <c r="J517" t="str">
        <f t="shared" si="8"/>
        <v>http://www.badatelna.eu/reprodukce/?fondId=1073&amp;zaznamId=1108958&amp;reproId=3779907</v>
      </c>
      <c r="K517">
        <f>IF(LEN(TRIM(E517))=0,"",VLOOKUP(E517,Sheet2!$B$1:$E$19,2,FALSE))</f>
        <v>1073</v>
      </c>
      <c r="L517">
        <f>IF(LEN(TRIM(E517))=0,"",VLOOKUP(E517,Sheet2!$B$1:$E$19,3,FALSE))</f>
        <v>1108958</v>
      </c>
      <c r="M517">
        <f>IF(LEN(TRIM(E517))=0,"",VLOOKUP(E517,Sheet2!$B$1:$E$19,4,FALSE))+(F517-1)</f>
        <v>3779907</v>
      </c>
      <c r="N517" s="4"/>
      <c r="O517" s="4"/>
      <c r="P517" s="4"/>
      <c r="Q517" s="4"/>
    </row>
    <row r="518" spans="1:17" s="1" customFormat="1" ht="15" customHeight="1" x14ac:dyDescent="0.25">
      <c r="A518" s="28" t="s">
        <v>504</v>
      </c>
      <c r="B518" s="28" t="s">
        <v>551</v>
      </c>
      <c r="C518" s="6" t="s">
        <v>1775</v>
      </c>
      <c r="D518" s="1" t="s">
        <v>454</v>
      </c>
      <c r="E518" s="1">
        <v>2172</v>
      </c>
      <c r="F518" s="28">
        <v>148</v>
      </c>
      <c r="G518" s="9">
        <v>144</v>
      </c>
      <c r="H518" s="1">
        <v>149</v>
      </c>
      <c r="I518" s="1">
        <v>145</v>
      </c>
      <c r="J518" t="str">
        <f t="shared" si="8"/>
        <v>http://www.badatelna.eu/reprodukce/?fondId=1073&amp;zaznamId=1108958&amp;reproId=3779889</v>
      </c>
      <c r="K518">
        <f>IF(LEN(TRIM(E518))=0,"",VLOOKUP(E518,Sheet2!$B$1:$E$19,2,FALSE))</f>
        <v>1073</v>
      </c>
      <c r="L518">
        <f>IF(LEN(TRIM(E518))=0,"",VLOOKUP(E518,Sheet2!$B$1:$E$19,3,FALSE))</f>
        <v>1108958</v>
      </c>
      <c r="M518">
        <f>IF(LEN(TRIM(E518))=0,"",VLOOKUP(E518,Sheet2!$B$1:$E$19,4,FALSE))+(F518-1)</f>
        <v>3779889</v>
      </c>
      <c r="N518" s="4"/>
      <c r="O518" s="4"/>
      <c r="P518" s="4"/>
      <c r="Q518" s="4"/>
    </row>
    <row r="519" spans="1:17" s="1" customFormat="1" ht="15" customHeight="1" x14ac:dyDescent="0.25">
      <c r="A519" s="27" t="s">
        <v>504</v>
      </c>
      <c r="B519" s="27" t="s">
        <v>25</v>
      </c>
      <c r="C519" s="5" t="s">
        <v>1106</v>
      </c>
      <c r="D519" s="3" t="s">
        <v>454</v>
      </c>
      <c r="E519" s="3">
        <v>2170</v>
      </c>
      <c r="F519" s="28">
        <v>45</v>
      </c>
      <c r="G519" s="10">
        <v>41</v>
      </c>
      <c r="H519" s="3">
        <v>61</v>
      </c>
      <c r="I519" s="3">
        <v>57</v>
      </c>
      <c r="J519" t="str">
        <f t="shared" si="8"/>
        <v>http://www.badatelna.eu/reprodukce/?fondId=1073&amp;zaznamId=1108956&amp;reproId=3779637</v>
      </c>
      <c r="K519">
        <f>IF(LEN(TRIM(E519))=0,"",VLOOKUP(E519,Sheet2!$B$1:$E$19,2,FALSE))</f>
        <v>1073</v>
      </c>
      <c r="L519">
        <f>IF(LEN(TRIM(E519))=0,"",VLOOKUP(E519,Sheet2!$B$1:$E$19,3,FALSE))</f>
        <v>1108956</v>
      </c>
      <c r="M519">
        <f>IF(LEN(TRIM(E519))=0,"",VLOOKUP(E519,Sheet2!$B$1:$E$19,4,FALSE))+(F519-1)</f>
        <v>3779637</v>
      </c>
    </row>
    <row r="520" spans="1:17" s="1" customFormat="1" ht="15" customHeight="1" x14ac:dyDescent="0.25">
      <c r="A520" s="28" t="s">
        <v>504</v>
      </c>
      <c r="B520" s="28" t="s">
        <v>797</v>
      </c>
      <c r="C520" s="6" t="s">
        <v>1707</v>
      </c>
      <c r="D520" s="1" t="s">
        <v>454</v>
      </c>
      <c r="E520" s="1">
        <v>2172</v>
      </c>
      <c r="F520" s="28">
        <v>122</v>
      </c>
      <c r="G520" s="9">
        <v>121</v>
      </c>
      <c r="H520" s="1">
        <v>123</v>
      </c>
      <c r="I520" s="1">
        <v>122</v>
      </c>
      <c r="J520" t="str">
        <f t="shared" si="8"/>
        <v>http://www.badatelna.eu/reprodukce/?fondId=1073&amp;zaznamId=1108958&amp;reproId=3779863</v>
      </c>
      <c r="K520">
        <f>IF(LEN(TRIM(E520))=0,"",VLOOKUP(E520,Sheet2!$B$1:$E$19,2,FALSE))</f>
        <v>1073</v>
      </c>
      <c r="L520">
        <f>IF(LEN(TRIM(E520))=0,"",VLOOKUP(E520,Sheet2!$B$1:$E$19,3,FALSE))</f>
        <v>1108958</v>
      </c>
      <c r="M520">
        <f>IF(LEN(TRIM(E520))=0,"",VLOOKUP(E520,Sheet2!$B$1:$E$19,4,FALSE))+(F520-1)</f>
        <v>3779863</v>
      </c>
      <c r="N520"/>
      <c r="O520"/>
      <c r="P520"/>
      <c r="Q520"/>
    </row>
    <row r="521" spans="1:17" s="1" customFormat="1" ht="15" customHeight="1" x14ac:dyDescent="0.25">
      <c r="A521" s="28" t="s">
        <v>504</v>
      </c>
      <c r="B521" s="28" t="s">
        <v>53</v>
      </c>
      <c r="C521" s="6" t="s">
        <v>1957</v>
      </c>
      <c r="D521" s="1" t="s">
        <v>454</v>
      </c>
      <c r="E521" s="1">
        <v>2172</v>
      </c>
      <c r="F521" s="28">
        <v>235</v>
      </c>
      <c r="G521" s="9">
        <v>215</v>
      </c>
      <c r="H521" s="1" t="s">
        <v>3073</v>
      </c>
      <c r="I521" s="1" t="s">
        <v>3073</v>
      </c>
      <c r="J521" t="str">
        <f t="shared" si="8"/>
        <v>http://www.badatelna.eu/reprodukce/?fondId=1073&amp;zaznamId=1108958&amp;reproId=3779976</v>
      </c>
      <c r="K521">
        <f>IF(LEN(TRIM(E521))=0,"",VLOOKUP(E521,Sheet2!$B$1:$E$19,2,FALSE))</f>
        <v>1073</v>
      </c>
      <c r="L521">
        <f>IF(LEN(TRIM(E521))=0,"",VLOOKUP(E521,Sheet2!$B$1:$E$19,3,FALSE))</f>
        <v>1108958</v>
      </c>
      <c r="M521">
        <f>IF(LEN(TRIM(E521))=0,"",VLOOKUP(E521,Sheet2!$B$1:$E$19,4,FALSE))+(F521-1)</f>
        <v>3779976</v>
      </c>
    </row>
    <row r="522" spans="1:17" s="1" customFormat="1" ht="15" customHeight="1" x14ac:dyDescent="0.25">
      <c r="A522" s="27" t="s">
        <v>504</v>
      </c>
      <c r="B522" s="27" t="s">
        <v>505</v>
      </c>
      <c r="C522" s="5" t="s">
        <v>1105</v>
      </c>
      <c r="D522" s="3" t="s">
        <v>454</v>
      </c>
      <c r="E522" s="3">
        <v>2170</v>
      </c>
      <c r="F522" s="28">
        <v>53</v>
      </c>
      <c r="G522" s="10">
        <v>49</v>
      </c>
      <c r="H522" s="3">
        <v>61</v>
      </c>
      <c r="I522" s="3">
        <v>57</v>
      </c>
      <c r="J522" t="str">
        <f t="shared" si="8"/>
        <v>http://www.badatelna.eu/reprodukce/?fondId=1073&amp;zaznamId=1108956&amp;reproId=3779645</v>
      </c>
      <c r="K522">
        <f>IF(LEN(TRIM(E522))=0,"",VLOOKUP(E522,Sheet2!$B$1:$E$19,2,FALSE))</f>
        <v>1073</v>
      </c>
      <c r="L522">
        <f>IF(LEN(TRIM(E522))=0,"",VLOOKUP(E522,Sheet2!$B$1:$E$19,3,FALSE))</f>
        <v>1108956</v>
      </c>
      <c r="M522">
        <f>IF(LEN(TRIM(E522))=0,"",VLOOKUP(E522,Sheet2!$B$1:$E$19,4,FALSE))+(F522-1)</f>
        <v>3779645</v>
      </c>
      <c r="N522" s="4"/>
      <c r="O522" s="4"/>
      <c r="P522" s="4"/>
      <c r="Q522" s="4"/>
    </row>
    <row r="523" spans="1:17" s="1" customFormat="1" ht="15" customHeight="1" x14ac:dyDescent="0.25">
      <c r="A523" s="27" t="s">
        <v>504</v>
      </c>
      <c r="B523" s="27" t="s">
        <v>249</v>
      </c>
      <c r="C523" s="5" t="s">
        <v>1111</v>
      </c>
      <c r="D523" s="3" t="s">
        <v>454</v>
      </c>
      <c r="E523" s="3">
        <v>2170</v>
      </c>
      <c r="F523" s="28">
        <v>11</v>
      </c>
      <c r="G523" s="10">
        <v>7</v>
      </c>
      <c r="H523" s="3">
        <v>61</v>
      </c>
      <c r="I523" s="3">
        <v>57</v>
      </c>
      <c r="J523" t="str">
        <f t="shared" si="8"/>
        <v>http://www.badatelna.eu/reprodukce/?fondId=1073&amp;zaznamId=1108956&amp;reproId=3779603</v>
      </c>
      <c r="K523">
        <f>IF(LEN(TRIM(E523))=0,"",VLOOKUP(E523,Sheet2!$B$1:$E$19,2,FALSE))</f>
        <v>1073</v>
      </c>
      <c r="L523">
        <f>IF(LEN(TRIM(E523))=0,"",VLOOKUP(E523,Sheet2!$B$1:$E$19,3,FALSE))</f>
        <v>1108956</v>
      </c>
      <c r="M523">
        <f>IF(LEN(TRIM(E523))=0,"",VLOOKUP(E523,Sheet2!$B$1:$E$19,4,FALSE))+(F523-1)</f>
        <v>3779603</v>
      </c>
      <c r="N523" s="4"/>
      <c r="O523" s="4"/>
      <c r="P523" s="4"/>
      <c r="Q523" s="4"/>
    </row>
    <row r="524" spans="1:17" s="1" customFormat="1" ht="15" customHeight="1" x14ac:dyDescent="0.25">
      <c r="A524" s="28" t="s">
        <v>504</v>
      </c>
      <c r="B524" s="28" t="s">
        <v>3038</v>
      </c>
      <c r="C524" s="1">
        <v>1864</v>
      </c>
      <c r="D524" s="1" t="s">
        <v>2919</v>
      </c>
      <c r="E524" s="1">
        <v>999</v>
      </c>
      <c r="F524" s="28">
        <v>85</v>
      </c>
      <c r="G524" s="1">
        <v>6</v>
      </c>
      <c r="H524" s="1">
        <v>96</v>
      </c>
      <c r="I524" s="1">
        <v>155</v>
      </c>
      <c r="J524" t="str">
        <f t="shared" si="8"/>
        <v>http://www.badatelna.eu/reprodukce/?fondId=241&amp;zaznamId=1133739&amp;reproId=3885814</v>
      </c>
      <c r="K524">
        <f>IF(LEN(TRIM(E524))=0,"",VLOOKUP(E524,Sheet2!$B$1:$E$19,2,FALSE))</f>
        <v>241</v>
      </c>
      <c r="L524">
        <f>IF(LEN(TRIM(E524))=0,"",VLOOKUP(E524,Sheet2!$B$1:$E$19,3,FALSE))</f>
        <v>1133739</v>
      </c>
      <c r="M524">
        <f>IF(LEN(TRIM(E524))=0,"",VLOOKUP(E524,Sheet2!$B$1:$E$19,4,FALSE))+(F524-1)</f>
        <v>3885814</v>
      </c>
      <c r="N524"/>
      <c r="O524"/>
      <c r="P524"/>
      <c r="Q524"/>
    </row>
    <row r="525" spans="1:17" s="1" customFormat="1" ht="15" customHeight="1" x14ac:dyDescent="0.25">
      <c r="A525" s="27" t="s">
        <v>504</v>
      </c>
      <c r="B525" s="27" t="s">
        <v>306</v>
      </c>
      <c r="C525" s="5" t="s">
        <v>1112</v>
      </c>
      <c r="D525" s="3" t="s">
        <v>454</v>
      </c>
      <c r="E525" s="3">
        <v>2170</v>
      </c>
      <c r="F525" s="28">
        <v>12</v>
      </c>
      <c r="G525" s="10">
        <v>8</v>
      </c>
      <c r="H525" s="3">
        <v>61</v>
      </c>
      <c r="I525" s="3">
        <v>57</v>
      </c>
      <c r="J525" t="str">
        <f t="shared" si="8"/>
        <v>http://www.badatelna.eu/reprodukce/?fondId=1073&amp;zaznamId=1108956&amp;reproId=3779604</v>
      </c>
      <c r="K525">
        <f>IF(LEN(TRIM(E525))=0,"",VLOOKUP(E525,Sheet2!$B$1:$E$19,2,FALSE))</f>
        <v>1073</v>
      </c>
      <c r="L525">
        <f>IF(LEN(TRIM(E525))=0,"",VLOOKUP(E525,Sheet2!$B$1:$E$19,3,FALSE))</f>
        <v>1108956</v>
      </c>
      <c r="M525">
        <f>IF(LEN(TRIM(E525))=0,"",VLOOKUP(E525,Sheet2!$B$1:$E$19,4,FALSE))+(F525-1)</f>
        <v>3779604</v>
      </c>
      <c r="N525" s="4"/>
      <c r="O525" s="4"/>
      <c r="P525" s="4"/>
      <c r="Q525" s="4"/>
    </row>
    <row r="526" spans="1:17" s="1" customFormat="1" ht="15" customHeight="1" x14ac:dyDescent="0.25">
      <c r="A526" s="28" t="s">
        <v>504</v>
      </c>
      <c r="B526" s="28" t="s">
        <v>542</v>
      </c>
      <c r="C526" s="1">
        <v>1860</v>
      </c>
      <c r="D526" s="1" t="s">
        <v>2919</v>
      </c>
      <c r="E526" s="1">
        <v>998</v>
      </c>
      <c r="F526" s="28">
        <v>58</v>
      </c>
      <c r="G526" s="1">
        <v>55</v>
      </c>
      <c r="H526" s="1">
        <v>65</v>
      </c>
      <c r="I526" s="1">
        <v>62</v>
      </c>
      <c r="J526" t="str">
        <f t="shared" si="8"/>
        <v>http://www.badatelna.eu/reprodukce/?fondId=241&amp;zaznamId=1133738&amp;reproId=3885704</v>
      </c>
      <c r="K526">
        <f>IF(LEN(TRIM(E526))=0,"",VLOOKUP(E526,Sheet2!$B$1:$E$19,2,FALSE))</f>
        <v>241</v>
      </c>
      <c r="L526">
        <f>IF(LEN(TRIM(E526))=0,"",VLOOKUP(E526,Sheet2!$B$1:$E$19,3,FALSE))</f>
        <v>1133738</v>
      </c>
      <c r="M526">
        <f>IF(LEN(TRIM(E526))=0,"",VLOOKUP(E526,Sheet2!$B$1:$E$19,4,FALSE))+(F526-1)</f>
        <v>3885704</v>
      </c>
    </row>
    <row r="527" spans="1:17" s="1" customFormat="1" ht="15" customHeight="1" x14ac:dyDescent="0.25">
      <c r="A527" s="28" t="s">
        <v>504</v>
      </c>
      <c r="B527" s="28" t="s">
        <v>254</v>
      </c>
      <c r="C527" s="6" t="s">
        <v>1792</v>
      </c>
      <c r="D527" s="1" t="s">
        <v>454</v>
      </c>
      <c r="E527" s="1">
        <v>2172</v>
      </c>
      <c r="F527" s="28">
        <v>159</v>
      </c>
      <c r="G527" s="9">
        <v>153</v>
      </c>
      <c r="H527" s="1">
        <v>160</v>
      </c>
      <c r="I527" s="1">
        <v>154</v>
      </c>
      <c r="J527" t="str">
        <f t="shared" si="8"/>
        <v>http://www.badatelna.eu/reprodukce/?fondId=1073&amp;zaznamId=1108958&amp;reproId=3779900</v>
      </c>
      <c r="K527">
        <f>IF(LEN(TRIM(E527))=0,"",VLOOKUP(E527,Sheet2!$B$1:$E$19,2,FALSE))</f>
        <v>1073</v>
      </c>
      <c r="L527">
        <f>IF(LEN(TRIM(E527))=0,"",VLOOKUP(E527,Sheet2!$B$1:$E$19,3,FALSE))</f>
        <v>1108958</v>
      </c>
      <c r="M527">
        <f>IF(LEN(TRIM(E527))=0,"",VLOOKUP(E527,Sheet2!$B$1:$E$19,4,FALSE))+(F527-1)</f>
        <v>3779900</v>
      </c>
    </row>
    <row r="528" spans="1:17" s="1" customFormat="1" ht="15" customHeight="1" x14ac:dyDescent="0.25">
      <c r="A528" s="28" t="s">
        <v>504</v>
      </c>
      <c r="B528" s="28" t="s">
        <v>469</v>
      </c>
      <c r="C528" s="1">
        <v>1863</v>
      </c>
      <c r="D528" s="1" t="s">
        <v>2919</v>
      </c>
      <c r="E528" s="1">
        <v>999</v>
      </c>
      <c r="F528" s="28">
        <v>84</v>
      </c>
      <c r="G528" s="1">
        <v>5</v>
      </c>
      <c r="H528" s="1">
        <v>96</v>
      </c>
      <c r="I528" s="1">
        <v>155</v>
      </c>
      <c r="J528" t="str">
        <f t="shared" si="8"/>
        <v>http://www.badatelna.eu/reprodukce/?fondId=241&amp;zaznamId=1133739&amp;reproId=3885813</v>
      </c>
      <c r="K528">
        <f>IF(LEN(TRIM(E528))=0,"",VLOOKUP(E528,Sheet2!$B$1:$E$19,2,FALSE))</f>
        <v>241</v>
      </c>
      <c r="L528">
        <f>IF(LEN(TRIM(E528))=0,"",VLOOKUP(E528,Sheet2!$B$1:$E$19,3,FALSE))</f>
        <v>1133739</v>
      </c>
      <c r="M528">
        <f>IF(LEN(TRIM(E528))=0,"",VLOOKUP(E528,Sheet2!$B$1:$E$19,4,FALSE))+(F528-1)</f>
        <v>3885813</v>
      </c>
    </row>
    <row r="529" spans="1:17" s="1" customFormat="1" ht="15" customHeight="1" x14ac:dyDescent="0.25">
      <c r="A529" s="27" t="s">
        <v>504</v>
      </c>
      <c r="B529" s="27" t="s">
        <v>469</v>
      </c>
      <c r="C529" s="5" t="s">
        <v>1107</v>
      </c>
      <c r="D529" s="3" t="s">
        <v>454</v>
      </c>
      <c r="E529" s="3">
        <v>2170</v>
      </c>
      <c r="F529" s="28">
        <v>9</v>
      </c>
      <c r="G529" s="10">
        <v>5</v>
      </c>
      <c r="H529" s="3">
        <v>61</v>
      </c>
      <c r="I529" s="3">
        <v>57</v>
      </c>
      <c r="J529" t="str">
        <f t="shared" si="8"/>
        <v>http://www.badatelna.eu/reprodukce/?fondId=1073&amp;zaznamId=1108956&amp;reproId=3779601</v>
      </c>
      <c r="K529">
        <f>IF(LEN(TRIM(E529))=0,"",VLOOKUP(E529,Sheet2!$B$1:$E$19,2,FALSE))</f>
        <v>1073</v>
      </c>
      <c r="L529">
        <f>IF(LEN(TRIM(E529))=0,"",VLOOKUP(E529,Sheet2!$B$1:$E$19,3,FALSE))</f>
        <v>1108956</v>
      </c>
      <c r="M529">
        <f>IF(LEN(TRIM(E529))=0,"",VLOOKUP(E529,Sheet2!$B$1:$E$19,4,FALSE))+(F529-1)</f>
        <v>3779601</v>
      </c>
    </row>
    <row r="530" spans="1:17" s="1" customFormat="1" ht="15" customHeight="1" x14ac:dyDescent="0.25">
      <c r="A530" s="28" t="s">
        <v>504</v>
      </c>
      <c r="B530" s="28" t="s">
        <v>486</v>
      </c>
      <c r="C530" s="1">
        <v>1866</v>
      </c>
      <c r="D530" s="1" t="s">
        <v>2919</v>
      </c>
      <c r="E530" s="1">
        <v>999</v>
      </c>
      <c r="F530" s="28">
        <v>93</v>
      </c>
      <c r="G530" s="1">
        <v>14</v>
      </c>
      <c r="H530" s="1">
        <v>96</v>
      </c>
      <c r="I530" s="1">
        <v>155</v>
      </c>
      <c r="J530" t="str">
        <f t="shared" si="8"/>
        <v>http://www.badatelna.eu/reprodukce/?fondId=241&amp;zaznamId=1133739&amp;reproId=3885822</v>
      </c>
      <c r="K530">
        <f>IF(LEN(TRIM(E530))=0,"",VLOOKUP(E530,Sheet2!$B$1:$E$19,2,FALSE))</f>
        <v>241</v>
      </c>
      <c r="L530">
        <f>IF(LEN(TRIM(E530))=0,"",VLOOKUP(E530,Sheet2!$B$1:$E$19,3,FALSE))</f>
        <v>1133739</v>
      </c>
      <c r="M530">
        <f>IF(LEN(TRIM(E530))=0,"",VLOOKUP(E530,Sheet2!$B$1:$E$19,4,FALSE))+(F530-1)</f>
        <v>3885822</v>
      </c>
    </row>
    <row r="531" spans="1:17" s="1" customFormat="1" ht="15" customHeight="1" x14ac:dyDescent="0.25">
      <c r="A531" s="27" t="s">
        <v>504</v>
      </c>
      <c r="B531" s="27" t="s">
        <v>486</v>
      </c>
      <c r="C531" s="5" t="s">
        <v>1108</v>
      </c>
      <c r="D531" s="3" t="s">
        <v>454</v>
      </c>
      <c r="E531" s="3">
        <v>2170</v>
      </c>
      <c r="F531" s="37">
        <v>21</v>
      </c>
      <c r="G531" s="10">
        <v>17</v>
      </c>
      <c r="H531" s="3">
        <v>61</v>
      </c>
      <c r="I531" s="3">
        <v>57</v>
      </c>
      <c r="J531" t="str">
        <f t="shared" si="8"/>
        <v>http://www.badatelna.eu/reprodukce/?fondId=1073&amp;zaznamId=1108956&amp;reproId=3779613</v>
      </c>
      <c r="K531">
        <f>IF(LEN(TRIM(E531))=0,"",VLOOKUP(E531,Sheet2!$B$1:$E$19,2,FALSE))</f>
        <v>1073</v>
      </c>
      <c r="L531">
        <f>IF(LEN(TRIM(E531))=0,"",VLOOKUP(E531,Sheet2!$B$1:$E$19,3,FALSE))</f>
        <v>1108956</v>
      </c>
      <c r="M531">
        <f>IF(LEN(TRIM(E531))=0,"",VLOOKUP(E531,Sheet2!$B$1:$E$19,4,FALSE))+(F531-1)</f>
        <v>3779613</v>
      </c>
    </row>
    <row r="532" spans="1:17" s="1" customFormat="1" ht="15" customHeight="1" x14ac:dyDescent="0.25">
      <c r="A532" s="28" t="s">
        <v>504</v>
      </c>
      <c r="B532" s="28" t="s">
        <v>289</v>
      </c>
      <c r="C532" s="1">
        <v>1893</v>
      </c>
      <c r="D532" s="1" t="s">
        <v>454</v>
      </c>
      <c r="E532" s="1">
        <v>2172</v>
      </c>
      <c r="F532" s="28">
        <v>88</v>
      </c>
      <c r="G532" s="9">
        <v>87</v>
      </c>
      <c r="H532" s="1">
        <v>89</v>
      </c>
      <c r="I532" s="1">
        <v>88</v>
      </c>
      <c r="J532" t="str">
        <f t="shared" si="8"/>
        <v>http://www.badatelna.eu/reprodukce/?fondId=1073&amp;zaznamId=1108958&amp;reproId=3779829</v>
      </c>
      <c r="K532">
        <f>IF(LEN(TRIM(E532))=0,"",VLOOKUP(E532,Sheet2!$B$1:$E$19,2,FALSE))</f>
        <v>1073</v>
      </c>
      <c r="L532">
        <f>IF(LEN(TRIM(E532))=0,"",VLOOKUP(E532,Sheet2!$B$1:$E$19,3,FALSE))</f>
        <v>1108958</v>
      </c>
      <c r="M532">
        <f>IF(LEN(TRIM(E532))=0,"",VLOOKUP(E532,Sheet2!$B$1:$E$19,4,FALSE))+(F532-1)</f>
        <v>3779829</v>
      </c>
      <c r="N532"/>
      <c r="O532"/>
      <c r="P532"/>
      <c r="Q532"/>
    </row>
    <row r="533" spans="1:17" s="1" customFormat="1" ht="15" customHeight="1" x14ac:dyDescent="0.25">
      <c r="A533" s="27" t="s">
        <v>504</v>
      </c>
      <c r="B533" s="27" t="s">
        <v>500</v>
      </c>
      <c r="C533" s="5" t="s">
        <v>1110</v>
      </c>
      <c r="D533" s="3" t="s">
        <v>454</v>
      </c>
      <c r="E533" s="3">
        <v>2170</v>
      </c>
      <c r="F533" s="28">
        <v>49</v>
      </c>
      <c r="G533" s="10">
        <v>45</v>
      </c>
      <c r="H533" s="3">
        <v>61</v>
      </c>
      <c r="I533" s="3">
        <v>57</v>
      </c>
      <c r="J533" t="str">
        <f t="shared" si="8"/>
        <v>http://www.badatelna.eu/reprodukce/?fondId=1073&amp;zaznamId=1108956&amp;reproId=3779641</v>
      </c>
      <c r="K533">
        <f>IF(LEN(TRIM(E533))=0,"",VLOOKUP(E533,Sheet2!$B$1:$E$19,2,FALSE))</f>
        <v>1073</v>
      </c>
      <c r="L533">
        <f>IF(LEN(TRIM(E533))=0,"",VLOOKUP(E533,Sheet2!$B$1:$E$19,3,FALSE))</f>
        <v>1108956</v>
      </c>
      <c r="M533">
        <f>IF(LEN(TRIM(E533))=0,"",VLOOKUP(E533,Sheet2!$B$1:$E$19,4,FALSE))+(F533-1)</f>
        <v>3779641</v>
      </c>
      <c r="N533"/>
      <c r="O533"/>
      <c r="P533"/>
      <c r="Q533"/>
    </row>
    <row r="534" spans="1:17" s="1" customFormat="1" ht="15" customHeight="1" x14ac:dyDescent="0.25">
      <c r="A534" s="28" t="s">
        <v>798</v>
      </c>
      <c r="B534" s="28" t="s">
        <v>799</v>
      </c>
      <c r="C534" s="15">
        <v>10200</v>
      </c>
      <c r="D534" s="1" t="s">
        <v>454</v>
      </c>
      <c r="E534" s="1">
        <v>2172</v>
      </c>
      <c r="F534" s="28">
        <v>211</v>
      </c>
      <c r="G534" s="9">
        <v>195</v>
      </c>
      <c r="H534" s="1" t="s">
        <v>3073</v>
      </c>
      <c r="I534" s="1" t="s">
        <v>3073</v>
      </c>
      <c r="J534" t="str">
        <f t="shared" si="8"/>
        <v>http://www.badatelna.eu/reprodukce/?fondId=1073&amp;zaznamId=1108958&amp;reproId=3779952</v>
      </c>
      <c r="K534">
        <f>IF(LEN(TRIM(E534))=0,"",VLOOKUP(E534,Sheet2!$B$1:$E$19,2,FALSE))</f>
        <v>1073</v>
      </c>
      <c r="L534">
        <f>IF(LEN(TRIM(E534))=0,"",VLOOKUP(E534,Sheet2!$B$1:$E$19,3,FALSE))</f>
        <v>1108958</v>
      </c>
      <c r="M534">
        <f>IF(LEN(TRIM(E534))=0,"",VLOOKUP(E534,Sheet2!$B$1:$E$19,4,FALSE))+(F534-1)</f>
        <v>3779952</v>
      </c>
      <c r="N534"/>
      <c r="O534"/>
      <c r="P534"/>
      <c r="Q534"/>
    </row>
    <row r="535" spans="1:17" s="1" customFormat="1" ht="15" customHeight="1" x14ac:dyDescent="0.25">
      <c r="A535" s="29" t="s">
        <v>2951</v>
      </c>
      <c r="B535" s="28" t="s">
        <v>443</v>
      </c>
      <c r="C535" s="1">
        <v>1861</v>
      </c>
      <c r="D535" s="1" t="s">
        <v>2919</v>
      </c>
      <c r="E535" s="1">
        <v>998</v>
      </c>
      <c r="F535" s="28">
        <v>60</v>
      </c>
      <c r="G535" s="1">
        <v>57</v>
      </c>
      <c r="H535" s="1">
        <v>66</v>
      </c>
      <c r="I535" s="1">
        <v>63</v>
      </c>
      <c r="J535" t="str">
        <f t="shared" si="8"/>
        <v>http://www.badatelna.eu/reprodukce/?fondId=241&amp;zaznamId=1133738&amp;reproId=3885706</v>
      </c>
      <c r="K535">
        <f>IF(LEN(TRIM(E535))=0,"",VLOOKUP(E535,Sheet2!$B$1:$E$19,2,FALSE))</f>
        <v>241</v>
      </c>
      <c r="L535">
        <f>IF(LEN(TRIM(E535))=0,"",VLOOKUP(E535,Sheet2!$B$1:$E$19,3,FALSE))</f>
        <v>1133738</v>
      </c>
      <c r="M535">
        <f>IF(LEN(TRIM(E535))=0,"",VLOOKUP(E535,Sheet2!$B$1:$E$19,4,FALSE))+(F535-1)</f>
        <v>3885706</v>
      </c>
      <c r="N535"/>
      <c r="O535"/>
      <c r="P535"/>
      <c r="Q535"/>
    </row>
    <row r="536" spans="1:17" s="1" customFormat="1" ht="15" customHeight="1" x14ac:dyDescent="0.25">
      <c r="A536" s="28" t="s">
        <v>800</v>
      </c>
      <c r="B536" s="28" t="s">
        <v>801</v>
      </c>
      <c r="C536" s="6" t="s">
        <v>1654</v>
      </c>
      <c r="D536" s="1" t="s">
        <v>454</v>
      </c>
      <c r="E536" s="1">
        <v>2172</v>
      </c>
      <c r="F536" s="28">
        <v>101</v>
      </c>
      <c r="G536" s="9">
        <v>100</v>
      </c>
      <c r="H536" s="1">
        <v>103</v>
      </c>
      <c r="I536" s="1">
        <v>102</v>
      </c>
      <c r="J536" t="str">
        <f t="shared" si="8"/>
        <v>http://www.badatelna.eu/reprodukce/?fondId=1073&amp;zaznamId=1108958&amp;reproId=3779842</v>
      </c>
      <c r="K536">
        <f>IF(LEN(TRIM(E536))=0,"",VLOOKUP(E536,Sheet2!$B$1:$E$19,2,FALSE))</f>
        <v>1073</v>
      </c>
      <c r="L536">
        <f>IF(LEN(TRIM(E536))=0,"",VLOOKUP(E536,Sheet2!$B$1:$E$19,3,FALSE))</f>
        <v>1108958</v>
      </c>
      <c r="M536">
        <f>IF(LEN(TRIM(E536))=0,"",VLOOKUP(E536,Sheet2!$B$1:$E$19,4,FALSE))+(F536-1)</f>
        <v>3779842</v>
      </c>
      <c r="N536"/>
      <c r="O536"/>
      <c r="P536"/>
      <c r="Q536"/>
    </row>
    <row r="537" spans="1:17" s="1" customFormat="1" ht="15" customHeight="1" x14ac:dyDescent="0.25">
      <c r="A537" s="28" t="s">
        <v>800</v>
      </c>
      <c r="B537" s="28" t="s">
        <v>802</v>
      </c>
      <c r="C537" s="6" t="s">
        <v>1636</v>
      </c>
      <c r="D537" s="1" t="s">
        <v>454</v>
      </c>
      <c r="E537" s="1">
        <v>2172</v>
      </c>
      <c r="F537" s="28">
        <v>93</v>
      </c>
      <c r="G537" s="9">
        <v>92</v>
      </c>
      <c r="H537" s="1">
        <v>96</v>
      </c>
      <c r="I537" s="1">
        <v>95</v>
      </c>
      <c r="J537" t="str">
        <f t="shared" si="8"/>
        <v>http://www.badatelna.eu/reprodukce/?fondId=1073&amp;zaznamId=1108958&amp;reproId=3779834</v>
      </c>
      <c r="K537">
        <f>IF(LEN(TRIM(E537))=0,"",VLOOKUP(E537,Sheet2!$B$1:$E$19,2,FALSE))</f>
        <v>1073</v>
      </c>
      <c r="L537">
        <f>IF(LEN(TRIM(E537))=0,"",VLOOKUP(E537,Sheet2!$B$1:$E$19,3,FALSE))</f>
        <v>1108958</v>
      </c>
      <c r="M537">
        <f>IF(LEN(TRIM(E537))=0,"",VLOOKUP(E537,Sheet2!$B$1:$E$19,4,FALSE))+(F537-1)</f>
        <v>3779834</v>
      </c>
      <c r="N537" s="21"/>
      <c r="O537" s="21"/>
      <c r="P537" s="21"/>
      <c r="Q537" s="21"/>
    </row>
    <row r="538" spans="1:17" s="1" customFormat="1" ht="15" customHeight="1" x14ac:dyDescent="0.25">
      <c r="A538" s="28" t="s">
        <v>803</v>
      </c>
      <c r="B538" s="28" t="s">
        <v>868</v>
      </c>
      <c r="C538" s="15">
        <v>2317</v>
      </c>
      <c r="D538" s="1" t="s">
        <v>454</v>
      </c>
      <c r="E538" s="1">
        <v>2172</v>
      </c>
      <c r="F538" s="28">
        <v>166</v>
      </c>
      <c r="G538" s="9">
        <v>159</v>
      </c>
      <c r="H538" s="1" t="s">
        <v>3073</v>
      </c>
      <c r="I538" s="1" t="s">
        <v>3073</v>
      </c>
      <c r="J538" t="str">
        <f t="shared" si="8"/>
        <v>http://www.badatelna.eu/reprodukce/?fondId=1073&amp;zaznamId=1108958&amp;reproId=3779907</v>
      </c>
      <c r="K538">
        <f>IF(LEN(TRIM(E538))=0,"",VLOOKUP(E538,Sheet2!$B$1:$E$19,2,FALSE))</f>
        <v>1073</v>
      </c>
      <c r="L538">
        <f>IF(LEN(TRIM(E538))=0,"",VLOOKUP(E538,Sheet2!$B$1:$E$19,3,FALSE))</f>
        <v>1108958</v>
      </c>
      <c r="M538">
        <f>IF(LEN(TRIM(E538))=0,"",VLOOKUP(E538,Sheet2!$B$1:$E$19,4,FALSE))+(F538-1)</f>
        <v>3779907</v>
      </c>
      <c r="N538" s="17"/>
      <c r="O538" s="17"/>
      <c r="P538" s="17"/>
      <c r="Q538" s="17"/>
    </row>
    <row r="539" spans="1:17" s="1" customFormat="1" ht="15" customHeight="1" x14ac:dyDescent="0.25">
      <c r="A539" s="28" t="s">
        <v>804</v>
      </c>
      <c r="B539" s="28" t="s">
        <v>805</v>
      </c>
      <c r="C539" s="15">
        <v>6069</v>
      </c>
      <c r="D539" s="1" t="s">
        <v>454</v>
      </c>
      <c r="E539" s="1">
        <v>2172</v>
      </c>
      <c r="F539" s="28">
        <v>189</v>
      </c>
      <c r="G539" s="9">
        <v>179</v>
      </c>
      <c r="H539" s="1" t="s">
        <v>3073</v>
      </c>
      <c r="I539" s="1" t="s">
        <v>3073</v>
      </c>
      <c r="J539" t="str">
        <f t="shared" si="8"/>
        <v>http://www.badatelna.eu/reprodukce/?fondId=1073&amp;zaznamId=1108958&amp;reproId=3779930</v>
      </c>
      <c r="K539">
        <f>IF(LEN(TRIM(E539))=0,"",VLOOKUP(E539,Sheet2!$B$1:$E$19,2,FALSE))</f>
        <v>1073</v>
      </c>
      <c r="L539">
        <f>IF(LEN(TRIM(E539))=0,"",VLOOKUP(E539,Sheet2!$B$1:$E$19,3,FALSE))</f>
        <v>1108958</v>
      </c>
      <c r="M539">
        <f>IF(LEN(TRIM(E539))=0,"",VLOOKUP(E539,Sheet2!$B$1:$E$19,4,FALSE))+(F539-1)</f>
        <v>3779930</v>
      </c>
      <c r="N539" s="22"/>
      <c r="O539" s="22"/>
      <c r="P539" s="22"/>
      <c r="Q539" s="22"/>
    </row>
    <row r="540" spans="1:17" s="1" customFormat="1" ht="15" customHeight="1" x14ac:dyDescent="0.25">
      <c r="A540" s="28" t="s">
        <v>286</v>
      </c>
      <c r="B540" s="28" t="s">
        <v>25</v>
      </c>
      <c r="C540" s="6" t="s">
        <v>2037</v>
      </c>
      <c r="D540" s="1" t="s">
        <v>454</v>
      </c>
      <c r="E540" s="1">
        <v>2173</v>
      </c>
      <c r="F540" s="28">
        <v>178</v>
      </c>
      <c r="G540" s="9">
        <v>3</v>
      </c>
      <c r="H540" s="1">
        <v>186</v>
      </c>
      <c r="I540" s="1">
        <v>415</v>
      </c>
      <c r="J540" t="str">
        <f t="shared" si="8"/>
        <v>http://www.badatelna.eu/reprodukce/?fondId=1073&amp;zaznamId=1108959&amp;reproId=3780171</v>
      </c>
      <c r="K540">
        <f>IF(LEN(TRIM(E540))=0,"",VLOOKUP(E540,Sheet2!$B$1:$E$19,2,FALSE))</f>
        <v>1073</v>
      </c>
      <c r="L540">
        <f>IF(LEN(TRIM(E540))=0,"",VLOOKUP(E540,Sheet2!$B$1:$E$19,3,FALSE))</f>
        <v>1108959</v>
      </c>
      <c r="M540">
        <f>IF(LEN(TRIM(E540))=0,"",VLOOKUP(E540,Sheet2!$B$1:$E$19,4,FALSE))+(F540-1)</f>
        <v>3780171</v>
      </c>
      <c r="N540" s="22"/>
      <c r="O540" s="22"/>
      <c r="P540" s="22"/>
      <c r="Q540" s="22"/>
    </row>
    <row r="541" spans="1:17" s="1" customFormat="1" ht="15" customHeight="1" x14ac:dyDescent="0.25">
      <c r="A541" s="28" t="s">
        <v>182</v>
      </c>
      <c r="B541" s="28" t="s">
        <v>183</v>
      </c>
      <c r="C541" s="6" t="s">
        <v>2419</v>
      </c>
      <c r="D541" s="1" t="s">
        <v>454</v>
      </c>
      <c r="E541" s="1">
        <v>2173</v>
      </c>
      <c r="F541" s="28">
        <v>203</v>
      </c>
      <c r="G541" s="1">
        <v>15</v>
      </c>
      <c r="H541" s="1" t="s">
        <v>3073</v>
      </c>
      <c r="I541" s="1" t="s">
        <v>3073</v>
      </c>
      <c r="J541" t="str">
        <f t="shared" si="8"/>
        <v>http://www.badatelna.eu/reprodukce/?fondId=1073&amp;zaznamId=1108959&amp;reproId=3780196</v>
      </c>
      <c r="K541">
        <f>IF(LEN(TRIM(E541))=0,"",VLOOKUP(E541,Sheet2!$B$1:$E$19,2,FALSE))</f>
        <v>1073</v>
      </c>
      <c r="L541">
        <f>IF(LEN(TRIM(E541))=0,"",VLOOKUP(E541,Sheet2!$B$1:$E$19,3,FALSE))</f>
        <v>1108959</v>
      </c>
      <c r="M541">
        <f>IF(LEN(TRIM(E541))=0,"",VLOOKUP(E541,Sheet2!$B$1:$E$19,4,FALSE))+(F541-1)</f>
        <v>3780196</v>
      </c>
      <c r="N541"/>
      <c r="O541"/>
      <c r="P541"/>
      <c r="Q541"/>
    </row>
    <row r="542" spans="1:17" s="1" customFormat="1" ht="15" customHeight="1" x14ac:dyDescent="0.25">
      <c r="A542" s="28" t="s">
        <v>2949</v>
      </c>
      <c r="B542" s="28" t="s">
        <v>2950</v>
      </c>
      <c r="C542" s="1">
        <v>1858</v>
      </c>
      <c r="D542" s="1" t="s">
        <v>2919</v>
      </c>
      <c r="E542" s="1">
        <v>998</v>
      </c>
      <c r="F542" s="28">
        <v>54</v>
      </c>
      <c r="G542" s="1">
        <v>52</v>
      </c>
      <c r="H542" s="1">
        <v>66</v>
      </c>
      <c r="I542" s="1">
        <v>63</v>
      </c>
      <c r="J542" t="str">
        <f t="shared" si="8"/>
        <v>http://www.badatelna.eu/reprodukce/?fondId=241&amp;zaznamId=1133738&amp;reproId=3885700</v>
      </c>
      <c r="K542">
        <f>IF(LEN(TRIM(E542))=0,"",VLOOKUP(E542,Sheet2!$B$1:$E$19,2,FALSE))</f>
        <v>241</v>
      </c>
      <c r="L542">
        <f>IF(LEN(TRIM(E542))=0,"",VLOOKUP(E542,Sheet2!$B$1:$E$19,3,FALSE))</f>
        <v>1133738</v>
      </c>
      <c r="M542">
        <f>IF(LEN(TRIM(E542))=0,"",VLOOKUP(E542,Sheet2!$B$1:$E$19,4,FALSE))+(F542-1)</f>
        <v>3885700</v>
      </c>
    </row>
    <row r="543" spans="1:17" s="1" customFormat="1" ht="15" customHeight="1" x14ac:dyDescent="0.25">
      <c r="A543" s="28" t="s">
        <v>132</v>
      </c>
      <c r="B543" s="28" t="s">
        <v>493</v>
      </c>
      <c r="C543" s="1">
        <v>1848</v>
      </c>
      <c r="D543" s="1" t="s">
        <v>2919</v>
      </c>
      <c r="E543" s="1">
        <v>998</v>
      </c>
      <c r="F543" s="28">
        <v>13</v>
      </c>
      <c r="G543" s="1">
        <v>11</v>
      </c>
      <c r="H543" s="1">
        <v>66</v>
      </c>
      <c r="I543" s="1">
        <v>63</v>
      </c>
      <c r="J543" t="str">
        <f t="shared" si="8"/>
        <v>http://www.badatelna.eu/reprodukce/?fondId=241&amp;zaznamId=1133738&amp;reproId=3885659</v>
      </c>
      <c r="K543">
        <f>IF(LEN(TRIM(E543))=0,"",VLOOKUP(E543,Sheet2!$B$1:$E$19,2,FALSE))</f>
        <v>241</v>
      </c>
      <c r="L543">
        <f>IF(LEN(TRIM(E543))=0,"",VLOOKUP(E543,Sheet2!$B$1:$E$19,3,FALSE))</f>
        <v>1133738</v>
      </c>
      <c r="M543">
        <f>IF(LEN(TRIM(E543))=0,"",VLOOKUP(E543,Sheet2!$B$1:$E$19,4,FALSE))+(F543-1)</f>
        <v>3885659</v>
      </c>
      <c r="N543" s="4"/>
      <c r="O543" s="4"/>
      <c r="P543" s="4"/>
      <c r="Q543" s="4"/>
    </row>
    <row r="544" spans="1:17" s="1" customFormat="1" ht="15" customHeight="1" x14ac:dyDescent="0.25">
      <c r="A544" s="28" t="s">
        <v>132</v>
      </c>
      <c r="B544" s="28" t="s">
        <v>553</v>
      </c>
      <c r="C544" s="1">
        <v>1859</v>
      </c>
      <c r="D544" s="1" t="s">
        <v>2919</v>
      </c>
      <c r="E544" s="1">
        <v>998</v>
      </c>
      <c r="F544" s="28">
        <v>56</v>
      </c>
      <c r="G544" s="1" t="s">
        <v>2941</v>
      </c>
      <c r="H544" s="1">
        <v>66</v>
      </c>
      <c r="I544" s="1">
        <v>63</v>
      </c>
      <c r="J544" t="str">
        <f t="shared" si="8"/>
        <v>http://www.badatelna.eu/reprodukce/?fondId=241&amp;zaznamId=1133738&amp;reproId=3885702</v>
      </c>
      <c r="K544">
        <f>IF(LEN(TRIM(E544))=0,"",VLOOKUP(E544,Sheet2!$B$1:$E$19,2,FALSE))</f>
        <v>241</v>
      </c>
      <c r="L544">
        <f>IF(LEN(TRIM(E544))=0,"",VLOOKUP(E544,Sheet2!$B$1:$E$19,3,FALSE))</f>
        <v>1133738</v>
      </c>
      <c r="M544">
        <f>IF(LEN(TRIM(E544))=0,"",VLOOKUP(E544,Sheet2!$B$1:$E$19,4,FALSE))+(F544-1)</f>
        <v>3885702</v>
      </c>
      <c r="N544"/>
      <c r="O544"/>
      <c r="P544"/>
      <c r="Q544"/>
    </row>
    <row r="545" spans="1:17" s="1" customFormat="1" ht="15" customHeight="1" x14ac:dyDescent="0.25">
      <c r="A545" s="28" t="s">
        <v>132</v>
      </c>
      <c r="B545" s="28" t="s">
        <v>562</v>
      </c>
      <c r="C545" s="1">
        <v>1854</v>
      </c>
      <c r="D545" s="1" t="s">
        <v>2919</v>
      </c>
      <c r="E545" s="1">
        <v>998</v>
      </c>
      <c r="F545" s="28">
        <v>40</v>
      </c>
      <c r="G545" s="1">
        <v>38</v>
      </c>
      <c r="H545" s="1">
        <v>66</v>
      </c>
      <c r="I545" s="1">
        <v>63</v>
      </c>
      <c r="J545" t="str">
        <f t="shared" si="8"/>
        <v>http://www.badatelna.eu/reprodukce/?fondId=241&amp;zaznamId=1133738&amp;reproId=3885686</v>
      </c>
      <c r="K545">
        <f>IF(LEN(TRIM(E545))=0,"",VLOOKUP(E545,Sheet2!$B$1:$E$19,2,FALSE))</f>
        <v>241</v>
      </c>
      <c r="L545">
        <f>IF(LEN(TRIM(E545))=0,"",VLOOKUP(E545,Sheet2!$B$1:$E$19,3,FALSE))</f>
        <v>1133738</v>
      </c>
      <c r="M545">
        <f>IF(LEN(TRIM(E545))=0,"",VLOOKUP(E545,Sheet2!$B$1:$E$19,4,FALSE))+(F545-1)</f>
        <v>3885686</v>
      </c>
      <c r="N545"/>
      <c r="O545"/>
      <c r="P545"/>
      <c r="Q545"/>
    </row>
    <row r="546" spans="1:17" s="1" customFormat="1" ht="15" customHeight="1" x14ac:dyDescent="0.25">
      <c r="A546" s="28" t="s">
        <v>132</v>
      </c>
      <c r="B546" s="28" t="s">
        <v>665</v>
      </c>
      <c r="C546" s="1">
        <v>1865</v>
      </c>
      <c r="D546" s="1" t="s">
        <v>2919</v>
      </c>
      <c r="E546" s="1">
        <v>999</v>
      </c>
      <c r="F546" s="28">
        <v>88</v>
      </c>
      <c r="G546" s="1">
        <v>9</v>
      </c>
      <c r="H546" s="1">
        <v>97</v>
      </c>
      <c r="I546" s="1">
        <v>156</v>
      </c>
      <c r="J546" t="str">
        <f t="shared" si="8"/>
        <v>http://www.badatelna.eu/reprodukce/?fondId=241&amp;zaznamId=1133739&amp;reproId=3885817</v>
      </c>
      <c r="K546">
        <f>IF(LEN(TRIM(E546))=0,"",VLOOKUP(E546,Sheet2!$B$1:$E$19,2,FALSE))</f>
        <v>241</v>
      </c>
      <c r="L546">
        <f>IF(LEN(TRIM(E546))=0,"",VLOOKUP(E546,Sheet2!$B$1:$E$19,3,FALSE))</f>
        <v>1133739</v>
      </c>
      <c r="M546">
        <f>IF(LEN(TRIM(E546))=0,"",VLOOKUP(E546,Sheet2!$B$1:$E$19,4,FALSE))+(F546-1)</f>
        <v>3885817</v>
      </c>
    </row>
    <row r="547" spans="1:17" s="1" customFormat="1" ht="15" customHeight="1" x14ac:dyDescent="0.25">
      <c r="A547" s="27" t="s">
        <v>132</v>
      </c>
      <c r="B547" s="27" t="s">
        <v>506</v>
      </c>
      <c r="C547" s="5" t="s">
        <v>1114</v>
      </c>
      <c r="D547" s="3" t="s">
        <v>454</v>
      </c>
      <c r="E547" s="3">
        <v>2170</v>
      </c>
      <c r="F547" s="28">
        <v>14</v>
      </c>
      <c r="G547" s="10">
        <v>10</v>
      </c>
      <c r="H547" s="3">
        <v>61</v>
      </c>
      <c r="I547" s="3">
        <v>57</v>
      </c>
      <c r="J547" t="str">
        <f t="shared" si="8"/>
        <v>http://www.badatelna.eu/reprodukce/?fondId=1073&amp;zaznamId=1108956&amp;reproId=3779606</v>
      </c>
      <c r="K547">
        <f>IF(LEN(TRIM(E547))=0,"",VLOOKUP(E547,Sheet2!$B$1:$E$19,2,FALSE))</f>
        <v>1073</v>
      </c>
      <c r="L547">
        <f>IF(LEN(TRIM(E547))=0,"",VLOOKUP(E547,Sheet2!$B$1:$E$19,3,FALSE))</f>
        <v>1108956</v>
      </c>
      <c r="M547">
        <f>IF(LEN(TRIM(E547))=0,"",VLOOKUP(E547,Sheet2!$B$1:$E$19,4,FALSE))+(F547-1)</f>
        <v>3779606</v>
      </c>
    </row>
    <row r="548" spans="1:17" s="1" customFormat="1" ht="15" customHeight="1" x14ac:dyDescent="0.25">
      <c r="A548" s="28" t="s">
        <v>132</v>
      </c>
      <c r="B548" s="29" t="s">
        <v>2821</v>
      </c>
      <c r="C548" s="24" t="s">
        <v>2820</v>
      </c>
      <c r="D548" s="1" t="s">
        <v>454</v>
      </c>
      <c r="E548" s="1">
        <v>2173</v>
      </c>
      <c r="F548" s="28">
        <v>204</v>
      </c>
      <c r="G548" s="1">
        <v>18</v>
      </c>
      <c r="H548" s="1" t="s">
        <v>3073</v>
      </c>
      <c r="I548" s="1" t="s">
        <v>3073</v>
      </c>
      <c r="J548" t="str">
        <f t="shared" si="8"/>
        <v>http://www.badatelna.eu/reprodukce/?fondId=1073&amp;zaznamId=1108959&amp;reproId=3780197</v>
      </c>
      <c r="K548">
        <f>IF(LEN(TRIM(E548))=0,"",VLOOKUP(E548,Sheet2!$B$1:$E$19,2,FALSE))</f>
        <v>1073</v>
      </c>
      <c r="L548">
        <f>IF(LEN(TRIM(E548))=0,"",VLOOKUP(E548,Sheet2!$B$1:$E$19,3,FALSE))</f>
        <v>1108959</v>
      </c>
      <c r="M548">
        <f>IF(LEN(TRIM(E548))=0,"",VLOOKUP(E548,Sheet2!$B$1:$E$19,4,FALSE))+(F548-1)</f>
        <v>3780197</v>
      </c>
    </row>
    <row r="549" spans="1:17" s="1" customFormat="1" ht="15" customHeight="1" x14ac:dyDescent="0.25">
      <c r="A549" s="28" t="s">
        <v>132</v>
      </c>
      <c r="B549" s="28" t="s">
        <v>25</v>
      </c>
      <c r="C549" s="1">
        <v>1861</v>
      </c>
      <c r="D549" s="1" t="s">
        <v>2919</v>
      </c>
      <c r="E549" s="1">
        <v>998</v>
      </c>
      <c r="F549" s="28">
        <v>61</v>
      </c>
      <c r="G549" s="1">
        <v>58</v>
      </c>
      <c r="H549" s="1">
        <v>66</v>
      </c>
      <c r="I549" s="1">
        <v>63</v>
      </c>
      <c r="J549" t="str">
        <f t="shared" si="8"/>
        <v>http://www.badatelna.eu/reprodukce/?fondId=241&amp;zaznamId=1133738&amp;reproId=3885707</v>
      </c>
      <c r="K549">
        <f>IF(LEN(TRIM(E549))=0,"",VLOOKUP(E549,Sheet2!$B$1:$E$19,2,FALSE))</f>
        <v>241</v>
      </c>
      <c r="L549">
        <f>IF(LEN(TRIM(E549))=0,"",VLOOKUP(E549,Sheet2!$B$1:$E$19,3,FALSE))</f>
        <v>1133738</v>
      </c>
      <c r="M549">
        <f>IF(LEN(TRIM(E549))=0,"",VLOOKUP(E549,Sheet2!$B$1:$E$19,4,FALSE))+(F549-1)</f>
        <v>3885707</v>
      </c>
    </row>
    <row r="550" spans="1:17" s="1" customFormat="1" ht="15" customHeight="1" x14ac:dyDescent="0.25">
      <c r="A550" s="28" t="s">
        <v>132</v>
      </c>
      <c r="B550" s="28" t="s">
        <v>287</v>
      </c>
      <c r="C550" s="6" t="s">
        <v>2039</v>
      </c>
      <c r="D550" s="1" t="s">
        <v>454</v>
      </c>
      <c r="E550" s="1">
        <v>2173</v>
      </c>
      <c r="F550" s="28">
        <v>179</v>
      </c>
      <c r="G550" s="9">
        <v>4</v>
      </c>
      <c r="H550" s="1">
        <v>186</v>
      </c>
      <c r="I550" s="1">
        <v>415</v>
      </c>
      <c r="J550" t="str">
        <f t="shared" si="8"/>
        <v>http://www.badatelna.eu/reprodukce/?fondId=1073&amp;zaznamId=1108959&amp;reproId=3780172</v>
      </c>
      <c r="K550">
        <f>IF(LEN(TRIM(E550))=0,"",VLOOKUP(E550,Sheet2!$B$1:$E$19,2,FALSE))</f>
        <v>1073</v>
      </c>
      <c r="L550">
        <f>IF(LEN(TRIM(E550))=0,"",VLOOKUP(E550,Sheet2!$B$1:$E$19,3,FALSE))</f>
        <v>1108959</v>
      </c>
      <c r="M550">
        <f>IF(LEN(TRIM(E550))=0,"",VLOOKUP(E550,Sheet2!$B$1:$E$19,4,FALSE))+(F550-1)</f>
        <v>3780172</v>
      </c>
      <c r="N550" s="4"/>
      <c r="O550" s="4"/>
      <c r="P550" s="4"/>
      <c r="Q550" s="4"/>
    </row>
    <row r="551" spans="1:17" s="1" customFormat="1" ht="15" customHeight="1" x14ac:dyDescent="0.25">
      <c r="A551" s="28" t="s">
        <v>132</v>
      </c>
      <c r="B551" s="29" t="s">
        <v>2948</v>
      </c>
      <c r="C551" s="1">
        <v>1854</v>
      </c>
      <c r="D551" s="1" t="s">
        <v>2919</v>
      </c>
      <c r="E551" s="1">
        <v>998</v>
      </c>
      <c r="F551" s="28">
        <v>42</v>
      </c>
      <c r="G551" s="1">
        <v>40</v>
      </c>
      <c r="H551" s="1">
        <v>66</v>
      </c>
      <c r="I551" s="1">
        <v>63</v>
      </c>
      <c r="J551" t="str">
        <f t="shared" si="8"/>
        <v>http://www.badatelna.eu/reprodukce/?fondId=241&amp;zaznamId=1133738&amp;reproId=3885688</v>
      </c>
      <c r="K551">
        <f>IF(LEN(TRIM(E551))=0,"",VLOOKUP(E551,Sheet2!$B$1:$E$19,2,FALSE))</f>
        <v>241</v>
      </c>
      <c r="L551">
        <f>IF(LEN(TRIM(E551))=0,"",VLOOKUP(E551,Sheet2!$B$1:$E$19,3,FALSE))</f>
        <v>1133738</v>
      </c>
      <c r="M551">
        <f>IF(LEN(TRIM(E551))=0,"",VLOOKUP(E551,Sheet2!$B$1:$E$19,4,FALSE))+(F551-1)</f>
        <v>3885688</v>
      </c>
    </row>
    <row r="552" spans="1:17" s="1" customFormat="1" ht="15" customHeight="1" x14ac:dyDescent="0.25">
      <c r="A552" s="28" t="s">
        <v>132</v>
      </c>
      <c r="B552" s="28" t="s">
        <v>213</v>
      </c>
      <c r="C552" s="1">
        <v>1891</v>
      </c>
      <c r="D552" s="1" t="s">
        <v>454</v>
      </c>
      <c r="E552" s="1">
        <v>2172</v>
      </c>
      <c r="F552" s="28">
        <v>82</v>
      </c>
      <c r="G552" s="9">
        <v>81</v>
      </c>
      <c r="H552" s="1">
        <v>83</v>
      </c>
      <c r="I552" s="1">
        <v>82</v>
      </c>
      <c r="J552" t="str">
        <f t="shared" si="8"/>
        <v>http://www.badatelna.eu/reprodukce/?fondId=1073&amp;zaznamId=1108958&amp;reproId=3779823</v>
      </c>
      <c r="K552">
        <f>IF(LEN(TRIM(E552))=0,"",VLOOKUP(E552,Sheet2!$B$1:$E$19,2,FALSE))</f>
        <v>1073</v>
      </c>
      <c r="L552">
        <f>IF(LEN(TRIM(E552))=0,"",VLOOKUP(E552,Sheet2!$B$1:$E$19,3,FALSE))</f>
        <v>1108958</v>
      </c>
      <c r="M552">
        <f>IF(LEN(TRIM(E552))=0,"",VLOOKUP(E552,Sheet2!$B$1:$E$19,4,FALSE))+(F552-1)</f>
        <v>3779823</v>
      </c>
      <c r="N552"/>
      <c r="O552"/>
      <c r="P552"/>
      <c r="Q552"/>
    </row>
    <row r="553" spans="1:17" s="1" customFormat="1" ht="15" customHeight="1" x14ac:dyDescent="0.25">
      <c r="A553" s="28" t="s">
        <v>132</v>
      </c>
      <c r="B553" s="28" t="s">
        <v>2947</v>
      </c>
      <c r="C553" s="1">
        <v>1848</v>
      </c>
      <c r="D553" s="1" t="s">
        <v>2919</v>
      </c>
      <c r="E553" s="1">
        <v>998</v>
      </c>
      <c r="F553" s="28">
        <v>15</v>
      </c>
      <c r="G553" s="1">
        <v>13</v>
      </c>
      <c r="H553" s="1">
        <v>66</v>
      </c>
      <c r="I553" s="1">
        <v>63</v>
      </c>
      <c r="J553" t="str">
        <f t="shared" si="8"/>
        <v>http://www.badatelna.eu/reprodukce/?fondId=241&amp;zaznamId=1133738&amp;reproId=3885661</v>
      </c>
      <c r="K553">
        <f>IF(LEN(TRIM(E553))=0,"",VLOOKUP(E553,Sheet2!$B$1:$E$19,2,FALSE))</f>
        <v>241</v>
      </c>
      <c r="L553">
        <f>IF(LEN(TRIM(E553))=0,"",VLOOKUP(E553,Sheet2!$B$1:$E$19,3,FALSE))</f>
        <v>1133738</v>
      </c>
      <c r="M553">
        <f>IF(LEN(TRIM(E553))=0,"",VLOOKUP(E553,Sheet2!$B$1:$E$19,4,FALSE))+(F553-1)</f>
        <v>3885661</v>
      </c>
      <c r="N553"/>
      <c r="O553"/>
      <c r="P553"/>
      <c r="Q553"/>
    </row>
    <row r="554" spans="1:17" s="1" customFormat="1" ht="15" customHeight="1" x14ac:dyDescent="0.25">
      <c r="A554" s="28" t="s">
        <v>132</v>
      </c>
      <c r="B554" s="28" t="s">
        <v>28</v>
      </c>
      <c r="C554" s="1">
        <v>1848</v>
      </c>
      <c r="D554" s="1" t="s">
        <v>2919</v>
      </c>
      <c r="E554" s="1">
        <v>998</v>
      </c>
      <c r="F554" s="28">
        <v>9</v>
      </c>
      <c r="G554" s="1">
        <v>7</v>
      </c>
      <c r="H554" s="1">
        <v>66</v>
      </c>
      <c r="I554" s="1">
        <v>63</v>
      </c>
      <c r="J554" t="str">
        <f t="shared" si="8"/>
        <v>http://www.badatelna.eu/reprodukce/?fondId=241&amp;zaznamId=1133738&amp;reproId=3885655</v>
      </c>
      <c r="K554">
        <f>IF(LEN(TRIM(E554))=0,"",VLOOKUP(E554,Sheet2!$B$1:$E$19,2,FALSE))</f>
        <v>241</v>
      </c>
      <c r="L554">
        <f>IF(LEN(TRIM(E554))=0,"",VLOOKUP(E554,Sheet2!$B$1:$E$19,3,FALSE))</f>
        <v>1133738</v>
      </c>
      <c r="M554">
        <f>IF(LEN(TRIM(E554))=0,"",VLOOKUP(E554,Sheet2!$B$1:$E$19,4,FALSE))+(F554-1)</f>
        <v>3885655</v>
      </c>
    </row>
    <row r="555" spans="1:17" s="1" customFormat="1" ht="15" customHeight="1" x14ac:dyDescent="0.25">
      <c r="A555" s="28" t="s">
        <v>132</v>
      </c>
      <c r="B555" s="28" t="s">
        <v>285</v>
      </c>
      <c r="C555" s="6" t="s">
        <v>2038</v>
      </c>
      <c r="D555" s="1" t="s">
        <v>454</v>
      </c>
      <c r="E555" s="1">
        <v>2173</v>
      </c>
      <c r="F555" s="28">
        <v>178</v>
      </c>
      <c r="G555" s="9">
        <v>2</v>
      </c>
      <c r="H555" s="1">
        <v>186</v>
      </c>
      <c r="I555" s="1">
        <v>415</v>
      </c>
      <c r="J555" t="str">
        <f t="shared" si="8"/>
        <v>http://www.badatelna.eu/reprodukce/?fondId=1073&amp;zaznamId=1108959&amp;reproId=3780171</v>
      </c>
      <c r="K555">
        <f>IF(LEN(TRIM(E555))=0,"",VLOOKUP(E555,Sheet2!$B$1:$E$19,2,FALSE))</f>
        <v>1073</v>
      </c>
      <c r="L555">
        <f>IF(LEN(TRIM(E555))=0,"",VLOOKUP(E555,Sheet2!$B$1:$E$19,3,FALSE))</f>
        <v>1108959</v>
      </c>
      <c r="M555">
        <f>IF(LEN(TRIM(E555))=0,"",VLOOKUP(E555,Sheet2!$B$1:$E$19,4,FALSE))+(F555-1)</f>
        <v>3780171</v>
      </c>
    </row>
    <row r="556" spans="1:17" s="1" customFormat="1" ht="15" customHeight="1" x14ac:dyDescent="0.25">
      <c r="A556" s="28" t="s">
        <v>132</v>
      </c>
      <c r="B556" s="28" t="s">
        <v>39</v>
      </c>
      <c r="C556" s="6" t="s">
        <v>2573</v>
      </c>
      <c r="D556" s="1" t="s">
        <v>454</v>
      </c>
      <c r="E556" s="1">
        <v>2173</v>
      </c>
      <c r="F556" s="28">
        <v>213</v>
      </c>
      <c r="G556" s="9">
        <v>36</v>
      </c>
      <c r="H556" s="1" t="s">
        <v>3073</v>
      </c>
      <c r="I556" s="1" t="s">
        <v>3073</v>
      </c>
      <c r="J556" t="str">
        <f t="shared" si="8"/>
        <v>http://www.badatelna.eu/reprodukce/?fondId=1073&amp;zaznamId=1108959&amp;reproId=3780206</v>
      </c>
      <c r="K556">
        <f>IF(LEN(TRIM(E556))=0,"",VLOOKUP(E556,Sheet2!$B$1:$E$19,2,FALSE))</f>
        <v>1073</v>
      </c>
      <c r="L556">
        <f>IF(LEN(TRIM(E556))=0,"",VLOOKUP(E556,Sheet2!$B$1:$E$19,3,FALSE))</f>
        <v>1108959</v>
      </c>
      <c r="M556">
        <f>IF(LEN(TRIM(E556))=0,"",VLOOKUP(E556,Sheet2!$B$1:$E$19,4,FALSE))+(F556-1)</f>
        <v>3780206</v>
      </c>
      <c r="N556"/>
      <c r="O556"/>
      <c r="P556"/>
      <c r="Q556"/>
    </row>
    <row r="557" spans="1:17" s="1" customFormat="1" ht="15" customHeight="1" x14ac:dyDescent="0.25">
      <c r="A557" s="28" t="s">
        <v>132</v>
      </c>
      <c r="B557" s="28" t="s">
        <v>39</v>
      </c>
      <c r="C557" s="6" t="s">
        <v>2342</v>
      </c>
      <c r="D557" s="1" t="s">
        <v>454</v>
      </c>
      <c r="E557" s="1">
        <v>2173</v>
      </c>
      <c r="F557" s="28">
        <v>200</v>
      </c>
      <c r="G557" s="9">
        <v>9</v>
      </c>
      <c r="H557" s="1" t="s">
        <v>3073</v>
      </c>
      <c r="I557" s="1" t="s">
        <v>3073</v>
      </c>
      <c r="J557" t="str">
        <f t="shared" si="8"/>
        <v>http://www.badatelna.eu/reprodukce/?fondId=1073&amp;zaznamId=1108959&amp;reproId=3780193</v>
      </c>
      <c r="K557">
        <f>IF(LEN(TRIM(E557))=0,"",VLOOKUP(E557,Sheet2!$B$1:$E$19,2,FALSE))</f>
        <v>1073</v>
      </c>
      <c r="L557">
        <f>IF(LEN(TRIM(E557))=0,"",VLOOKUP(E557,Sheet2!$B$1:$E$19,3,FALSE))</f>
        <v>1108959</v>
      </c>
      <c r="M557">
        <f>IF(LEN(TRIM(E557))=0,"",VLOOKUP(E557,Sheet2!$B$1:$E$19,4,FALSE))+(F557-1)</f>
        <v>3780193</v>
      </c>
    </row>
    <row r="558" spans="1:17" s="1" customFormat="1" ht="15" customHeight="1" x14ac:dyDescent="0.25">
      <c r="A558" s="28" t="s">
        <v>132</v>
      </c>
      <c r="B558" s="28" t="s">
        <v>806</v>
      </c>
      <c r="C558" s="1">
        <v>1884</v>
      </c>
      <c r="D558" s="1" t="s">
        <v>454</v>
      </c>
      <c r="E558" s="1">
        <v>2172</v>
      </c>
      <c r="F558" s="28">
        <v>40</v>
      </c>
      <c r="G558" s="9" t="s">
        <v>2762</v>
      </c>
      <c r="H558" s="1">
        <v>42</v>
      </c>
      <c r="I558" s="1">
        <v>41</v>
      </c>
      <c r="J558" t="str">
        <f t="shared" si="8"/>
        <v>http://www.badatelna.eu/reprodukce/?fondId=1073&amp;zaznamId=1108958&amp;reproId=3779781</v>
      </c>
      <c r="K558">
        <f>IF(LEN(TRIM(E558))=0,"",VLOOKUP(E558,Sheet2!$B$1:$E$19,2,FALSE))</f>
        <v>1073</v>
      </c>
      <c r="L558">
        <f>IF(LEN(TRIM(E558))=0,"",VLOOKUP(E558,Sheet2!$B$1:$E$19,3,FALSE))</f>
        <v>1108958</v>
      </c>
      <c r="M558">
        <f>IF(LEN(TRIM(E558))=0,"",VLOOKUP(E558,Sheet2!$B$1:$E$19,4,FALSE))+(F558-1)</f>
        <v>3779781</v>
      </c>
    </row>
    <row r="559" spans="1:17" s="1" customFormat="1" ht="15" customHeight="1" x14ac:dyDescent="0.25">
      <c r="A559" s="28" t="s">
        <v>132</v>
      </c>
      <c r="B559" s="28" t="s">
        <v>807</v>
      </c>
      <c r="C559" s="6" t="s">
        <v>1673</v>
      </c>
      <c r="D559" s="1" t="s">
        <v>454</v>
      </c>
      <c r="E559" s="1">
        <v>2172</v>
      </c>
      <c r="F559" s="28">
        <v>106</v>
      </c>
      <c r="G559" s="9" t="s">
        <v>2768</v>
      </c>
      <c r="H559" s="1">
        <v>109</v>
      </c>
      <c r="I559" s="1">
        <v>108</v>
      </c>
      <c r="J559" t="str">
        <f t="shared" si="8"/>
        <v>http://www.badatelna.eu/reprodukce/?fondId=1073&amp;zaznamId=1108958&amp;reproId=3779847</v>
      </c>
      <c r="K559">
        <f>IF(LEN(TRIM(E559))=0,"",VLOOKUP(E559,Sheet2!$B$1:$E$19,2,FALSE))</f>
        <v>1073</v>
      </c>
      <c r="L559">
        <f>IF(LEN(TRIM(E559))=0,"",VLOOKUP(E559,Sheet2!$B$1:$E$19,3,FALSE))</f>
        <v>1108958</v>
      </c>
      <c r="M559">
        <f>IF(LEN(TRIM(E559))=0,"",VLOOKUP(E559,Sheet2!$B$1:$E$19,4,FALSE))+(F559-1)</f>
        <v>3779847</v>
      </c>
      <c r="N559"/>
      <c r="O559"/>
      <c r="P559"/>
      <c r="Q559"/>
    </row>
    <row r="560" spans="1:17" s="1" customFormat="1" ht="15" customHeight="1" x14ac:dyDescent="0.25">
      <c r="A560" s="27" t="s">
        <v>132</v>
      </c>
      <c r="B560" s="27" t="s">
        <v>254</v>
      </c>
      <c r="C560" s="5" t="s">
        <v>1113</v>
      </c>
      <c r="D560" s="3" t="s">
        <v>454</v>
      </c>
      <c r="E560" s="3">
        <v>2170</v>
      </c>
      <c r="F560" s="28">
        <v>52</v>
      </c>
      <c r="G560" s="10">
        <v>48</v>
      </c>
      <c r="H560" s="3">
        <v>61</v>
      </c>
      <c r="I560" s="3">
        <v>57</v>
      </c>
      <c r="J560" t="str">
        <f t="shared" si="8"/>
        <v>http://www.badatelna.eu/reprodukce/?fondId=1073&amp;zaznamId=1108956&amp;reproId=3779644</v>
      </c>
      <c r="K560">
        <f>IF(LEN(TRIM(E560))=0,"",VLOOKUP(E560,Sheet2!$B$1:$E$19,2,FALSE))</f>
        <v>1073</v>
      </c>
      <c r="L560">
        <f>IF(LEN(TRIM(E560))=0,"",VLOOKUP(E560,Sheet2!$B$1:$E$19,3,FALSE))</f>
        <v>1108956</v>
      </c>
      <c r="M560">
        <f>IF(LEN(TRIM(E560))=0,"",VLOOKUP(E560,Sheet2!$B$1:$E$19,4,FALSE))+(F560-1)</f>
        <v>3779644</v>
      </c>
    </row>
    <row r="561" spans="1:17" s="1" customFormat="1" ht="15" customHeight="1" x14ac:dyDescent="0.25">
      <c r="A561" s="28" t="s">
        <v>132</v>
      </c>
      <c r="B561" s="28" t="s">
        <v>54</v>
      </c>
      <c r="C561" s="6" t="s">
        <v>2506</v>
      </c>
      <c r="D561" s="1" t="s">
        <v>454</v>
      </c>
      <c r="E561" s="1">
        <v>2173</v>
      </c>
      <c r="F561" s="28">
        <v>206</v>
      </c>
      <c r="G561" s="1">
        <v>22</v>
      </c>
      <c r="H561" s="1" t="s">
        <v>3073</v>
      </c>
      <c r="I561" s="1" t="s">
        <v>3073</v>
      </c>
      <c r="J561" t="str">
        <f t="shared" si="8"/>
        <v>http://www.badatelna.eu/reprodukce/?fondId=1073&amp;zaznamId=1108959&amp;reproId=3780199</v>
      </c>
      <c r="K561">
        <f>IF(LEN(TRIM(E561))=0,"",VLOOKUP(E561,Sheet2!$B$1:$E$19,2,FALSE))</f>
        <v>1073</v>
      </c>
      <c r="L561">
        <f>IF(LEN(TRIM(E561))=0,"",VLOOKUP(E561,Sheet2!$B$1:$E$19,3,FALSE))</f>
        <v>1108959</v>
      </c>
      <c r="M561">
        <f>IF(LEN(TRIM(E561))=0,"",VLOOKUP(E561,Sheet2!$B$1:$E$19,4,FALSE))+(F561-1)</f>
        <v>3780199</v>
      </c>
    </row>
    <row r="562" spans="1:17" s="1" customFormat="1" ht="15" customHeight="1" x14ac:dyDescent="0.25">
      <c r="A562" s="29" t="s">
        <v>2806</v>
      </c>
      <c r="B562" s="28" t="s">
        <v>74</v>
      </c>
      <c r="C562" s="6" t="s">
        <v>2343</v>
      </c>
      <c r="D562" s="1" t="s">
        <v>454</v>
      </c>
      <c r="E562" s="1">
        <v>2173</v>
      </c>
      <c r="F562" s="28">
        <v>200</v>
      </c>
      <c r="G562" s="9">
        <v>9</v>
      </c>
      <c r="H562" s="1" t="s">
        <v>3073</v>
      </c>
      <c r="I562" s="1" t="s">
        <v>3073</v>
      </c>
      <c r="J562" t="str">
        <f t="shared" si="8"/>
        <v>http://www.badatelna.eu/reprodukce/?fondId=1073&amp;zaznamId=1108959&amp;reproId=3780193</v>
      </c>
      <c r="K562">
        <f>IF(LEN(TRIM(E562))=0,"",VLOOKUP(E562,Sheet2!$B$1:$E$19,2,FALSE))</f>
        <v>1073</v>
      </c>
      <c r="L562">
        <f>IF(LEN(TRIM(E562))=0,"",VLOOKUP(E562,Sheet2!$B$1:$E$19,3,FALSE))</f>
        <v>1108959</v>
      </c>
      <c r="M562">
        <f>IF(LEN(TRIM(E562))=0,"",VLOOKUP(E562,Sheet2!$B$1:$E$19,4,FALSE))+(F562-1)</f>
        <v>3780193</v>
      </c>
    </row>
    <row r="563" spans="1:17" s="1" customFormat="1" ht="15" customHeight="1" x14ac:dyDescent="0.25">
      <c r="A563" s="28" t="s">
        <v>402</v>
      </c>
      <c r="B563" s="28" t="s">
        <v>25</v>
      </c>
      <c r="C563" s="6" t="s">
        <v>2367</v>
      </c>
      <c r="D563" s="1" t="s">
        <v>454</v>
      </c>
      <c r="E563" s="1">
        <v>2173</v>
      </c>
      <c r="F563" s="28">
        <v>201</v>
      </c>
      <c r="G563" s="9">
        <v>12</v>
      </c>
      <c r="H563" s="1" t="s">
        <v>3073</v>
      </c>
      <c r="I563" s="1" t="s">
        <v>3073</v>
      </c>
      <c r="J563" t="str">
        <f t="shared" si="8"/>
        <v>http://www.badatelna.eu/reprodukce/?fondId=1073&amp;zaznamId=1108959&amp;reproId=3780194</v>
      </c>
      <c r="K563">
        <f>IF(LEN(TRIM(E563))=0,"",VLOOKUP(E563,Sheet2!$B$1:$E$19,2,FALSE))</f>
        <v>1073</v>
      </c>
      <c r="L563">
        <f>IF(LEN(TRIM(E563))=0,"",VLOOKUP(E563,Sheet2!$B$1:$E$19,3,FALSE))</f>
        <v>1108959</v>
      </c>
      <c r="M563">
        <f>IF(LEN(TRIM(E563))=0,"",VLOOKUP(E563,Sheet2!$B$1:$E$19,4,FALSE))+(F563-1)</f>
        <v>3780194</v>
      </c>
    </row>
    <row r="564" spans="1:17" s="1" customFormat="1" ht="15" customHeight="1" x14ac:dyDescent="0.25">
      <c r="A564" s="28" t="s">
        <v>402</v>
      </c>
      <c r="B564" s="28" t="s">
        <v>74</v>
      </c>
      <c r="C564" s="6" t="s">
        <v>2615</v>
      </c>
      <c r="D564" s="1" t="s">
        <v>454</v>
      </c>
      <c r="E564" s="1">
        <v>2173</v>
      </c>
      <c r="F564" s="28">
        <v>219</v>
      </c>
      <c r="G564" s="9">
        <v>47</v>
      </c>
      <c r="H564" s="1" t="s">
        <v>3073</v>
      </c>
      <c r="I564" s="1" t="s">
        <v>3073</v>
      </c>
      <c r="J564" t="str">
        <f t="shared" si="8"/>
        <v>http://www.badatelna.eu/reprodukce/?fondId=1073&amp;zaznamId=1108959&amp;reproId=3780212</v>
      </c>
      <c r="K564">
        <f>IF(LEN(TRIM(E564))=0,"",VLOOKUP(E564,Sheet2!$B$1:$E$19,2,FALSE))</f>
        <v>1073</v>
      </c>
      <c r="L564">
        <f>IF(LEN(TRIM(E564))=0,"",VLOOKUP(E564,Sheet2!$B$1:$E$19,3,FALSE))</f>
        <v>1108959</v>
      </c>
      <c r="M564">
        <f>IF(LEN(TRIM(E564))=0,"",VLOOKUP(E564,Sheet2!$B$1:$E$19,4,FALSE))+(F564-1)</f>
        <v>3780212</v>
      </c>
    </row>
    <row r="565" spans="1:17" s="1" customFormat="1" ht="15" customHeight="1" x14ac:dyDescent="0.25">
      <c r="A565" s="28" t="s">
        <v>193</v>
      </c>
      <c r="B565" s="28" t="s">
        <v>33</v>
      </c>
      <c r="C565" s="6" t="s">
        <v>2040</v>
      </c>
      <c r="D565" s="1" t="s">
        <v>454</v>
      </c>
      <c r="E565" s="1">
        <v>2173</v>
      </c>
      <c r="F565" s="28">
        <v>181</v>
      </c>
      <c r="G565" s="9">
        <v>8</v>
      </c>
      <c r="H565" s="1">
        <v>186</v>
      </c>
      <c r="I565" s="1">
        <v>415</v>
      </c>
      <c r="J565" t="str">
        <f t="shared" si="8"/>
        <v>http://www.badatelna.eu/reprodukce/?fondId=1073&amp;zaznamId=1108959&amp;reproId=3780174</v>
      </c>
      <c r="K565">
        <f>IF(LEN(TRIM(E565))=0,"",VLOOKUP(E565,Sheet2!$B$1:$E$19,2,FALSE))</f>
        <v>1073</v>
      </c>
      <c r="L565">
        <f>IF(LEN(TRIM(E565))=0,"",VLOOKUP(E565,Sheet2!$B$1:$E$19,3,FALSE))</f>
        <v>1108959</v>
      </c>
      <c r="M565">
        <f>IF(LEN(TRIM(E565))=0,"",VLOOKUP(E565,Sheet2!$B$1:$E$19,4,FALSE))+(F565-1)</f>
        <v>3780174</v>
      </c>
    </row>
    <row r="566" spans="1:17" s="1" customFormat="1" ht="15" customHeight="1" x14ac:dyDescent="0.25">
      <c r="A566" s="28" t="s">
        <v>193</v>
      </c>
      <c r="B566" s="29" t="s">
        <v>608</v>
      </c>
      <c r="C566" s="1">
        <v>1855</v>
      </c>
      <c r="D566" s="1" t="s">
        <v>2919</v>
      </c>
      <c r="E566" s="1">
        <v>998</v>
      </c>
      <c r="F566" s="28">
        <v>46</v>
      </c>
      <c r="G566" s="1">
        <v>44</v>
      </c>
      <c r="H566" s="1">
        <v>66</v>
      </c>
      <c r="I566" s="1">
        <v>63</v>
      </c>
      <c r="J566" t="str">
        <f t="shared" si="8"/>
        <v>http://www.badatelna.eu/reprodukce/?fondId=241&amp;zaznamId=1133738&amp;reproId=3885692</v>
      </c>
      <c r="K566">
        <f>IF(LEN(TRIM(E566))=0,"",VLOOKUP(E566,Sheet2!$B$1:$E$19,2,FALSE))</f>
        <v>241</v>
      </c>
      <c r="L566">
        <f>IF(LEN(TRIM(E566))=0,"",VLOOKUP(E566,Sheet2!$B$1:$E$19,3,FALSE))</f>
        <v>1133738</v>
      </c>
      <c r="M566">
        <f>IF(LEN(TRIM(E566))=0,"",VLOOKUP(E566,Sheet2!$B$1:$E$19,4,FALSE))+(F566-1)</f>
        <v>3885692</v>
      </c>
    </row>
    <row r="567" spans="1:17" s="1" customFormat="1" ht="15" customHeight="1" x14ac:dyDescent="0.25">
      <c r="A567" s="28" t="s">
        <v>193</v>
      </c>
      <c r="B567" s="28" t="s">
        <v>137</v>
      </c>
      <c r="C567" s="6" t="s">
        <v>2579</v>
      </c>
      <c r="D567" s="1" t="s">
        <v>454</v>
      </c>
      <c r="E567" s="1">
        <v>2173</v>
      </c>
      <c r="F567" s="28">
        <v>214</v>
      </c>
      <c r="G567" s="9">
        <v>37</v>
      </c>
      <c r="H567" s="1" t="s">
        <v>3073</v>
      </c>
      <c r="I567" s="1" t="s">
        <v>3073</v>
      </c>
      <c r="J567" t="str">
        <f t="shared" si="8"/>
        <v>http://www.badatelna.eu/reprodukce/?fondId=1073&amp;zaznamId=1108959&amp;reproId=3780207</v>
      </c>
      <c r="K567">
        <f>IF(LEN(TRIM(E567))=0,"",VLOOKUP(E567,Sheet2!$B$1:$E$19,2,FALSE))</f>
        <v>1073</v>
      </c>
      <c r="L567">
        <f>IF(LEN(TRIM(E567))=0,"",VLOOKUP(E567,Sheet2!$B$1:$E$19,3,FALSE))</f>
        <v>1108959</v>
      </c>
      <c r="M567">
        <f>IF(LEN(TRIM(E567))=0,"",VLOOKUP(E567,Sheet2!$B$1:$E$19,4,FALSE))+(F567-1)</f>
        <v>3780207</v>
      </c>
    </row>
    <row r="568" spans="1:17" s="1" customFormat="1" ht="15" customHeight="1" x14ac:dyDescent="0.25">
      <c r="A568" s="28" t="s">
        <v>193</v>
      </c>
      <c r="B568" s="29" t="s">
        <v>2861</v>
      </c>
      <c r="C568" s="6" t="s">
        <v>2557</v>
      </c>
      <c r="D568" s="1" t="s">
        <v>454</v>
      </c>
      <c r="E568" s="1">
        <v>2173</v>
      </c>
      <c r="F568" s="28">
        <v>208</v>
      </c>
      <c r="G568" s="1">
        <v>26</v>
      </c>
      <c r="H568" s="1" t="s">
        <v>3073</v>
      </c>
      <c r="I568" s="1" t="s">
        <v>3073</v>
      </c>
      <c r="J568" t="str">
        <f t="shared" si="8"/>
        <v>http://www.badatelna.eu/reprodukce/?fondId=1073&amp;zaznamId=1108959&amp;reproId=3780201</v>
      </c>
      <c r="K568">
        <f>IF(LEN(TRIM(E568))=0,"",VLOOKUP(E568,Sheet2!$B$1:$E$19,2,FALSE))</f>
        <v>1073</v>
      </c>
      <c r="L568">
        <f>IF(LEN(TRIM(E568))=0,"",VLOOKUP(E568,Sheet2!$B$1:$E$19,3,FALSE))</f>
        <v>1108959</v>
      </c>
      <c r="M568">
        <f>IF(LEN(TRIM(E568))=0,"",VLOOKUP(E568,Sheet2!$B$1:$E$19,4,FALSE))+(F568-1)</f>
        <v>3780201</v>
      </c>
    </row>
    <row r="569" spans="1:17" s="1" customFormat="1" ht="15" customHeight="1" x14ac:dyDescent="0.25">
      <c r="A569" s="27" t="s">
        <v>193</v>
      </c>
      <c r="B569" s="27" t="s">
        <v>475</v>
      </c>
      <c r="C569" s="5" t="s">
        <v>1115</v>
      </c>
      <c r="D569" s="3" t="s">
        <v>454</v>
      </c>
      <c r="E569" s="3">
        <v>2170</v>
      </c>
      <c r="F569" s="28">
        <v>51</v>
      </c>
      <c r="G569" s="10">
        <v>47</v>
      </c>
      <c r="H569" s="3">
        <v>61</v>
      </c>
      <c r="I569" s="3">
        <v>57</v>
      </c>
      <c r="J569" t="str">
        <f t="shared" si="8"/>
        <v>http://www.badatelna.eu/reprodukce/?fondId=1073&amp;zaznamId=1108956&amp;reproId=3779643</v>
      </c>
      <c r="K569">
        <f>IF(LEN(TRIM(E569))=0,"",VLOOKUP(E569,Sheet2!$B$1:$E$19,2,FALSE))</f>
        <v>1073</v>
      </c>
      <c r="L569">
        <f>IF(LEN(TRIM(E569))=0,"",VLOOKUP(E569,Sheet2!$B$1:$E$19,3,FALSE))</f>
        <v>1108956</v>
      </c>
      <c r="M569">
        <f>IF(LEN(TRIM(E569))=0,"",VLOOKUP(E569,Sheet2!$B$1:$E$19,4,FALSE))+(F569-1)</f>
        <v>3779643</v>
      </c>
    </row>
    <row r="570" spans="1:17" s="1" customFormat="1" ht="15" customHeight="1" x14ac:dyDescent="0.25">
      <c r="A570" s="28" t="s">
        <v>193</v>
      </c>
      <c r="B570" s="28" t="s">
        <v>13</v>
      </c>
      <c r="C570" s="18" t="s">
        <v>2445</v>
      </c>
      <c r="D570" s="1" t="s">
        <v>454</v>
      </c>
      <c r="E570" s="1">
        <v>2173</v>
      </c>
      <c r="F570" s="28">
        <v>204</v>
      </c>
      <c r="G570" s="1">
        <v>17</v>
      </c>
      <c r="H570" s="1" t="s">
        <v>3073</v>
      </c>
      <c r="I570" s="1" t="s">
        <v>3073</v>
      </c>
      <c r="J570" t="str">
        <f t="shared" si="8"/>
        <v>http://www.badatelna.eu/reprodukce/?fondId=1073&amp;zaznamId=1108959&amp;reproId=3780197</v>
      </c>
      <c r="K570">
        <f>IF(LEN(TRIM(E570))=0,"",VLOOKUP(E570,Sheet2!$B$1:$E$19,2,FALSE))</f>
        <v>1073</v>
      </c>
      <c r="L570">
        <f>IF(LEN(TRIM(E570))=0,"",VLOOKUP(E570,Sheet2!$B$1:$E$19,3,FALSE))</f>
        <v>1108959</v>
      </c>
      <c r="M570">
        <f>IF(LEN(TRIM(E570))=0,"",VLOOKUP(E570,Sheet2!$B$1:$E$19,4,FALSE))+(F570-1)</f>
        <v>3780197</v>
      </c>
    </row>
    <row r="571" spans="1:17" s="1" customFormat="1" ht="15" customHeight="1" x14ac:dyDescent="0.25">
      <c r="A571" s="27" t="s">
        <v>193</v>
      </c>
      <c r="B571" s="27" t="s">
        <v>13</v>
      </c>
      <c r="C571" s="5" t="s">
        <v>1488</v>
      </c>
      <c r="D571" s="3" t="s">
        <v>454</v>
      </c>
      <c r="E571" s="3">
        <v>2171</v>
      </c>
      <c r="F571" s="28">
        <v>58</v>
      </c>
      <c r="G571" s="10">
        <v>44</v>
      </c>
      <c r="H571" s="3">
        <v>58</v>
      </c>
      <c r="I571" s="3">
        <v>44</v>
      </c>
      <c r="J571" t="str">
        <f t="shared" si="8"/>
        <v>http://www.badatelna.eu/reprodukce/?fondId=1073&amp;zaznamId=1108957&amp;reproId=3779725</v>
      </c>
      <c r="K571">
        <f>IF(LEN(TRIM(E571))=0,"",VLOOKUP(E571,Sheet2!$B$1:$E$19,2,FALSE))</f>
        <v>1073</v>
      </c>
      <c r="L571">
        <f>IF(LEN(TRIM(E571))=0,"",VLOOKUP(E571,Sheet2!$B$1:$E$19,3,FALSE))</f>
        <v>1108957</v>
      </c>
      <c r="M571">
        <f>IF(LEN(TRIM(E571))=0,"",VLOOKUP(E571,Sheet2!$B$1:$E$19,4,FALSE))+(F571-1)</f>
        <v>3779725</v>
      </c>
      <c r="N571"/>
      <c r="O571"/>
      <c r="P571"/>
      <c r="Q571"/>
    </row>
    <row r="572" spans="1:17" s="1" customFormat="1" ht="15" customHeight="1" x14ac:dyDescent="0.25">
      <c r="A572" s="28" t="s">
        <v>808</v>
      </c>
      <c r="B572" s="28" t="s">
        <v>290</v>
      </c>
      <c r="C572" s="6" t="s">
        <v>1116</v>
      </c>
      <c r="D572" s="1" t="s">
        <v>454</v>
      </c>
      <c r="E572" s="1">
        <v>2172</v>
      </c>
      <c r="F572" s="28">
        <v>4</v>
      </c>
      <c r="G572" s="9">
        <v>1</v>
      </c>
      <c r="H572" s="1">
        <v>8</v>
      </c>
      <c r="I572" s="1">
        <v>1</v>
      </c>
      <c r="J572" t="str">
        <f t="shared" si="8"/>
        <v>http://www.badatelna.eu/reprodukce/?fondId=1073&amp;zaznamId=1108958&amp;reproId=3779745</v>
      </c>
      <c r="K572">
        <f>IF(LEN(TRIM(E572))=0,"",VLOOKUP(E572,Sheet2!$B$1:$E$19,2,FALSE))</f>
        <v>1073</v>
      </c>
      <c r="L572">
        <f>IF(LEN(TRIM(E572))=0,"",VLOOKUP(E572,Sheet2!$B$1:$E$19,3,FALSE))</f>
        <v>1108958</v>
      </c>
      <c r="M572">
        <f>IF(LEN(TRIM(E572))=0,"",VLOOKUP(E572,Sheet2!$B$1:$E$19,4,FALSE))+(F572-1)</f>
        <v>3779745</v>
      </c>
      <c r="N572"/>
      <c r="O572"/>
      <c r="P572"/>
      <c r="Q572"/>
    </row>
    <row r="573" spans="1:17" s="1" customFormat="1" ht="15" customHeight="1" x14ac:dyDescent="0.25">
      <c r="A573" s="28" t="s">
        <v>808</v>
      </c>
      <c r="B573" s="28" t="s">
        <v>522</v>
      </c>
      <c r="C573" s="6" t="s">
        <v>1498</v>
      </c>
      <c r="D573" s="1" t="s">
        <v>454</v>
      </c>
      <c r="E573" s="1">
        <v>2172</v>
      </c>
      <c r="F573" s="28">
        <v>6</v>
      </c>
      <c r="G573" s="9">
        <v>3</v>
      </c>
      <c r="H573" s="1">
        <v>8</v>
      </c>
      <c r="I573" s="1">
        <v>1</v>
      </c>
      <c r="J573" t="str">
        <f t="shared" si="8"/>
        <v>http://www.badatelna.eu/reprodukce/?fondId=1073&amp;zaznamId=1108958&amp;reproId=3779747</v>
      </c>
      <c r="K573">
        <f>IF(LEN(TRIM(E573))=0,"",VLOOKUP(E573,Sheet2!$B$1:$E$19,2,FALSE))</f>
        <v>1073</v>
      </c>
      <c r="L573">
        <f>IF(LEN(TRIM(E573))=0,"",VLOOKUP(E573,Sheet2!$B$1:$E$19,3,FALSE))</f>
        <v>1108958</v>
      </c>
      <c r="M573">
        <f>IF(LEN(TRIM(E573))=0,"",VLOOKUP(E573,Sheet2!$B$1:$E$19,4,FALSE))+(F573-1)</f>
        <v>3779747</v>
      </c>
    </row>
    <row r="574" spans="1:17" s="1" customFormat="1" ht="15" customHeight="1" x14ac:dyDescent="0.25">
      <c r="A574" s="28" t="s">
        <v>808</v>
      </c>
      <c r="B574" s="28" t="s">
        <v>486</v>
      </c>
      <c r="C574" s="6" t="s">
        <v>1564</v>
      </c>
      <c r="D574" s="1" t="s">
        <v>454</v>
      </c>
      <c r="E574" s="1">
        <v>2172</v>
      </c>
      <c r="F574" s="28">
        <v>19</v>
      </c>
      <c r="G574" s="9" t="s">
        <v>1041</v>
      </c>
      <c r="H574" s="1">
        <v>24</v>
      </c>
      <c r="I574" s="1">
        <v>23</v>
      </c>
      <c r="J574" t="str">
        <f t="shared" si="8"/>
        <v>http://www.badatelna.eu/reprodukce/?fondId=1073&amp;zaznamId=1108958&amp;reproId=3779760</v>
      </c>
      <c r="K574">
        <f>IF(LEN(TRIM(E574))=0,"",VLOOKUP(E574,Sheet2!$B$1:$E$19,2,FALSE))</f>
        <v>1073</v>
      </c>
      <c r="L574">
        <f>IF(LEN(TRIM(E574))=0,"",VLOOKUP(E574,Sheet2!$B$1:$E$19,3,FALSE))</f>
        <v>1108958</v>
      </c>
      <c r="M574">
        <f>IF(LEN(TRIM(E574))=0,"",VLOOKUP(E574,Sheet2!$B$1:$E$19,4,FALSE))+(F574-1)</f>
        <v>3779760</v>
      </c>
      <c r="N574"/>
      <c r="O574"/>
      <c r="P574"/>
      <c r="Q574"/>
    </row>
    <row r="575" spans="1:17" s="1" customFormat="1" ht="15" customHeight="1" x14ac:dyDescent="0.25">
      <c r="A575" s="28"/>
      <c r="B575" s="28"/>
      <c r="C575" s="38" t="s">
        <v>3113</v>
      </c>
      <c r="F575" s="28"/>
      <c r="G575" s="9"/>
      <c r="J575" t="str">
        <f t="shared" si="8"/>
        <v/>
      </c>
      <c r="K575" t="str">
        <f>IF(LEN(TRIM(E575))=0,"",VLOOKUP(E575,Sheet2!$B$1:$E$19,2,FALSE))</f>
        <v/>
      </c>
      <c r="L575" t="str">
        <f>IF(LEN(TRIM(E575))=0,"",VLOOKUP(E575,Sheet2!$B$1:$E$19,3,FALSE))</f>
        <v/>
      </c>
      <c r="M575" t="e">
        <f>IF(LEN(TRIM(E575))=0,"",VLOOKUP(E575,Sheet2!$B$1:$E$19,4,FALSE))+(F575-1)</f>
        <v>#VALUE!</v>
      </c>
      <c r="N575"/>
      <c r="O575"/>
      <c r="P575"/>
      <c r="Q575"/>
    </row>
    <row r="576" spans="1:17" s="1" customFormat="1" ht="15" customHeight="1" x14ac:dyDescent="0.25">
      <c r="A576" s="28" t="s">
        <v>457</v>
      </c>
      <c r="B576" s="28" t="s">
        <v>48</v>
      </c>
      <c r="C576" s="6" t="s">
        <v>2477</v>
      </c>
      <c r="D576" s="1" t="s">
        <v>454</v>
      </c>
      <c r="E576" s="1">
        <v>2173</v>
      </c>
      <c r="F576" s="28">
        <v>205</v>
      </c>
      <c r="G576" s="1">
        <v>19</v>
      </c>
      <c r="H576" s="1" t="s">
        <v>3073</v>
      </c>
      <c r="I576" s="1" t="s">
        <v>3073</v>
      </c>
      <c r="J576" t="str">
        <f t="shared" si="8"/>
        <v>http://www.badatelna.eu/reprodukce/?fondId=1073&amp;zaznamId=1108959&amp;reproId=3780198</v>
      </c>
      <c r="K576">
        <f>IF(LEN(TRIM(E576))=0,"",VLOOKUP(E576,Sheet2!$B$1:$E$19,2,FALSE))</f>
        <v>1073</v>
      </c>
      <c r="L576">
        <f>IF(LEN(TRIM(E576))=0,"",VLOOKUP(E576,Sheet2!$B$1:$E$19,3,FALSE))</f>
        <v>1108959</v>
      </c>
      <c r="M576">
        <f>IF(LEN(TRIM(E576))=0,"",VLOOKUP(E576,Sheet2!$B$1:$E$19,4,FALSE))+(F576-1)</f>
        <v>3780198</v>
      </c>
      <c r="N576"/>
      <c r="O576"/>
      <c r="P576"/>
      <c r="Q576"/>
    </row>
    <row r="577" spans="1:17" s="1" customFormat="1" ht="15" customHeight="1" x14ac:dyDescent="0.25">
      <c r="A577" s="28" t="s">
        <v>809</v>
      </c>
      <c r="B577" s="28" t="s">
        <v>810</v>
      </c>
      <c r="C577" s="6" t="s">
        <v>1812</v>
      </c>
      <c r="D577" s="1" t="s">
        <v>454</v>
      </c>
      <c r="E577" s="1">
        <v>2172</v>
      </c>
      <c r="F577" s="28">
        <v>166</v>
      </c>
      <c r="G577" s="9">
        <v>159</v>
      </c>
      <c r="H577" s="1" t="s">
        <v>3073</v>
      </c>
      <c r="I577" s="1" t="s">
        <v>3073</v>
      </c>
      <c r="J577" t="str">
        <f t="shared" si="8"/>
        <v>http://www.badatelna.eu/reprodukce/?fondId=1073&amp;zaznamId=1108958&amp;reproId=3779907</v>
      </c>
      <c r="K577">
        <f>IF(LEN(TRIM(E577))=0,"",VLOOKUP(E577,Sheet2!$B$1:$E$19,2,FALSE))</f>
        <v>1073</v>
      </c>
      <c r="L577">
        <f>IF(LEN(TRIM(E577))=0,"",VLOOKUP(E577,Sheet2!$B$1:$E$19,3,FALSE))</f>
        <v>1108958</v>
      </c>
      <c r="M577">
        <f>IF(LEN(TRIM(E577))=0,"",VLOOKUP(E577,Sheet2!$B$1:$E$19,4,FALSE))+(F577-1)</f>
        <v>3779907</v>
      </c>
      <c r="N577"/>
      <c r="O577"/>
      <c r="P577"/>
      <c r="Q577"/>
    </row>
    <row r="578" spans="1:17" s="1" customFormat="1" ht="15" customHeight="1" x14ac:dyDescent="0.25">
      <c r="A578" s="28" t="s">
        <v>809</v>
      </c>
      <c r="B578" s="28" t="s">
        <v>198</v>
      </c>
      <c r="C578" s="6" t="s">
        <v>1954</v>
      </c>
      <c r="D578" s="1" t="s">
        <v>454</v>
      </c>
      <c r="E578" s="1">
        <v>2172</v>
      </c>
      <c r="F578" s="28">
        <v>231</v>
      </c>
      <c r="G578" s="9">
        <v>211</v>
      </c>
      <c r="H578" s="1" t="s">
        <v>3073</v>
      </c>
      <c r="I578" s="1" t="s">
        <v>3073</v>
      </c>
      <c r="J578" t="str">
        <f t="shared" si="8"/>
        <v>http://www.badatelna.eu/reprodukce/?fondId=1073&amp;zaznamId=1108958&amp;reproId=3779972</v>
      </c>
      <c r="K578">
        <f>IF(LEN(TRIM(E578))=0,"",VLOOKUP(E578,Sheet2!$B$1:$E$19,2,FALSE))</f>
        <v>1073</v>
      </c>
      <c r="L578">
        <f>IF(LEN(TRIM(E578))=0,"",VLOOKUP(E578,Sheet2!$B$1:$E$19,3,FALSE))</f>
        <v>1108958</v>
      </c>
      <c r="M578">
        <f>IF(LEN(TRIM(E578))=0,"",VLOOKUP(E578,Sheet2!$B$1:$E$19,4,FALSE))+(F578-1)</f>
        <v>3779972</v>
      </c>
    </row>
    <row r="579" spans="1:17" s="1" customFormat="1" ht="15" customHeight="1" x14ac:dyDescent="0.25">
      <c r="A579" s="28" t="s">
        <v>809</v>
      </c>
      <c r="B579" s="28" t="s">
        <v>715</v>
      </c>
      <c r="C579" s="15">
        <v>2990</v>
      </c>
      <c r="D579" s="1" t="s">
        <v>454</v>
      </c>
      <c r="E579" s="1">
        <v>2172</v>
      </c>
      <c r="F579" s="28">
        <v>172</v>
      </c>
      <c r="G579" s="9" t="s">
        <v>3092</v>
      </c>
      <c r="H579" s="1" t="s">
        <v>3073</v>
      </c>
      <c r="I579" s="1" t="s">
        <v>3073</v>
      </c>
      <c r="J579" t="str">
        <f t="shared" ref="J579:J642" si="9">IF(LEN(TRIM(E579))=0,"","http://www.badatelna.eu/reprodukce/?fondId="&amp;K579&amp;"&amp;zaznamId="&amp;L579&amp;"&amp;reproId="&amp;M579)</f>
        <v>http://www.badatelna.eu/reprodukce/?fondId=1073&amp;zaznamId=1108958&amp;reproId=3779913</v>
      </c>
      <c r="K579">
        <f>IF(LEN(TRIM(E579))=0,"",VLOOKUP(E579,Sheet2!$B$1:$E$19,2,FALSE))</f>
        <v>1073</v>
      </c>
      <c r="L579">
        <f>IF(LEN(TRIM(E579))=0,"",VLOOKUP(E579,Sheet2!$B$1:$E$19,3,FALSE))</f>
        <v>1108958</v>
      </c>
      <c r="M579">
        <f>IF(LEN(TRIM(E579))=0,"",VLOOKUP(E579,Sheet2!$B$1:$E$19,4,FALSE))+(F579-1)</f>
        <v>3779913</v>
      </c>
    </row>
    <row r="580" spans="1:17" s="1" customFormat="1" ht="15" customHeight="1" x14ac:dyDescent="0.25">
      <c r="A580" s="28" t="s">
        <v>811</v>
      </c>
      <c r="B580" s="28" t="s">
        <v>812</v>
      </c>
      <c r="C580" s="6" t="s">
        <v>1965</v>
      </c>
      <c r="D580" s="1" t="s">
        <v>454</v>
      </c>
      <c r="E580" s="1">
        <v>2172</v>
      </c>
      <c r="F580" s="28">
        <v>237</v>
      </c>
      <c r="G580" s="9">
        <v>217</v>
      </c>
      <c r="H580" s="1" t="s">
        <v>3073</v>
      </c>
      <c r="I580" s="1" t="s">
        <v>3073</v>
      </c>
      <c r="J580" t="str">
        <f t="shared" si="9"/>
        <v>http://www.badatelna.eu/reprodukce/?fondId=1073&amp;zaznamId=1108958&amp;reproId=3779978</v>
      </c>
      <c r="K580">
        <f>IF(LEN(TRIM(E580))=0,"",VLOOKUP(E580,Sheet2!$B$1:$E$19,2,FALSE))</f>
        <v>1073</v>
      </c>
      <c r="L580">
        <f>IF(LEN(TRIM(E580))=0,"",VLOOKUP(E580,Sheet2!$B$1:$E$19,3,FALSE))</f>
        <v>1108958</v>
      </c>
      <c r="M580">
        <f>IF(LEN(TRIM(E580))=0,"",VLOOKUP(E580,Sheet2!$B$1:$E$19,4,FALSE))+(F580-1)</f>
        <v>3779978</v>
      </c>
    </row>
    <row r="581" spans="1:17" s="1" customFormat="1" ht="15" customHeight="1" x14ac:dyDescent="0.25">
      <c r="A581" s="28" t="s">
        <v>813</v>
      </c>
      <c r="B581" s="28" t="s">
        <v>814</v>
      </c>
      <c r="C581" s="6" t="s">
        <v>1829</v>
      </c>
      <c r="D581" s="1" t="s">
        <v>454</v>
      </c>
      <c r="E581" s="1">
        <v>2172</v>
      </c>
      <c r="F581" s="28">
        <v>171</v>
      </c>
      <c r="G581" s="9" t="s">
        <v>3093</v>
      </c>
      <c r="H581" s="1" t="s">
        <v>3073</v>
      </c>
      <c r="I581" s="1" t="s">
        <v>3073</v>
      </c>
      <c r="J581" t="str">
        <f t="shared" si="9"/>
        <v>http://www.badatelna.eu/reprodukce/?fondId=1073&amp;zaznamId=1108958&amp;reproId=3779912</v>
      </c>
      <c r="K581">
        <f>IF(LEN(TRIM(E581))=0,"",VLOOKUP(E581,Sheet2!$B$1:$E$19,2,FALSE))</f>
        <v>1073</v>
      </c>
      <c r="L581">
        <f>IF(LEN(TRIM(E581))=0,"",VLOOKUP(E581,Sheet2!$B$1:$E$19,3,FALSE))</f>
        <v>1108958</v>
      </c>
      <c r="M581">
        <f>IF(LEN(TRIM(E581))=0,"",VLOOKUP(E581,Sheet2!$B$1:$E$19,4,FALSE))+(F581-1)</f>
        <v>3779912</v>
      </c>
    </row>
    <row r="582" spans="1:17" s="1" customFormat="1" ht="15" customHeight="1" x14ac:dyDescent="0.25">
      <c r="A582" s="28" t="s">
        <v>815</v>
      </c>
      <c r="B582" s="28" t="s">
        <v>54</v>
      </c>
      <c r="C582" s="6" t="s">
        <v>1708</v>
      </c>
      <c r="D582" s="1" t="s">
        <v>454</v>
      </c>
      <c r="E582" s="1">
        <v>2172</v>
      </c>
      <c r="F582" s="28">
        <v>120</v>
      </c>
      <c r="G582" s="9" t="s">
        <v>2772</v>
      </c>
      <c r="H582" s="1">
        <v>123</v>
      </c>
      <c r="I582" s="1">
        <v>122</v>
      </c>
      <c r="J582" t="str">
        <f t="shared" si="9"/>
        <v>http://www.badatelna.eu/reprodukce/?fondId=1073&amp;zaznamId=1108958&amp;reproId=3779861</v>
      </c>
      <c r="K582">
        <f>IF(LEN(TRIM(E582))=0,"",VLOOKUP(E582,Sheet2!$B$1:$E$19,2,FALSE))</f>
        <v>1073</v>
      </c>
      <c r="L582">
        <f>IF(LEN(TRIM(E582))=0,"",VLOOKUP(E582,Sheet2!$B$1:$E$19,3,FALSE))</f>
        <v>1108958</v>
      </c>
      <c r="M582">
        <f>IF(LEN(TRIM(E582))=0,"",VLOOKUP(E582,Sheet2!$B$1:$E$19,4,FALSE))+(F582-1)</f>
        <v>3779861</v>
      </c>
    </row>
    <row r="583" spans="1:17" s="1" customFormat="1" ht="15" customHeight="1" x14ac:dyDescent="0.25">
      <c r="A583" s="28" t="s">
        <v>816</v>
      </c>
      <c r="B583" s="28" t="s">
        <v>359</v>
      </c>
      <c r="C583" s="1">
        <v>1885</v>
      </c>
      <c r="D583" s="1" t="s">
        <v>454</v>
      </c>
      <c r="E583" s="1">
        <v>2172</v>
      </c>
      <c r="F583" s="28">
        <v>47</v>
      </c>
      <c r="G583" s="9">
        <v>46</v>
      </c>
      <c r="H583" s="1">
        <v>48</v>
      </c>
      <c r="I583" s="1">
        <v>49</v>
      </c>
      <c r="J583" t="str">
        <f t="shared" si="9"/>
        <v>http://www.badatelna.eu/reprodukce/?fondId=1073&amp;zaznamId=1108958&amp;reproId=3779788</v>
      </c>
      <c r="K583">
        <f>IF(LEN(TRIM(E583))=0,"",VLOOKUP(E583,Sheet2!$B$1:$E$19,2,FALSE))</f>
        <v>1073</v>
      </c>
      <c r="L583">
        <f>IF(LEN(TRIM(E583))=0,"",VLOOKUP(E583,Sheet2!$B$1:$E$19,3,FALSE))</f>
        <v>1108958</v>
      </c>
      <c r="M583">
        <f>IF(LEN(TRIM(E583))=0,"",VLOOKUP(E583,Sheet2!$B$1:$E$19,4,FALSE))+(F583-1)</f>
        <v>3779788</v>
      </c>
    </row>
    <row r="584" spans="1:17" s="1" customFormat="1" ht="15" customHeight="1" x14ac:dyDescent="0.25">
      <c r="A584" s="28" t="s">
        <v>111</v>
      </c>
      <c r="B584" s="28" t="s">
        <v>594</v>
      </c>
      <c r="C584" s="6" t="s">
        <v>1818</v>
      </c>
      <c r="D584" s="1" t="s">
        <v>454</v>
      </c>
      <c r="E584" s="1">
        <v>2172</v>
      </c>
      <c r="F584" s="28">
        <v>168</v>
      </c>
      <c r="G584" s="9">
        <v>161</v>
      </c>
      <c r="H584" s="1" t="s">
        <v>3073</v>
      </c>
      <c r="I584" s="1" t="s">
        <v>3073</v>
      </c>
      <c r="J584" t="str">
        <f t="shared" si="9"/>
        <v>http://www.badatelna.eu/reprodukce/?fondId=1073&amp;zaznamId=1108958&amp;reproId=3779909</v>
      </c>
      <c r="K584">
        <f>IF(LEN(TRIM(E584))=0,"",VLOOKUP(E584,Sheet2!$B$1:$E$19,2,FALSE))</f>
        <v>1073</v>
      </c>
      <c r="L584">
        <f>IF(LEN(TRIM(E584))=0,"",VLOOKUP(E584,Sheet2!$B$1:$E$19,3,FALSE))</f>
        <v>1108958</v>
      </c>
      <c r="M584">
        <f>IF(LEN(TRIM(E584))=0,"",VLOOKUP(E584,Sheet2!$B$1:$E$19,4,FALSE))+(F584-1)</f>
        <v>3779909</v>
      </c>
      <c r="N584"/>
      <c r="O584"/>
      <c r="P584"/>
      <c r="Q584"/>
    </row>
    <row r="585" spans="1:17" s="1" customFormat="1" ht="15" customHeight="1" x14ac:dyDescent="0.25">
      <c r="A585" s="27" t="s">
        <v>111</v>
      </c>
      <c r="B585" s="27" t="s">
        <v>507</v>
      </c>
      <c r="C585" s="5" t="s">
        <v>1117</v>
      </c>
      <c r="D585" s="3" t="s">
        <v>454</v>
      </c>
      <c r="E585" s="3">
        <v>2170</v>
      </c>
      <c r="F585" s="28">
        <v>44</v>
      </c>
      <c r="G585" s="10">
        <v>40</v>
      </c>
      <c r="H585" s="3">
        <v>62</v>
      </c>
      <c r="I585" s="3">
        <v>58</v>
      </c>
      <c r="J585" t="str">
        <f t="shared" si="9"/>
        <v>http://www.badatelna.eu/reprodukce/?fondId=1073&amp;zaznamId=1108956&amp;reproId=3779636</v>
      </c>
      <c r="K585">
        <f>IF(LEN(TRIM(E585))=0,"",VLOOKUP(E585,Sheet2!$B$1:$E$19,2,FALSE))</f>
        <v>1073</v>
      </c>
      <c r="L585">
        <f>IF(LEN(TRIM(E585))=0,"",VLOOKUP(E585,Sheet2!$B$1:$E$19,3,FALSE))</f>
        <v>1108956</v>
      </c>
      <c r="M585">
        <f>IF(LEN(TRIM(E585))=0,"",VLOOKUP(E585,Sheet2!$B$1:$E$19,4,FALSE))+(F585-1)</f>
        <v>3779636</v>
      </c>
    </row>
    <row r="586" spans="1:17" s="1" customFormat="1" ht="15" customHeight="1" x14ac:dyDescent="0.25">
      <c r="A586" s="28" t="s">
        <v>111</v>
      </c>
      <c r="B586" s="28" t="s">
        <v>817</v>
      </c>
      <c r="C586" s="6" t="s">
        <v>1531</v>
      </c>
      <c r="D586" s="1" t="s">
        <v>454</v>
      </c>
      <c r="E586" s="1">
        <v>2172</v>
      </c>
      <c r="F586" s="28">
        <v>14</v>
      </c>
      <c r="G586" s="9">
        <v>13</v>
      </c>
      <c r="H586" s="1" t="s">
        <v>3073</v>
      </c>
      <c r="I586" s="1" t="s">
        <v>3073</v>
      </c>
      <c r="J586" t="str">
        <f t="shared" si="9"/>
        <v>http://www.badatelna.eu/reprodukce/?fondId=1073&amp;zaznamId=1108958&amp;reproId=3779755</v>
      </c>
      <c r="K586">
        <f>IF(LEN(TRIM(E586))=0,"",VLOOKUP(E586,Sheet2!$B$1:$E$19,2,FALSE))</f>
        <v>1073</v>
      </c>
      <c r="L586">
        <f>IF(LEN(TRIM(E586))=0,"",VLOOKUP(E586,Sheet2!$B$1:$E$19,3,FALSE))</f>
        <v>1108958</v>
      </c>
      <c r="M586">
        <f>IF(LEN(TRIM(E586))=0,"",VLOOKUP(E586,Sheet2!$B$1:$E$19,4,FALSE))+(F586-1)</f>
        <v>3779755</v>
      </c>
    </row>
    <row r="587" spans="1:17" s="1" customFormat="1" ht="15" customHeight="1" x14ac:dyDescent="0.25">
      <c r="A587" s="28" t="s">
        <v>111</v>
      </c>
      <c r="B587" s="28" t="s">
        <v>280</v>
      </c>
      <c r="C587" s="6" t="s">
        <v>2041</v>
      </c>
      <c r="D587" s="1" t="s">
        <v>454</v>
      </c>
      <c r="E587" s="1">
        <v>2173</v>
      </c>
      <c r="F587" s="28">
        <v>181</v>
      </c>
      <c r="G587" s="9">
        <v>8</v>
      </c>
      <c r="H587" s="1">
        <v>187</v>
      </c>
      <c r="I587" s="1">
        <v>416</v>
      </c>
      <c r="J587" t="str">
        <f t="shared" si="9"/>
        <v>http://www.badatelna.eu/reprodukce/?fondId=1073&amp;zaznamId=1108959&amp;reproId=3780174</v>
      </c>
      <c r="K587">
        <f>IF(LEN(TRIM(E587))=0,"",VLOOKUP(E587,Sheet2!$B$1:$E$19,2,FALSE))</f>
        <v>1073</v>
      </c>
      <c r="L587">
        <f>IF(LEN(TRIM(E587))=0,"",VLOOKUP(E587,Sheet2!$B$1:$E$19,3,FALSE))</f>
        <v>1108959</v>
      </c>
      <c r="M587">
        <f>IF(LEN(TRIM(E587))=0,"",VLOOKUP(E587,Sheet2!$B$1:$E$19,4,FALSE))+(F587-1)</f>
        <v>3780174</v>
      </c>
    </row>
    <row r="588" spans="1:17" s="1" customFormat="1" ht="15" customHeight="1" x14ac:dyDescent="0.25">
      <c r="A588" s="27" t="s">
        <v>111</v>
      </c>
      <c r="B588" s="27" t="s">
        <v>340</v>
      </c>
      <c r="C588" s="5" t="s">
        <v>1118</v>
      </c>
      <c r="D588" s="3" t="s">
        <v>454</v>
      </c>
      <c r="E588" s="3">
        <v>2170</v>
      </c>
      <c r="F588" s="31">
        <v>38</v>
      </c>
      <c r="G588" s="10">
        <v>34</v>
      </c>
      <c r="H588" s="3">
        <v>62</v>
      </c>
      <c r="I588" s="3">
        <v>58</v>
      </c>
      <c r="J588" t="str">
        <f t="shared" si="9"/>
        <v>http://www.badatelna.eu/reprodukce/?fondId=1073&amp;zaznamId=1108956&amp;reproId=3779630</v>
      </c>
      <c r="K588">
        <f>IF(LEN(TRIM(E588))=0,"",VLOOKUP(E588,Sheet2!$B$1:$E$19,2,FALSE))</f>
        <v>1073</v>
      </c>
      <c r="L588">
        <f>IF(LEN(TRIM(E588))=0,"",VLOOKUP(E588,Sheet2!$B$1:$E$19,3,FALSE))</f>
        <v>1108956</v>
      </c>
      <c r="M588">
        <f>IF(LEN(TRIM(E588))=0,"",VLOOKUP(E588,Sheet2!$B$1:$E$19,4,FALSE))+(F588-1)</f>
        <v>3779630</v>
      </c>
    </row>
    <row r="589" spans="1:17" s="17" customFormat="1" ht="15" customHeight="1" x14ac:dyDescent="0.25">
      <c r="A589" s="28" t="s">
        <v>111</v>
      </c>
      <c r="B589" s="28" t="s">
        <v>198</v>
      </c>
      <c r="C589" s="1">
        <v>1855</v>
      </c>
      <c r="D589" s="1" t="s">
        <v>2919</v>
      </c>
      <c r="E589" s="1">
        <v>998</v>
      </c>
      <c r="F589" s="28">
        <v>45</v>
      </c>
      <c r="G589" s="1">
        <v>43</v>
      </c>
      <c r="H589" s="1">
        <v>67</v>
      </c>
      <c r="I589" s="1">
        <v>64</v>
      </c>
      <c r="J589" t="str">
        <f t="shared" si="9"/>
        <v>http://www.badatelna.eu/reprodukce/?fondId=241&amp;zaznamId=1133738&amp;reproId=3885691</v>
      </c>
      <c r="K589">
        <f>IF(LEN(TRIM(E589))=0,"",VLOOKUP(E589,Sheet2!$B$1:$E$19,2,FALSE))</f>
        <v>241</v>
      </c>
      <c r="L589">
        <f>IF(LEN(TRIM(E589))=0,"",VLOOKUP(E589,Sheet2!$B$1:$E$19,3,FALSE))</f>
        <v>1133738</v>
      </c>
      <c r="M589">
        <f>IF(LEN(TRIM(E589))=0,"",VLOOKUP(E589,Sheet2!$B$1:$E$19,4,FALSE))+(F589-1)</f>
        <v>3885691</v>
      </c>
      <c r="N589" s="1"/>
      <c r="O589" s="1"/>
      <c r="P589" s="1"/>
      <c r="Q589" s="1"/>
    </row>
    <row r="590" spans="1:17" s="17" customFormat="1" ht="15" customHeight="1" x14ac:dyDescent="0.25">
      <c r="A590" s="28" t="s">
        <v>111</v>
      </c>
      <c r="B590" s="28" t="s">
        <v>16</v>
      </c>
      <c r="C590" s="6" t="s">
        <v>2586</v>
      </c>
      <c r="D590" s="1" t="s">
        <v>454</v>
      </c>
      <c r="E590" s="1">
        <v>2173</v>
      </c>
      <c r="F590" s="28">
        <v>215</v>
      </c>
      <c r="G590" s="9">
        <v>40</v>
      </c>
      <c r="H590" s="1" t="s">
        <v>3073</v>
      </c>
      <c r="I590" s="1" t="s">
        <v>3073</v>
      </c>
      <c r="J590" t="str">
        <f t="shared" si="9"/>
        <v>http://www.badatelna.eu/reprodukce/?fondId=1073&amp;zaznamId=1108959&amp;reproId=3780208</v>
      </c>
      <c r="K590">
        <f>IF(LEN(TRIM(E590))=0,"",VLOOKUP(E590,Sheet2!$B$1:$E$19,2,FALSE))</f>
        <v>1073</v>
      </c>
      <c r="L590">
        <f>IF(LEN(TRIM(E590))=0,"",VLOOKUP(E590,Sheet2!$B$1:$E$19,3,FALSE))</f>
        <v>1108959</v>
      </c>
      <c r="M590">
        <f>IF(LEN(TRIM(E590))=0,"",VLOOKUP(E590,Sheet2!$B$1:$E$19,4,FALSE))+(F590-1)</f>
        <v>3780208</v>
      </c>
      <c r="N590"/>
      <c r="O590"/>
      <c r="P590"/>
      <c r="Q590"/>
    </row>
    <row r="591" spans="1:17" s="17" customFormat="1" ht="15" customHeight="1" x14ac:dyDescent="0.25">
      <c r="A591" s="28" t="s">
        <v>111</v>
      </c>
      <c r="B591" s="28" t="s">
        <v>511</v>
      </c>
      <c r="C591" s="1">
        <v>1854</v>
      </c>
      <c r="D591" s="1" t="s">
        <v>2919</v>
      </c>
      <c r="E591" s="1">
        <v>998</v>
      </c>
      <c r="F591" s="28">
        <v>40</v>
      </c>
      <c r="G591" s="1">
        <v>38</v>
      </c>
      <c r="H591" s="1">
        <v>67</v>
      </c>
      <c r="I591" s="1">
        <v>64</v>
      </c>
      <c r="J591" t="str">
        <f t="shared" si="9"/>
        <v>http://www.badatelna.eu/reprodukce/?fondId=241&amp;zaznamId=1133738&amp;reproId=3885686</v>
      </c>
      <c r="K591">
        <f>IF(LEN(TRIM(E591))=0,"",VLOOKUP(E591,Sheet2!$B$1:$E$19,2,FALSE))</f>
        <v>241</v>
      </c>
      <c r="L591">
        <f>IF(LEN(TRIM(E591))=0,"",VLOOKUP(E591,Sheet2!$B$1:$E$19,3,FALSE))</f>
        <v>1133738</v>
      </c>
      <c r="M591">
        <f>IF(LEN(TRIM(E591))=0,"",VLOOKUP(E591,Sheet2!$B$1:$E$19,4,FALSE))+(F591-1)</f>
        <v>3885686</v>
      </c>
      <c r="N591" s="1"/>
      <c r="O591" s="1"/>
      <c r="P591" s="1"/>
      <c r="Q591" s="1"/>
    </row>
    <row r="592" spans="1:17" s="1" customFormat="1" ht="15" customHeight="1" x14ac:dyDescent="0.25">
      <c r="A592" s="28" t="s">
        <v>111</v>
      </c>
      <c r="B592" s="28" t="s">
        <v>272</v>
      </c>
      <c r="C592" s="1">
        <v>1883</v>
      </c>
      <c r="D592" s="1" t="s">
        <v>454</v>
      </c>
      <c r="E592" s="1">
        <v>2172</v>
      </c>
      <c r="F592" s="28">
        <v>33</v>
      </c>
      <c r="G592" s="9">
        <v>32</v>
      </c>
      <c r="H592" s="1">
        <v>36</v>
      </c>
      <c r="I592" s="1">
        <v>35</v>
      </c>
      <c r="J592" t="str">
        <f t="shared" si="9"/>
        <v>http://www.badatelna.eu/reprodukce/?fondId=1073&amp;zaznamId=1108958&amp;reproId=3779774</v>
      </c>
      <c r="K592">
        <f>IF(LEN(TRIM(E592))=0,"",VLOOKUP(E592,Sheet2!$B$1:$E$19,2,FALSE))</f>
        <v>1073</v>
      </c>
      <c r="L592">
        <f>IF(LEN(TRIM(E592))=0,"",VLOOKUP(E592,Sheet2!$B$1:$E$19,3,FALSE))</f>
        <v>1108958</v>
      </c>
      <c r="M592">
        <f>IF(LEN(TRIM(E592))=0,"",VLOOKUP(E592,Sheet2!$B$1:$E$19,4,FALSE))+(F592-1)</f>
        <v>3779774</v>
      </c>
    </row>
    <row r="593" spans="1:17" s="17" customFormat="1" ht="15" customHeight="1" x14ac:dyDescent="0.25">
      <c r="A593" s="28" t="s">
        <v>111</v>
      </c>
      <c r="B593" s="28" t="s">
        <v>28</v>
      </c>
      <c r="C593" s="6" t="s">
        <v>2654</v>
      </c>
      <c r="D593" s="1" t="s">
        <v>454</v>
      </c>
      <c r="E593" s="1">
        <v>2173</v>
      </c>
      <c r="F593" s="28">
        <v>222</v>
      </c>
      <c r="G593" s="9">
        <v>49</v>
      </c>
      <c r="H593" s="1" t="s">
        <v>3073</v>
      </c>
      <c r="I593" s="1" t="s">
        <v>3073</v>
      </c>
      <c r="J593" t="str">
        <f t="shared" si="9"/>
        <v>http://www.badatelna.eu/reprodukce/?fondId=1073&amp;zaznamId=1108959&amp;reproId=3780215</v>
      </c>
      <c r="K593">
        <f>IF(LEN(TRIM(E593))=0,"",VLOOKUP(E593,Sheet2!$B$1:$E$19,2,FALSE))</f>
        <v>1073</v>
      </c>
      <c r="L593">
        <f>IF(LEN(TRIM(E593))=0,"",VLOOKUP(E593,Sheet2!$B$1:$E$19,3,FALSE))</f>
        <v>1108959</v>
      </c>
      <c r="M593">
        <f>IF(LEN(TRIM(E593))=0,"",VLOOKUP(E593,Sheet2!$B$1:$E$19,4,FALSE))+(F593-1)</f>
        <v>3780215</v>
      </c>
      <c r="N593"/>
      <c r="O593"/>
      <c r="P593"/>
      <c r="Q593"/>
    </row>
    <row r="594" spans="1:17" s="1" customFormat="1" ht="15" customHeight="1" x14ac:dyDescent="0.25">
      <c r="A594" s="28" t="s">
        <v>111</v>
      </c>
      <c r="B594" s="28" t="s">
        <v>483</v>
      </c>
      <c r="C594" s="15">
        <v>4964</v>
      </c>
      <c r="D594" s="1" t="s">
        <v>454</v>
      </c>
      <c r="E594" s="1">
        <v>2172</v>
      </c>
      <c r="F594" s="28">
        <v>183</v>
      </c>
      <c r="G594" s="9">
        <v>174</v>
      </c>
      <c r="H594" s="1" t="s">
        <v>3073</v>
      </c>
      <c r="I594" s="1" t="s">
        <v>3073</v>
      </c>
      <c r="J594" t="str">
        <f t="shared" si="9"/>
        <v>http://www.badatelna.eu/reprodukce/?fondId=1073&amp;zaznamId=1108958&amp;reproId=3779924</v>
      </c>
      <c r="K594">
        <f>IF(LEN(TRIM(E594))=0,"",VLOOKUP(E594,Sheet2!$B$1:$E$19,2,FALSE))</f>
        <v>1073</v>
      </c>
      <c r="L594">
        <f>IF(LEN(TRIM(E594))=0,"",VLOOKUP(E594,Sheet2!$B$1:$E$19,3,FALSE))</f>
        <v>1108958</v>
      </c>
      <c r="M594">
        <f>IF(LEN(TRIM(E594))=0,"",VLOOKUP(E594,Sheet2!$B$1:$E$19,4,FALSE))+(F594-1)</f>
        <v>3779924</v>
      </c>
    </row>
    <row r="595" spans="1:17" s="1" customFormat="1" ht="15" customHeight="1" x14ac:dyDescent="0.25">
      <c r="A595" s="28" t="s">
        <v>111</v>
      </c>
      <c r="B595" s="28" t="s">
        <v>328</v>
      </c>
      <c r="C595" s="15">
        <v>3176</v>
      </c>
      <c r="D595" s="1" t="s">
        <v>454</v>
      </c>
      <c r="E595" s="1">
        <v>2172</v>
      </c>
      <c r="F595" s="28">
        <v>172</v>
      </c>
      <c r="G595" s="9" t="s">
        <v>3092</v>
      </c>
      <c r="H595" s="1" t="s">
        <v>3073</v>
      </c>
      <c r="I595" s="1" t="s">
        <v>3073</v>
      </c>
      <c r="J595" t="str">
        <f t="shared" si="9"/>
        <v>http://www.badatelna.eu/reprodukce/?fondId=1073&amp;zaznamId=1108958&amp;reproId=3779913</v>
      </c>
      <c r="K595">
        <f>IF(LEN(TRIM(E595))=0,"",VLOOKUP(E595,Sheet2!$B$1:$E$19,2,FALSE))</f>
        <v>1073</v>
      </c>
      <c r="L595">
        <f>IF(LEN(TRIM(E595))=0,"",VLOOKUP(E595,Sheet2!$B$1:$E$19,3,FALSE))</f>
        <v>1108958</v>
      </c>
      <c r="M595">
        <f>IF(LEN(TRIM(E595))=0,"",VLOOKUP(E595,Sheet2!$B$1:$E$19,4,FALSE))+(F595-1)</f>
        <v>3779913</v>
      </c>
      <c r="N595"/>
      <c r="O595"/>
      <c r="P595"/>
      <c r="Q595"/>
    </row>
    <row r="596" spans="1:17" s="1" customFormat="1" ht="15" customHeight="1" x14ac:dyDescent="0.25">
      <c r="A596" s="28" t="s">
        <v>111</v>
      </c>
      <c r="B596" s="28" t="s">
        <v>254</v>
      </c>
      <c r="C596" s="6" t="s">
        <v>1564</v>
      </c>
      <c r="D596" s="1" t="s">
        <v>454</v>
      </c>
      <c r="E596" s="1">
        <v>2172</v>
      </c>
      <c r="F596" s="28">
        <v>22</v>
      </c>
      <c r="G596" s="9">
        <v>21</v>
      </c>
      <c r="H596" s="1">
        <v>24</v>
      </c>
      <c r="I596" s="1">
        <v>23</v>
      </c>
      <c r="J596" t="str">
        <f t="shared" si="9"/>
        <v>http://www.badatelna.eu/reprodukce/?fondId=1073&amp;zaznamId=1108958&amp;reproId=3779763</v>
      </c>
      <c r="K596">
        <f>IF(LEN(TRIM(E596))=0,"",VLOOKUP(E596,Sheet2!$B$1:$E$19,2,FALSE))</f>
        <v>1073</v>
      </c>
      <c r="L596">
        <f>IF(LEN(TRIM(E596))=0,"",VLOOKUP(E596,Sheet2!$B$1:$E$19,3,FALSE))</f>
        <v>1108958</v>
      </c>
      <c r="M596">
        <f>IF(LEN(TRIM(E596))=0,"",VLOOKUP(E596,Sheet2!$B$1:$E$19,4,FALSE))+(F596-1)</f>
        <v>3779763</v>
      </c>
    </row>
    <row r="597" spans="1:17" s="1" customFormat="1" ht="15" customHeight="1" x14ac:dyDescent="0.25">
      <c r="A597" s="28" t="s">
        <v>111</v>
      </c>
      <c r="B597" s="28" t="s">
        <v>54</v>
      </c>
      <c r="C597" s="1">
        <v>1862</v>
      </c>
      <c r="D597" s="1" t="s">
        <v>2919</v>
      </c>
      <c r="E597" s="1">
        <v>999</v>
      </c>
      <c r="F597" s="28">
        <v>80</v>
      </c>
      <c r="G597" s="1">
        <v>1</v>
      </c>
      <c r="H597" s="1">
        <v>98</v>
      </c>
      <c r="I597" s="1">
        <v>157</v>
      </c>
      <c r="J597" t="str">
        <f t="shared" si="9"/>
        <v>http://www.badatelna.eu/reprodukce/?fondId=241&amp;zaznamId=1133739&amp;reproId=3885809</v>
      </c>
      <c r="K597">
        <f>IF(LEN(TRIM(E597))=0,"",VLOOKUP(E597,Sheet2!$B$1:$E$19,2,FALSE))</f>
        <v>241</v>
      </c>
      <c r="L597">
        <f>IF(LEN(TRIM(E597))=0,"",VLOOKUP(E597,Sheet2!$B$1:$E$19,3,FALSE))</f>
        <v>1133739</v>
      </c>
      <c r="M597">
        <f>IF(LEN(TRIM(E597))=0,"",VLOOKUP(E597,Sheet2!$B$1:$E$19,4,FALSE))+(F597-1)</f>
        <v>3885809</v>
      </c>
    </row>
    <row r="598" spans="1:17" s="1" customFormat="1" ht="15" customHeight="1" x14ac:dyDescent="0.25">
      <c r="A598" s="28" t="s">
        <v>111</v>
      </c>
      <c r="B598" s="28" t="s">
        <v>54</v>
      </c>
      <c r="C598" s="6" t="s">
        <v>2314</v>
      </c>
      <c r="D598" s="1" t="s">
        <v>454</v>
      </c>
      <c r="E598" s="1">
        <v>2173</v>
      </c>
      <c r="F598" s="31">
        <v>199</v>
      </c>
      <c r="G598" s="9">
        <v>7</v>
      </c>
      <c r="H598" s="1" t="s">
        <v>3073</v>
      </c>
      <c r="I598" s="1" t="s">
        <v>3073</v>
      </c>
      <c r="J598" t="str">
        <f t="shared" si="9"/>
        <v>http://www.badatelna.eu/reprodukce/?fondId=1073&amp;zaznamId=1108959&amp;reproId=3780192</v>
      </c>
      <c r="K598">
        <f>IF(LEN(TRIM(E598))=0,"",VLOOKUP(E598,Sheet2!$B$1:$E$19,2,FALSE))</f>
        <v>1073</v>
      </c>
      <c r="L598">
        <f>IF(LEN(TRIM(E598))=0,"",VLOOKUP(E598,Sheet2!$B$1:$E$19,3,FALSE))</f>
        <v>1108959</v>
      </c>
      <c r="M598">
        <f>IF(LEN(TRIM(E598))=0,"",VLOOKUP(E598,Sheet2!$B$1:$E$19,4,FALSE))+(F598-1)</f>
        <v>3780192</v>
      </c>
    </row>
    <row r="599" spans="1:17" s="1" customFormat="1" ht="15" customHeight="1" x14ac:dyDescent="0.25">
      <c r="A599" s="28" t="s">
        <v>111</v>
      </c>
      <c r="B599" s="28" t="s">
        <v>486</v>
      </c>
      <c r="C599" s="6" t="s">
        <v>1512</v>
      </c>
      <c r="D599" s="1" t="s">
        <v>454</v>
      </c>
      <c r="E599" s="1">
        <v>2172</v>
      </c>
      <c r="F599" s="28">
        <v>11</v>
      </c>
      <c r="G599" s="9">
        <v>10</v>
      </c>
      <c r="H599" s="1" t="s">
        <v>3073</v>
      </c>
      <c r="I599" s="1" t="s">
        <v>3073</v>
      </c>
      <c r="J599" t="str">
        <f t="shared" si="9"/>
        <v>http://www.badatelna.eu/reprodukce/?fondId=1073&amp;zaznamId=1108958&amp;reproId=3779752</v>
      </c>
      <c r="K599">
        <f>IF(LEN(TRIM(E599))=0,"",VLOOKUP(E599,Sheet2!$B$1:$E$19,2,FALSE))</f>
        <v>1073</v>
      </c>
      <c r="L599">
        <f>IF(LEN(TRIM(E599))=0,"",VLOOKUP(E599,Sheet2!$B$1:$E$19,3,FALSE))</f>
        <v>1108958</v>
      </c>
      <c r="M599">
        <f>IF(LEN(TRIM(E599))=0,"",VLOOKUP(E599,Sheet2!$B$1:$E$19,4,FALSE))+(F599-1)</f>
        <v>3779752</v>
      </c>
      <c r="N599"/>
      <c r="O599"/>
      <c r="P599"/>
      <c r="Q599"/>
    </row>
    <row r="600" spans="1:17" s="1" customFormat="1" ht="15" customHeight="1" x14ac:dyDescent="0.25">
      <c r="A600" s="28" t="s">
        <v>818</v>
      </c>
      <c r="B600" s="28" t="s">
        <v>819</v>
      </c>
      <c r="C600" s="6" t="s">
        <v>1887</v>
      </c>
      <c r="D600" s="1" t="s">
        <v>454</v>
      </c>
      <c r="E600" s="1">
        <v>2172</v>
      </c>
      <c r="F600" s="28">
        <v>195</v>
      </c>
      <c r="G600" s="9">
        <v>185</v>
      </c>
      <c r="H600" s="1" t="s">
        <v>3073</v>
      </c>
      <c r="I600" s="1" t="s">
        <v>3073</v>
      </c>
      <c r="J600" t="str">
        <f t="shared" si="9"/>
        <v>http://www.badatelna.eu/reprodukce/?fondId=1073&amp;zaznamId=1108958&amp;reproId=3779936</v>
      </c>
      <c r="K600">
        <f>IF(LEN(TRIM(E600))=0,"",VLOOKUP(E600,Sheet2!$B$1:$E$19,2,FALSE))</f>
        <v>1073</v>
      </c>
      <c r="L600">
        <f>IF(LEN(TRIM(E600))=0,"",VLOOKUP(E600,Sheet2!$B$1:$E$19,3,FALSE))</f>
        <v>1108958</v>
      </c>
      <c r="M600">
        <f>IF(LEN(TRIM(E600))=0,"",VLOOKUP(E600,Sheet2!$B$1:$E$19,4,FALSE))+(F600-1)</f>
        <v>3779936</v>
      </c>
    </row>
    <row r="601" spans="1:17" s="1" customFormat="1" ht="15" customHeight="1" x14ac:dyDescent="0.25">
      <c r="A601" s="28" t="s">
        <v>820</v>
      </c>
      <c r="B601" s="28" t="s">
        <v>821</v>
      </c>
      <c r="C601" s="15">
        <v>6881</v>
      </c>
      <c r="D601" s="1" t="s">
        <v>454</v>
      </c>
      <c r="E601" s="1">
        <v>2172</v>
      </c>
      <c r="F601" s="28">
        <v>195</v>
      </c>
      <c r="G601" s="9">
        <v>185</v>
      </c>
      <c r="H601" s="1" t="s">
        <v>3073</v>
      </c>
      <c r="I601" s="1" t="s">
        <v>3073</v>
      </c>
      <c r="J601" t="str">
        <f t="shared" si="9"/>
        <v>http://www.badatelna.eu/reprodukce/?fondId=1073&amp;zaznamId=1108958&amp;reproId=3779936</v>
      </c>
      <c r="K601">
        <f>IF(LEN(TRIM(E601))=0,"",VLOOKUP(E601,Sheet2!$B$1:$E$19,2,FALSE))</f>
        <v>1073</v>
      </c>
      <c r="L601">
        <f>IF(LEN(TRIM(E601))=0,"",VLOOKUP(E601,Sheet2!$B$1:$E$19,3,FALSE))</f>
        <v>1108958</v>
      </c>
      <c r="M601">
        <f>IF(LEN(TRIM(E601))=0,"",VLOOKUP(E601,Sheet2!$B$1:$E$19,4,FALSE))+(F601-1)</f>
        <v>3779936</v>
      </c>
    </row>
    <row r="602" spans="1:17" s="1" customFormat="1" ht="15" customHeight="1" x14ac:dyDescent="0.25">
      <c r="A602" s="28" t="s">
        <v>822</v>
      </c>
      <c r="B602" s="28" t="s">
        <v>823</v>
      </c>
      <c r="C602" s="6" t="s">
        <v>1762</v>
      </c>
      <c r="D602" s="1" t="s">
        <v>454</v>
      </c>
      <c r="E602" s="1">
        <v>2172</v>
      </c>
      <c r="F602" s="28">
        <v>143</v>
      </c>
      <c r="G602" s="9">
        <v>140</v>
      </c>
      <c r="H602" s="1">
        <v>145</v>
      </c>
      <c r="I602" s="1">
        <v>142</v>
      </c>
      <c r="J602" t="str">
        <f t="shared" si="9"/>
        <v>http://www.badatelna.eu/reprodukce/?fondId=1073&amp;zaznamId=1108958&amp;reproId=3779884</v>
      </c>
      <c r="K602">
        <f>IF(LEN(TRIM(E602))=0,"",VLOOKUP(E602,Sheet2!$B$1:$E$19,2,FALSE))</f>
        <v>1073</v>
      </c>
      <c r="L602">
        <f>IF(LEN(TRIM(E602))=0,"",VLOOKUP(E602,Sheet2!$B$1:$E$19,3,FALSE))</f>
        <v>1108958</v>
      </c>
      <c r="M602">
        <f>IF(LEN(TRIM(E602))=0,"",VLOOKUP(E602,Sheet2!$B$1:$E$19,4,FALSE))+(F602-1)</f>
        <v>3779884</v>
      </c>
      <c r="N602"/>
      <c r="O602"/>
      <c r="P602"/>
      <c r="Q602"/>
    </row>
    <row r="603" spans="1:17" s="1" customFormat="1" ht="15" customHeight="1" x14ac:dyDescent="0.25">
      <c r="C603" s="38" t="s">
        <v>3115</v>
      </c>
      <c r="G603" s="9"/>
      <c r="J603" t="str">
        <f t="shared" si="9"/>
        <v/>
      </c>
      <c r="K603" t="str">
        <f>IF(LEN(TRIM(E603))=0,"",VLOOKUP(E603,Sheet2!$B$1:$E$19,2,FALSE))</f>
        <v/>
      </c>
      <c r="L603" t="str">
        <f>IF(LEN(TRIM(E603))=0,"",VLOOKUP(E603,Sheet2!$B$1:$E$19,3,FALSE))</f>
        <v/>
      </c>
      <c r="M603" t="e">
        <f>IF(LEN(TRIM(E603))=0,"",VLOOKUP(E603,Sheet2!$B$1:$E$19,4,FALSE))+(F603-1)</f>
        <v>#VALUE!</v>
      </c>
      <c r="N603" s="40"/>
      <c r="O603" s="40"/>
      <c r="P603" s="40"/>
      <c r="Q603" s="40"/>
    </row>
    <row r="604" spans="1:17" s="1" customFormat="1" ht="15" customHeight="1" x14ac:dyDescent="0.25">
      <c r="A604" s="28" t="s">
        <v>824</v>
      </c>
      <c r="B604" s="28" t="s">
        <v>825</v>
      </c>
      <c r="C604" s="15">
        <v>6338</v>
      </c>
      <c r="D604" s="1" t="s">
        <v>454</v>
      </c>
      <c r="E604" s="1">
        <v>2172</v>
      </c>
      <c r="F604" s="28">
        <v>193</v>
      </c>
      <c r="G604" s="9">
        <v>183</v>
      </c>
      <c r="H604" s="1" t="s">
        <v>3073</v>
      </c>
      <c r="I604" s="1" t="s">
        <v>3073</v>
      </c>
      <c r="J604" t="str">
        <f t="shared" si="9"/>
        <v>http://www.badatelna.eu/reprodukce/?fondId=1073&amp;zaznamId=1108958&amp;reproId=3779934</v>
      </c>
      <c r="K604">
        <f>IF(LEN(TRIM(E604))=0,"",VLOOKUP(E604,Sheet2!$B$1:$E$19,2,FALSE))</f>
        <v>1073</v>
      </c>
      <c r="L604">
        <f>IF(LEN(TRIM(E604))=0,"",VLOOKUP(E604,Sheet2!$B$1:$E$19,3,FALSE))</f>
        <v>1108958</v>
      </c>
      <c r="M604">
        <f>IF(LEN(TRIM(E604))=0,"",VLOOKUP(E604,Sheet2!$B$1:$E$19,4,FALSE))+(F604-1)</f>
        <v>3779934</v>
      </c>
      <c r="N604"/>
      <c r="O604"/>
      <c r="P604"/>
      <c r="Q604"/>
    </row>
    <row r="605" spans="1:17" s="1" customFormat="1" ht="15" customHeight="1" x14ac:dyDescent="0.25">
      <c r="A605" s="28" t="s">
        <v>73</v>
      </c>
      <c r="B605" s="28" t="s">
        <v>465</v>
      </c>
      <c r="C605" s="1">
        <v>1854</v>
      </c>
      <c r="D605" s="1" t="s">
        <v>2919</v>
      </c>
      <c r="E605" s="1">
        <v>998</v>
      </c>
      <c r="F605" s="28">
        <v>43</v>
      </c>
      <c r="G605" s="1">
        <v>41</v>
      </c>
      <c r="H605" s="1">
        <v>67</v>
      </c>
      <c r="I605" s="1">
        <v>64</v>
      </c>
      <c r="J605" t="str">
        <f t="shared" si="9"/>
        <v>http://www.badatelna.eu/reprodukce/?fondId=241&amp;zaznamId=1133738&amp;reproId=3885689</v>
      </c>
      <c r="K605">
        <f>IF(LEN(TRIM(E605))=0,"",VLOOKUP(E605,Sheet2!$B$1:$E$19,2,FALSE))</f>
        <v>241</v>
      </c>
      <c r="L605">
        <f>IF(LEN(TRIM(E605))=0,"",VLOOKUP(E605,Sheet2!$B$1:$E$19,3,FALSE))</f>
        <v>1133738</v>
      </c>
      <c r="M605">
        <f>IF(LEN(TRIM(E605))=0,"",VLOOKUP(E605,Sheet2!$B$1:$E$19,4,FALSE))+(F605-1)</f>
        <v>3885689</v>
      </c>
    </row>
    <row r="606" spans="1:17" s="1" customFormat="1" ht="15" customHeight="1" x14ac:dyDescent="0.25">
      <c r="A606" s="28" t="s">
        <v>73</v>
      </c>
      <c r="B606" s="28" t="s">
        <v>465</v>
      </c>
      <c r="C606" s="6" t="s">
        <v>1920</v>
      </c>
      <c r="D606" s="1" t="s">
        <v>454</v>
      </c>
      <c r="E606" s="1">
        <v>2172</v>
      </c>
      <c r="F606" s="28">
        <v>213</v>
      </c>
      <c r="G606" s="9">
        <v>197</v>
      </c>
      <c r="H606" s="1" t="s">
        <v>3073</v>
      </c>
      <c r="I606" s="1" t="s">
        <v>3073</v>
      </c>
      <c r="J606" t="str">
        <f t="shared" si="9"/>
        <v>http://www.badatelna.eu/reprodukce/?fondId=1073&amp;zaznamId=1108958&amp;reproId=3779954</v>
      </c>
      <c r="K606">
        <f>IF(LEN(TRIM(E606))=0,"",VLOOKUP(E606,Sheet2!$B$1:$E$19,2,FALSE))</f>
        <v>1073</v>
      </c>
      <c r="L606">
        <f>IF(LEN(TRIM(E606))=0,"",VLOOKUP(E606,Sheet2!$B$1:$E$19,3,FALSE))</f>
        <v>1108958</v>
      </c>
      <c r="M606">
        <f>IF(LEN(TRIM(E606))=0,"",VLOOKUP(E606,Sheet2!$B$1:$E$19,4,FALSE))+(F606-1)</f>
        <v>3779954</v>
      </c>
    </row>
    <row r="607" spans="1:17" s="1" customFormat="1" ht="15" customHeight="1" x14ac:dyDescent="0.25">
      <c r="A607" s="28" t="s">
        <v>73</v>
      </c>
      <c r="B607" s="28" t="s">
        <v>281</v>
      </c>
      <c r="C607" s="6" t="s">
        <v>2042</v>
      </c>
      <c r="D607" s="1" t="s">
        <v>454</v>
      </c>
      <c r="E607" s="1">
        <v>2173</v>
      </c>
      <c r="F607" s="28">
        <v>183</v>
      </c>
      <c r="G607" s="9">
        <v>13</v>
      </c>
      <c r="H607" s="1">
        <v>187</v>
      </c>
      <c r="I607" s="1">
        <v>416</v>
      </c>
      <c r="J607" t="str">
        <f t="shared" si="9"/>
        <v>http://www.badatelna.eu/reprodukce/?fondId=1073&amp;zaznamId=1108959&amp;reproId=3780176</v>
      </c>
      <c r="K607">
        <f>IF(LEN(TRIM(E607))=0,"",VLOOKUP(E607,Sheet2!$B$1:$E$19,2,FALSE))</f>
        <v>1073</v>
      </c>
      <c r="L607">
        <f>IF(LEN(TRIM(E607))=0,"",VLOOKUP(E607,Sheet2!$B$1:$E$19,3,FALSE))</f>
        <v>1108959</v>
      </c>
      <c r="M607">
        <f>IF(LEN(TRIM(E607))=0,"",VLOOKUP(E607,Sheet2!$B$1:$E$19,4,FALSE))+(F607-1)</f>
        <v>3780176</v>
      </c>
      <c r="N607"/>
      <c r="O607"/>
      <c r="P607"/>
      <c r="Q607"/>
    </row>
    <row r="608" spans="1:17" s="1" customFormat="1" ht="15" customHeight="1" x14ac:dyDescent="0.25">
      <c r="A608" s="28" t="s">
        <v>73</v>
      </c>
      <c r="B608" s="28" t="s">
        <v>493</v>
      </c>
      <c r="C608" s="6" t="s">
        <v>1895</v>
      </c>
      <c r="D608" s="1" t="s">
        <v>454</v>
      </c>
      <c r="E608" s="1">
        <v>2172</v>
      </c>
      <c r="F608" s="28">
        <v>201</v>
      </c>
      <c r="G608" s="9">
        <v>188</v>
      </c>
      <c r="H608" s="1" t="s">
        <v>3073</v>
      </c>
      <c r="I608" s="1" t="s">
        <v>3073</v>
      </c>
      <c r="J608" t="str">
        <f t="shared" si="9"/>
        <v>http://www.badatelna.eu/reprodukce/?fondId=1073&amp;zaznamId=1108958&amp;reproId=3779942</v>
      </c>
      <c r="K608">
        <f>IF(LEN(TRIM(E608))=0,"",VLOOKUP(E608,Sheet2!$B$1:$E$19,2,FALSE))</f>
        <v>1073</v>
      </c>
      <c r="L608">
        <f>IF(LEN(TRIM(E608))=0,"",VLOOKUP(E608,Sheet2!$B$1:$E$19,3,FALSE))</f>
        <v>1108958</v>
      </c>
      <c r="M608">
        <f>IF(LEN(TRIM(E608))=0,"",VLOOKUP(E608,Sheet2!$B$1:$E$19,4,FALSE))+(F608-1)</f>
        <v>3779942</v>
      </c>
      <c r="N608"/>
      <c r="O608"/>
      <c r="P608"/>
      <c r="Q608"/>
    </row>
    <row r="609" spans="1:17" s="1" customFormat="1" ht="15" customHeight="1" x14ac:dyDescent="0.25">
      <c r="A609" s="28" t="s">
        <v>73</v>
      </c>
      <c r="B609" s="28" t="s">
        <v>562</v>
      </c>
      <c r="C609" s="1">
        <v>1857</v>
      </c>
      <c r="D609" s="1" t="s">
        <v>2919</v>
      </c>
      <c r="E609" s="1">
        <v>998</v>
      </c>
      <c r="F609" s="28">
        <v>52</v>
      </c>
      <c r="G609" s="1">
        <v>50</v>
      </c>
      <c r="H609" s="1">
        <v>67</v>
      </c>
      <c r="I609" s="1">
        <v>64</v>
      </c>
      <c r="J609" t="str">
        <f t="shared" si="9"/>
        <v>http://www.badatelna.eu/reprodukce/?fondId=241&amp;zaznamId=1133738&amp;reproId=3885698</v>
      </c>
      <c r="K609">
        <f>IF(LEN(TRIM(E609))=0,"",VLOOKUP(E609,Sheet2!$B$1:$E$19,2,FALSE))</f>
        <v>241</v>
      </c>
      <c r="L609">
        <f>IF(LEN(TRIM(E609))=0,"",VLOOKUP(E609,Sheet2!$B$1:$E$19,3,FALSE))</f>
        <v>1133738</v>
      </c>
      <c r="M609">
        <f>IF(LEN(TRIM(E609))=0,"",VLOOKUP(E609,Sheet2!$B$1:$E$19,4,FALSE))+(F609-1)</f>
        <v>3885698</v>
      </c>
      <c r="N609"/>
      <c r="O609"/>
      <c r="P609"/>
      <c r="Q609"/>
    </row>
    <row r="610" spans="1:17" s="1" customFormat="1" ht="15" customHeight="1" x14ac:dyDescent="0.25">
      <c r="A610" s="28" t="s">
        <v>73</v>
      </c>
      <c r="B610" s="28" t="s">
        <v>84</v>
      </c>
      <c r="C610" s="6" t="s">
        <v>1655</v>
      </c>
      <c r="D610" s="1" t="s">
        <v>454</v>
      </c>
      <c r="E610" s="1">
        <v>2172</v>
      </c>
      <c r="F610" s="28">
        <v>101</v>
      </c>
      <c r="G610" s="9">
        <v>100</v>
      </c>
      <c r="H610" s="1">
        <v>103</v>
      </c>
      <c r="I610" s="1">
        <v>102</v>
      </c>
      <c r="J610" t="str">
        <f t="shared" si="9"/>
        <v>http://www.badatelna.eu/reprodukce/?fondId=1073&amp;zaznamId=1108958&amp;reproId=3779842</v>
      </c>
      <c r="K610">
        <f>IF(LEN(TRIM(E610))=0,"",VLOOKUP(E610,Sheet2!$B$1:$E$19,2,FALSE))</f>
        <v>1073</v>
      </c>
      <c r="L610">
        <f>IF(LEN(TRIM(E610))=0,"",VLOOKUP(E610,Sheet2!$B$1:$E$19,3,FALSE))</f>
        <v>1108958</v>
      </c>
      <c r="M610">
        <f>IF(LEN(TRIM(E610))=0,"",VLOOKUP(E610,Sheet2!$B$1:$E$19,4,FALSE))+(F610-1)</f>
        <v>3779842</v>
      </c>
    </row>
    <row r="611" spans="1:17" s="1" customFormat="1" ht="15" customHeight="1" x14ac:dyDescent="0.25">
      <c r="A611" s="28" t="s">
        <v>73</v>
      </c>
      <c r="B611" s="28" t="s">
        <v>80</v>
      </c>
      <c r="C611" s="6" t="s">
        <v>2315</v>
      </c>
      <c r="D611" s="1" t="s">
        <v>454</v>
      </c>
      <c r="E611" s="1">
        <v>2173</v>
      </c>
      <c r="F611" s="31">
        <v>199</v>
      </c>
      <c r="G611" s="9">
        <v>8</v>
      </c>
      <c r="H611" s="1" t="s">
        <v>3073</v>
      </c>
      <c r="I611" s="1" t="s">
        <v>3073</v>
      </c>
      <c r="J611" t="str">
        <f t="shared" si="9"/>
        <v>http://www.badatelna.eu/reprodukce/?fondId=1073&amp;zaznamId=1108959&amp;reproId=3780192</v>
      </c>
      <c r="K611">
        <f>IF(LEN(TRIM(E611))=0,"",VLOOKUP(E611,Sheet2!$B$1:$E$19,2,FALSE))</f>
        <v>1073</v>
      </c>
      <c r="L611">
        <f>IF(LEN(TRIM(E611))=0,"",VLOOKUP(E611,Sheet2!$B$1:$E$19,3,FALSE))</f>
        <v>1108959</v>
      </c>
      <c r="M611">
        <f>IF(LEN(TRIM(E611))=0,"",VLOOKUP(E611,Sheet2!$B$1:$E$19,4,FALSE))+(F611-1)</f>
        <v>3780192</v>
      </c>
    </row>
    <row r="612" spans="1:17" s="1" customFormat="1" ht="15" customHeight="1" x14ac:dyDescent="0.25">
      <c r="A612" s="28" t="s">
        <v>73</v>
      </c>
      <c r="B612" s="28" t="s">
        <v>443</v>
      </c>
      <c r="C612" s="1">
        <v>1856</v>
      </c>
      <c r="D612" s="1" t="s">
        <v>2919</v>
      </c>
      <c r="E612" s="1">
        <v>998</v>
      </c>
      <c r="F612" s="28">
        <v>49</v>
      </c>
      <c r="G612" s="1">
        <v>47</v>
      </c>
      <c r="H612" s="1">
        <v>67</v>
      </c>
      <c r="I612" s="1">
        <v>64</v>
      </c>
      <c r="J612" t="str">
        <f t="shared" si="9"/>
        <v>http://www.badatelna.eu/reprodukce/?fondId=241&amp;zaznamId=1133738&amp;reproId=3885695</v>
      </c>
      <c r="K612">
        <f>IF(LEN(TRIM(E612))=0,"",VLOOKUP(E612,Sheet2!$B$1:$E$19,2,FALSE))</f>
        <v>241</v>
      </c>
      <c r="L612">
        <f>IF(LEN(TRIM(E612))=0,"",VLOOKUP(E612,Sheet2!$B$1:$E$19,3,FALSE))</f>
        <v>1133738</v>
      </c>
      <c r="M612">
        <f>IF(LEN(TRIM(E612))=0,"",VLOOKUP(E612,Sheet2!$B$1:$E$19,4,FALSE))+(F612-1)</f>
        <v>3885695</v>
      </c>
    </row>
    <row r="613" spans="1:17" s="1" customFormat="1" ht="15" customHeight="1" x14ac:dyDescent="0.2">
      <c r="A613" s="31" t="s">
        <v>73</v>
      </c>
      <c r="B613" s="31" t="s">
        <v>60</v>
      </c>
      <c r="C613" s="7" t="s">
        <v>2252</v>
      </c>
      <c r="D613" s="1" t="s">
        <v>454</v>
      </c>
      <c r="E613" s="1">
        <v>2173</v>
      </c>
      <c r="F613" s="31">
        <v>197</v>
      </c>
      <c r="G613" s="12">
        <v>4</v>
      </c>
      <c r="H613" s="1" t="s">
        <v>3073</v>
      </c>
      <c r="I613" s="1" t="s">
        <v>3073</v>
      </c>
      <c r="J613" t="str">
        <f t="shared" si="9"/>
        <v>http://www.badatelna.eu/reprodukce/?fondId=1073&amp;zaznamId=1108959&amp;reproId=3780190</v>
      </c>
      <c r="K613">
        <f>IF(LEN(TRIM(E613))=0,"",VLOOKUP(E613,Sheet2!$B$1:$E$19,2,FALSE))</f>
        <v>1073</v>
      </c>
      <c r="L613">
        <f>IF(LEN(TRIM(E613))=0,"",VLOOKUP(E613,Sheet2!$B$1:$E$19,3,FALSE))</f>
        <v>1108959</v>
      </c>
      <c r="M613">
        <f>IF(LEN(TRIM(E613))=0,"",VLOOKUP(E613,Sheet2!$B$1:$E$19,4,FALSE))+(F613-1)</f>
        <v>3780190</v>
      </c>
    </row>
    <row r="614" spans="1:17" s="1" customFormat="1" ht="15" customHeight="1" x14ac:dyDescent="0.25">
      <c r="A614" s="28" t="s">
        <v>73</v>
      </c>
      <c r="B614" s="28" t="s">
        <v>10</v>
      </c>
      <c r="C614" s="6" t="s">
        <v>2446</v>
      </c>
      <c r="D614" s="1" t="s">
        <v>454</v>
      </c>
      <c r="E614" s="1">
        <v>2173</v>
      </c>
      <c r="F614" s="28">
        <v>204</v>
      </c>
      <c r="G614" s="1">
        <v>18</v>
      </c>
      <c r="H614" s="1" t="s">
        <v>3073</v>
      </c>
      <c r="I614" s="1" t="s">
        <v>3073</v>
      </c>
      <c r="J614" t="str">
        <f t="shared" si="9"/>
        <v>http://www.badatelna.eu/reprodukce/?fondId=1073&amp;zaznamId=1108959&amp;reproId=3780197</v>
      </c>
      <c r="K614">
        <f>IF(LEN(TRIM(E614))=0,"",VLOOKUP(E614,Sheet2!$B$1:$E$19,2,FALSE))</f>
        <v>1073</v>
      </c>
      <c r="L614">
        <f>IF(LEN(TRIM(E614))=0,"",VLOOKUP(E614,Sheet2!$B$1:$E$19,3,FALSE))</f>
        <v>1108959</v>
      </c>
      <c r="M614">
        <f>IF(LEN(TRIM(E614))=0,"",VLOOKUP(E614,Sheet2!$B$1:$E$19,4,FALSE))+(F614-1)</f>
        <v>3780197</v>
      </c>
      <c r="N614"/>
      <c r="O614"/>
      <c r="P614"/>
      <c r="Q614"/>
    </row>
    <row r="615" spans="1:17" s="1" customFormat="1" ht="15" customHeight="1" x14ac:dyDescent="0.25">
      <c r="A615" s="28" t="s">
        <v>73</v>
      </c>
      <c r="B615" s="28" t="s">
        <v>198</v>
      </c>
      <c r="C615" s="1">
        <v>1849</v>
      </c>
      <c r="D615" s="1" t="s">
        <v>2919</v>
      </c>
      <c r="E615" s="1">
        <v>998</v>
      </c>
      <c r="F615" s="28">
        <v>24</v>
      </c>
      <c r="G615" s="1">
        <v>22</v>
      </c>
      <c r="H615" s="1">
        <v>67</v>
      </c>
      <c r="I615" s="1">
        <v>64</v>
      </c>
      <c r="J615" t="str">
        <f t="shared" si="9"/>
        <v>http://www.badatelna.eu/reprodukce/?fondId=241&amp;zaznamId=1133738&amp;reproId=3885670</v>
      </c>
      <c r="K615">
        <f>IF(LEN(TRIM(E615))=0,"",VLOOKUP(E615,Sheet2!$B$1:$E$19,2,FALSE))</f>
        <v>241</v>
      </c>
      <c r="L615">
        <f>IF(LEN(TRIM(E615))=0,"",VLOOKUP(E615,Sheet2!$B$1:$E$19,3,FALSE))</f>
        <v>1133738</v>
      </c>
      <c r="M615">
        <f>IF(LEN(TRIM(E615))=0,"",VLOOKUP(E615,Sheet2!$B$1:$E$19,4,FALSE))+(F615-1)</f>
        <v>3885670</v>
      </c>
    </row>
    <row r="616" spans="1:17" s="1" customFormat="1" ht="15" customHeight="1" x14ac:dyDescent="0.25">
      <c r="A616" s="28" t="s">
        <v>73</v>
      </c>
      <c r="B616" s="28" t="s">
        <v>213</v>
      </c>
      <c r="C616" s="6" t="s">
        <v>2043</v>
      </c>
      <c r="D616" s="1" t="s">
        <v>454</v>
      </c>
      <c r="E616" s="1">
        <v>2173</v>
      </c>
      <c r="F616" s="28">
        <v>182</v>
      </c>
      <c r="G616" s="9">
        <v>11</v>
      </c>
      <c r="H616" s="1">
        <v>187</v>
      </c>
      <c r="I616" s="1">
        <v>416</v>
      </c>
      <c r="J616" t="str">
        <f t="shared" si="9"/>
        <v>http://www.badatelna.eu/reprodukce/?fondId=1073&amp;zaznamId=1108959&amp;reproId=3780175</v>
      </c>
      <c r="K616">
        <f>IF(LEN(TRIM(E616))=0,"",VLOOKUP(E616,Sheet2!$B$1:$E$19,2,FALSE))</f>
        <v>1073</v>
      </c>
      <c r="L616">
        <f>IF(LEN(TRIM(E616))=0,"",VLOOKUP(E616,Sheet2!$B$1:$E$19,3,FALSE))</f>
        <v>1108959</v>
      </c>
      <c r="M616">
        <f>IF(LEN(TRIM(E616))=0,"",VLOOKUP(E616,Sheet2!$B$1:$E$19,4,FALSE))+(F616-1)</f>
        <v>3780175</v>
      </c>
    </row>
    <row r="617" spans="1:17" s="1" customFormat="1" ht="15" customHeight="1" x14ac:dyDescent="0.25">
      <c r="A617" s="28" t="s">
        <v>73</v>
      </c>
      <c r="B617" s="28" t="s">
        <v>483</v>
      </c>
      <c r="C617" s="1">
        <v>1855</v>
      </c>
      <c r="D617" s="1" t="s">
        <v>2919</v>
      </c>
      <c r="E617" s="1">
        <v>998</v>
      </c>
      <c r="F617" s="28">
        <v>47</v>
      </c>
      <c r="G617" s="1">
        <v>45</v>
      </c>
      <c r="H617" s="1">
        <v>67</v>
      </c>
      <c r="I617" s="1">
        <v>64</v>
      </c>
      <c r="J617" t="str">
        <f t="shared" si="9"/>
        <v>http://www.badatelna.eu/reprodukce/?fondId=241&amp;zaznamId=1133738&amp;reproId=3885693</v>
      </c>
      <c r="K617">
        <f>IF(LEN(TRIM(E617))=0,"",VLOOKUP(E617,Sheet2!$B$1:$E$19,2,FALSE))</f>
        <v>241</v>
      </c>
      <c r="L617">
        <f>IF(LEN(TRIM(E617))=0,"",VLOOKUP(E617,Sheet2!$B$1:$E$19,3,FALSE))</f>
        <v>1133738</v>
      </c>
      <c r="M617">
        <f>IF(LEN(TRIM(E617))=0,"",VLOOKUP(E617,Sheet2!$B$1:$E$19,4,FALSE))+(F617-1)</f>
        <v>3885693</v>
      </c>
    </row>
    <row r="618" spans="1:17" s="1" customFormat="1" ht="15" customHeight="1" x14ac:dyDescent="0.25">
      <c r="A618" s="28" t="s">
        <v>826</v>
      </c>
      <c r="B618" s="28" t="s">
        <v>590</v>
      </c>
      <c r="C618" s="6" t="s">
        <v>1906</v>
      </c>
      <c r="D618" s="1" t="s">
        <v>454</v>
      </c>
      <c r="E618" s="1">
        <v>2172</v>
      </c>
      <c r="F618" s="28">
        <v>209</v>
      </c>
      <c r="G618" s="9">
        <v>193</v>
      </c>
      <c r="H618" s="1" t="s">
        <v>3073</v>
      </c>
      <c r="I618" s="1" t="s">
        <v>3073</v>
      </c>
      <c r="J618" t="str">
        <f t="shared" si="9"/>
        <v>http://www.badatelna.eu/reprodukce/?fondId=1073&amp;zaznamId=1108958&amp;reproId=3779950</v>
      </c>
      <c r="K618">
        <f>IF(LEN(TRIM(E618))=0,"",VLOOKUP(E618,Sheet2!$B$1:$E$19,2,FALSE))</f>
        <v>1073</v>
      </c>
      <c r="L618">
        <f>IF(LEN(TRIM(E618))=0,"",VLOOKUP(E618,Sheet2!$B$1:$E$19,3,FALSE))</f>
        <v>1108958</v>
      </c>
      <c r="M618">
        <f>IF(LEN(TRIM(E618))=0,"",VLOOKUP(E618,Sheet2!$B$1:$E$19,4,FALSE))+(F618-1)</f>
        <v>3779950</v>
      </c>
    </row>
    <row r="619" spans="1:17" s="1" customFormat="1" ht="15" customHeight="1" x14ac:dyDescent="0.25">
      <c r="A619" s="28" t="s">
        <v>827</v>
      </c>
      <c r="B619" s="28" t="s">
        <v>686</v>
      </c>
      <c r="C619" s="15">
        <v>6767</v>
      </c>
      <c r="D619" s="1" t="s">
        <v>454</v>
      </c>
      <c r="E619" s="1">
        <v>2172</v>
      </c>
      <c r="F619" s="28">
        <v>194</v>
      </c>
      <c r="G619" s="9">
        <v>184</v>
      </c>
      <c r="H619" s="1" t="s">
        <v>3073</v>
      </c>
      <c r="I619" s="1" t="s">
        <v>3073</v>
      </c>
      <c r="J619" t="str">
        <f t="shared" si="9"/>
        <v>http://www.badatelna.eu/reprodukce/?fondId=1073&amp;zaznamId=1108958&amp;reproId=3779935</v>
      </c>
      <c r="K619">
        <f>IF(LEN(TRIM(E619))=0,"",VLOOKUP(E619,Sheet2!$B$1:$E$19,2,FALSE))</f>
        <v>1073</v>
      </c>
      <c r="L619">
        <f>IF(LEN(TRIM(E619))=0,"",VLOOKUP(E619,Sheet2!$B$1:$E$19,3,FALSE))</f>
        <v>1108958</v>
      </c>
      <c r="M619">
        <f>IF(LEN(TRIM(E619))=0,"",VLOOKUP(E619,Sheet2!$B$1:$E$19,4,FALSE))+(F619-1)</f>
        <v>3779935</v>
      </c>
    </row>
    <row r="620" spans="1:17" s="1" customFormat="1" ht="15" customHeight="1" x14ac:dyDescent="0.25">
      <c r="A620" s="28" t="s">
        <v>508</v>
      </c>
      <c r="B620" s="28" t="s">
        <v>420</v>
      </c>
      <c r="C620" s="1">
        <v>1863</v>
      </c>
      <c r="D620" s="1" t="s">
        <v>2919</v>
      </c>
      <c r="E620" s="1">
        <v>999</v>
      </c>
      <c r="F620" s="28">
        <v>84</v>
      </c>
      <c r="G620" s="1">
        <v>5</v>
      </c>
      <c r="H620" s="1">
        <v>98</v>
      </c>
      <c r="I620" s="1">
        <v>157</v>
      </c>
      <c r="J620" t="str">
        <f t="shared" si="9"/>
        <v>http://www.badatelna.eu/reprodukce/?fondId=241&amp;zaznamId=1133739&amp;reproId=3885813</v>
      </c>
      <c r="K620">
        <f>IF(LEN(TRIM(E620))=0,"",VLOOKUP(E620,Sheet2!$B$1:$E$19,2,FALSE))</f>
        <v>241</v>
      </c>
      <c r="L620">
        <f>IF(LEN(TRIM(E620))=0,"",VLOOKUP(E620,Sheet2!$B$1:$E$19,3,FALSE))</f>
        <v>1133739</v>
      </c>
      <c r="M620">
        <f>IF(LEN(TRIM(E620))=0,"",VLOOKUP(E620,Sheet2!$B$1:$E$19,4,FALSE))+(F620-1)</f>
        <v>3885813</v>
      </c>
    </row>
    <row r="621" spans="1:17" s="1" customFormat="1" ht="15" customHeight="1" x14ac:dyDescent="0.25">
      <c r="A621" s="27" t="s">
        <v>508</v>
      </c>
      <c r="B621" s="27" t="s">
        <v>0</v>
      </c>
      <c r="C621" s="5" t="s">
        <v>1119</v>
      </c>
      <c r="D621" s="3" t="s">
        <v>454</v>
      </c>
      <c r="E621" s="3">
        <v>2170</v>
      </c>
      <c r="F621" s="28">
        <v>58</v>
      </c>
      <c r="G621" s="10" t="s">
        <v>3076</v>
      </c>
      <c r="H621" s="3">
        <v>62</v>
      </c>
      <c r="I621" s="3">
        <v>58</v>
      </c>
      <c r="J621" t="str">
        <f t="shared" si="9"/>
        <v>http://www.badatelna.eu/reprodukce/?fondId=1073&amp;zaznamId=1108956&amp;reproId=3779650</v>
      </c>
      <c r="K621">
        <f>IF(LEN(TRIM(E621))=0,"",VLOOKUP(E621,Sheet2!$B$1:$E$19,2,FALSE))</f>
        <v>1073</v>
      </c>
      <c r="L621">
        <f>IF(LEN(TRIM(E621))=0,"",VLOOKUP(E621,Sheet2!$B$1:$E$19,3,FALSE))</f>
        <v>1108956</v>
      </c>
      <c r="M621">
        <f>IF(LEN(TRIM(E621))=0,"",VLOOKUP(E621,Sheet2!$B$1:$E$19,4,FALSE))+(F621-1)</f>
        <v>3779650</v>
      </c>
      <c r="N621"/>
      <c r="O621"/>
      <c r="P621"/>
      <c r="Q621"/>
    </row>
    <row r="622" spans="1:17" s="1" customFormat="1" ht="15" customHeight="1" x14ac:dyDescent="0.25">
      <c r="A622" s="28" t="s">
        <v>508</v>
      </c>
      <c r="B622" s="28" t="s">
        <v>522</v>
      </c>
      <c r="C622" s="1">
        <v>1858</v>
      </c>
      <c r="D622" s="1" t="s">
        <v>2919</v>
      </c>
      <c r="E622" s="1">
        <v>998</v>
      </c>
      <c r="F622" s="28">
        <v>55</v>
      </c>
      <c r="G622" s="1" t="s">
        <v>2939</v>
      </c>
      <c r="H622" s="1">
        <v>67</v>
      </c>
      <c r="I622" s="1">
        <v>64</v>
      </c>
      <c r="J622" t="str">
        <f t="shared" si="9"/>
        <v>http://www.badatelna.eu/reprodukce/?fondId=241&amp;zaznamId=1133738&amp;reproId=3885701</v>
      </c>
      <c r="K622">
        <f>IF(LEN(TRIM(E622))=0,"",VLOOKUP(E622,Sheet2!$B$1:$E$19,2,FALSE))</f>
        <v>241</v>
      </c>
      <c r="L622">
        <f>IF(LEN(TRIM(E622))=0,"",VLOOKUP(E622,Sheet2!$B$1:$E$19,3,FALSE))</f>
        <v>1133738</v>
      </c>
      <c r="M622">
        <f>IF(LEN(TRIM(E622))=0,"",VLOOKUP(E622,Sheet2!$B$1:$E$19,4,FALSE))+(F622-1)</f>
        <v>3885701</v>
      </c>
      <c r="N622"/>
      <c r="O622"/>
      <c r="P622"/>
      <c r="Q622"/>
    </row>
    <row r="623" spans="1:17" s="1" customFormat="1" ht="15" customHeight="1" x14ac:dyDescent="0.25">
      <c r="A623" s="27" t="s">
        <v>508</v>
      </c>
      <c r="B623" s="27" t="s">
        <v>25</v>
      </c>
      <c r="C623" s="5" t="s">
        <v>1120</v>
      </c>
      <c r="D623" s="3" t="s">
        <v>454</v>
      </c>
      <c r="E623" s="3">
        <v>2170</v>
      </c>
      <c r="F623" s="28">
        <v>56</v>
      </c>
      <c r="G623" s="10">
        <v>52</v>
      </c>
      <c r="H623" s="3">
        <v>62</v>
      </c>
      <c r="I623" s="3">
        <v>58</v>
      </c>
      <c r="J623" t="str">
        <f t="shared" si="9"/>
        <v>http://www.badatelna.eu/reprodukce/?fondId=1073&amp;zaznamId=1108956&amp;reproId=3779648</v>
      </c>
      <c r="K623">
        <f>IF(LEN(TRIM(E623))=0,"",VLOOKUP(E623,Sheet2!$B$1:$E$19,2,FALSE))</f>
        <v>1073</v>
      </c>
      <c r="L623">
        <f>IF(LEN(TRIM(E623))=0,"",VLOOKUP(E623,Sheet2!$B$1:$E$19,3,FALSE))</f>
        <v>1108956</v>
      </c>
      <c r="M623">
        <f>IF(LEN(TRIM(E623))=0,"",VLOOKUP(E623,Sheet2!$B$1:$E$19,4,FALSE))+(F623-1)</f>
        <v>3779648</v>
      </c>
    </row>
    <row r="624" spans="1:17" s="1" customFormat="1" ht="15" customHeight="1" x14ac:dyDescent="0.25">
      <c r="A624" s="28" t="s">
        <v>508</v>
      </c>
      <c r="B624" s="28" t="s">
        <v>631</v>
      </c>
      <c r="C624" s="1">
        <v>1865</v>
      </c>
      <c r="D624" s="1" t="s">
        <v>2919</v>
      </c>
      <c r="E624" s="1">
        <v>999</v>
      </c>
      <c r="F624" s="28">
        <v>88</v>
      </c>
      <c r="G624" s="1">
        <v>9</v>
      </c>
      <c r="H624" s="1">
        <v>98</v>
      </c>
      <c r="I624" s="1">
        <v>157</v>
      </c>
      <c r="J624" t="str">
        <f t="shared" si="9"/>
        <v>http://www.badatelna.eu/reprodukce/?fondId=241&amp;zaznamId=1133739&amp;reproId=3885817</v>
      </c>
      <c r="K624">
        <f>IF(LEN(TRIM(E624))=0,"",VLOOKUP(E624,Sheet2!$B$1:$E$19,2,FALSE))</f>
        <v>241</v>
      </c>
      <c r="L624">
        <f>IF(LEN(TRIM(E624))=0,"",VLOOKUP(E624,Sheet2!$B$1:$E$19,3,FALSE))</f>
        <v>1133739</v>
      </c>
      <c r="M624">
        <f>IF(LEN(TRIM(E624))=0,"",VLOOKUP(E624,Sheet2!$B$1:$E$19,4,FALSE))+(F624-1)</f>
        <v>3885817</v>
      </c>
    </row>
    <row r="625" spans="1:17" s="1" customFormat="1" ht="15" customHeight="1" x14ac:dyDescent="0.25">
      <c r="A625" s="28" t="s">
        <v>508</v>
      </c>
      <c r="B625" s="28" t="s">
        <v>272</v>
      </c>
      <c r="C625" s="6" t="s">
        <v>1793</v>
      </c>
      <c r="D625" s="1" t="s">
        <v>454</v>
      </c>
      <c r="E625" s="1">
        <v>2172</v>
      </c>
      <c r="F625" s="28">
        <v>157</v>
      </c>
      <c r="G625" s="9">
        <v>151</v>
      </c>
      <c r="H625" s="1">
        <v>160</v>
      </c>
      <c r="I625" s="1">
        <v>154</v>
      </c>
      <c r="J625" t="str">
        <f t="shared" si="9"/>
        <v>http://www.badatelna.eu/reprodukce/?fondId=1073&amp;zaznamId=1108958&amp;reproId=3779898</v>
      </c>
      <c r="K625">
        <f>IF(LEN(TRIM(E625))=0,"",VLOOKUP(E625,Sheet2!$B$1:$E$19,2,FALSE))</f>
        <v>1073</v>
      </c>
      <c r="L625">
        <f>IF(LEN(TRIM(E625))=0,"",VLOOKUP(E625,Sheet2!$B$1:$E$19,3,FALSE))</f>
        <v>1108958</v>
      </c>
      <c r="M625">
        <f>IF(LEN(TRIM(E625))=0,"",VLOOKUP(E625,Sheet2!$B$1:$E$19,4,FALSE))+(F625-1)</f>
        <v>3779898</v>
      </c>
    </row>
    <row r="626" spans="1:17" s="1" customFormat="1" ht="15" customHeight="1" x14ac:dyDescent="0.25">
      <c r="A626" s="28" t="s">
        <v>508</v>
      </c>
      <c r="B626" s="28" t="s">
        <v>530</v>
      </c>
      <c r="C626" s="1">
        <v>1855</v>
      </c>
      <c r="D626" s="1" t="s">
        <v>2919</v>
      </c>
      <c r="E626" s="1">
        <v>998</v>
      </c>
      <c r="F626" s="28">
        <v>48</v>
      </c>
      <c r="G626" s="1">
        <v>46</v>
      </c>
      <c r="H626" s="1">
        <v>67</v>
      </c>
      <c r="I626" s="1">
        <v>64</v>
      </c>
      <c r="J626" t="str">
        <f t="shared" si="9"/>
        <v>http://www.badatelna.eu/reprodukce/?fondId=241&amp;zaznamId=1133738&amp;reproId=3885694</v>
      </c>
      <c r="K626">
        <f>IF(LEN(TRIM(E626))=0,"",VLOOKUP(E626,Sheet2!$B$1:$E$19,2,FALSE))</f>
        <v>241</v>
      </c>
      <c r="L626">
        <f>IF(LEN(TRIM(E626))=0,"",VLOOKUP(E626,Sheet2!$B$1:$E$19,3,FALSE))</f>
        <v>1133738</v>
      </c>
      <c r="M626">
        <f>IF(LEN(TRIM(E626))=0,"",VLOOKUP(E626,Sheet2!$B$1:$E$19,4,FALSE))+(F626-1)</f>
        <v>3885694</v>
      </c>
    </row>
    <row r="627" spans="1:17" s="1" customFormat="1" ht="15" customHeight="1" x14ac:dyDescent="0.25">
      <c r="A627" s="28" t="s">
        <v>508</v>
      </c>
      <c r="B627" s="28" t="s">
        <v>2955</v>
      </c>
      <c r="C627" s="1">
        <v>1861</v>
      </c>
      <c r="D627" s="1" t="s">
        <v>2919</v>
      </c>
      <c r="E627" s="1">
        <v>998</v>
      </c>
      <c r="F627" s="28">
        <v>61</v>
      </c>
      <c r="G627" s="1">
        <v>58</v>
      </c>
      <c r="H627" s="1">
        <v>67</v>
      </c>
      <c r="I627" s="1">
        <v>64</v>
      </c>
      <c r="J627" t="str">
        <f t="shared" si="9"/>
        <v>http://www.badatelna.eu/reprodukce/?fondId=241&amp;zaznamId=1133738&amp;reproId=3885707</v>
      </c>
      <c r="K627">
        <f>IF(LEN(TRIM(E627))=0,"",VLOOKUP(E627,Sheet2!$B$1:$E$19,2,FALSE))</f>
        <v>241</v>
      </c>
      <c r="L627">
        <f>IF(LEN(TRIM(E627))=0,"",VLOOKUP(E627,Sheet2!$B$1:$E$19,3,FALSE))</f>
        <v>1133738</v>
      </c>
      <c r="M627">
        <f>IF(LEN(TRIM(E627))=0,"",VLOOKUP(E627,Sheet2!$B$1:$E$19,4,FALSE))+(F627-1)</f>
        <v>3885707</v>
      </c>
    </row>
    <row r="628" spans="1:17" s="1" customFormat="1" ht="15" customHeight="1" x14ac:dyDescent="0.25">
      <c r="A628" s="28" t="s">
        <v>508</v>
      </c>
      <c r="B628" s="28" t="s">
        <v>7</v>
      </c>
      <c r="C628" s="1">
        <v>1850</v>
      </c>
      <c r="D628" s="1" t="s">
        <v>2919</v>
      </c>
      <c r="E628" s="1">
        <v>998</v>
      </c>
      <c r="F628" s="28">
        <v>30</v>
      </c>
      <c r="G628" s="1">
        <v>28</v>
      </c>
      <c r="H628" s="1">
        <v>67</v>
      </c>
      <c r="I628" s="1">
        <v>64</v>
      </c>
      <c r="J628" t="str">
        <f t="shared" si="9"/>
        <v>http://www.badatelna.eu/reprodukce/?fondId=241&amp;zaznamId=1133738&amp;reproId=3885676</v>
      </c>
      <c r="K628">
        <f>IF(LEN(TRIM(E628))=0,"",VLOOKUP(E628,Sheet2!$B$1:$E$19,2,FALSE))</f>
        <v>241</v>
      </c>
      <c r="L628">
        <f>IF(LEN(TRIM(E628))=0,"",VLOOKUP(E628,Sheet2!$B$1:$E$19,3,FALSE))</f>
        <v>1133738</v>
      </c>
      <c r="M628">
        <f>IF(LEN(TRIM(E628))=0,"",VLOOKUP(E628,Sheet2!$B$1:$E$19,4,FALSE))+(F628-1)</f>
        <v>3885676</v>
      </c>
    </row>
    <row r="629" spans="1:17" s="1" customFormat="1" ht="15" customHeight="1" x14ac:dyDescent="0.25">
      <c r="A629" s="28" t="s">
        <v>508</v>
      </c>
      <c r="B629" s="28" t="s">
        <v>343</v>
      </c>
      <c r="C629" s="1">
        <v>1861</v>
      </c>
      <c r="D629" s="1" t="s">
        <v>2919</v>
      </c>
      <c r="E629" s="1">
        <v>998</v>
      </c>
      <c r="F629" s="28">
        <v>61</v>
      </c>
      <c r="G629" s="1">
        <v>58</v>
      </c>
      <c r="H629" s="1">
        <v>67</v>
      </c>
      <c r="I629" s="1">
        <v>64</v>
      </c>
      <c r="J629" t="str">
        <f t="shared" si="9"/>
        <v>http://www.badatelna.eu/reprodukce/?fondId=241&amp;zaznamId=1133738&amp;reproId=3885707</v>
      </c>
      <c r="K629">
        <f>IF(LEN(TRIM(E629))=0,"",VLOOKUP(E629,Sheet2!$B$1:$E$19,2,FALSE))</f>
        <v>241</v>
      </c>
      <c r="L629">
        <f>IF(LEN(TRIM(E629))=0,"",VLOOKUP(E629,Sheet2!$B$1:$E$19,3,FALSE))</f>
        <v>1133738</v>
      </c>
      <c r="M629">
        <f>IF(LEN(TRIM(E629))=0,"",VLOOKUP(E629,Sheet2!$B$1:$E$19,4,FALSE))+(F629-1)</f>
        <v>3885707</v>
      </c>
    </row>
    <row r="630" spans="1:17" s="1" customFormat="1" ht="15" customHeight="1" x14ac:dyDescent="0.25">
      <c r="A630" s="27" t="s">
        <v>508</v>
      </c>
      <c r="B630" s="27" t="s">
        <v>407</v>
      </c>
      <c r="C630" s="5" t="s">
        <v>1490</v>
      </c>
      <c r="D630" s="3" t="s">
        <v>454</v>
      </c>
      <c r="E630" s="3">
        <v>2171</v>
      </c>
      <c r="F630" s="28">
        <v>61</v>
      </c>
      <c r="G630" s="10">
        <v>47</v>
      </c>
      <c r="H630" s="3">
        <v>61</v>
      </c>
      <c r="I630" s="3">
        <v>47</v>
      </c>
      <c r="J630" t="str">
        <f t="shared" si="9"/>
        <v>http://www.badatelna.eu/reprodukce/?fondId=1073&amp;zaznamId=1108957&amp;reproId=3779728</v>
      </c>
      <c r="K630">
        <f>IF(LEN(TRIM(E630))=0,"",VLOOKUP(E630,Sheet2!$B$1:$E$19,2,FALSE))</f>
        <v>1073</v>
      </c>
      <c r="L630">
        <f>IF(LEN(TRIM(E630))=0,"",VLOOKUP(E630,Sheet2!$B$1:$E$19,3,FALSE))</f>
        <v>1108957</v>
      </c>
      <c r="M630">
        <f>IF(LEN(TRIM(E630))=0,"",VLOOKUP(E630,Sheet2!$B$1:$E$19,4,FALSE))+(F630-1)</f>
        <v>3779728</v>
      </c>
    </row>
    <row r="631" spans="1:17" s="1" customFormat="1" ht="15" customHeight="1" x14ac:dyDescent="0.25">
      <c r="A631" s="28" t="s">
        <v>508</v>
      </c>
      <c r="B631" s="28" t="s">
        <v>91</v>
      </c>
      <c r="C631" s="6" t="s">
        <v>1540</v>
      </c>
      <c r="D631" s="1" t="s">
        <v>454</v>
      </c>
      <c r="E631" s="1">
        <v>2172</v>
      </c>
      <c r="F631" s="28">
        <v>17</v>
      </c>
      <c r="G631" s="9">
        <v>16</v>
      </c>
      <c r="H631" s="1" t="s">
        <v>3073</v>
      </c>
      <c r="I631" s="1" t="s">
        <v>3073</v>
      </c>
      <c r="J631" t="str">
        <f t="shared" si="9"/>
        <v>http://www.badatelna.eu/reprodukce/?fondId=1073&amp;zaznamId=1108958&amp;reproId=3779758</v>
      </c>
      <c r="K631">
        <f>IF(LEN(TRIM(E631))=0,"",VLOOKUP(E631,Sheet2!$B$1:$E$19,2,FALSE))</f>
        <v>1073</v>
      </c>
      <c r="L631">
        <f>IF(LEN(TRIM(E631))=0,"",VLOOKUP(E631,Sheet2!$B$1:$E$19,3,FALSE))</f>
        <v>1108958</v>
      </c>
      <c r="M631">
        <f>IF(LEN(TRIM(E631))=0,"",VLOOKUP(E631,Sheet2!$B$1:$E$19,4,FALSE))+(F631-1)</f>
        <v>3779758</v>
      </c>
    </row>
    <row r="632" spans="1:17" s="1" customFormat="1" ht="15" customHeight="1" x14ac:dyDescent="0.25">
      <c r="A632" s="28" t="s">
        <v>508</v>
      </c>
      <c r="B632" s="28" t="s">
        <v>91</v>
      </c>
      <c r="C632" s="6" t="s">
        <v>1499</v>
      </c>
      <c r="D632" s="1" t="s">
        <v>454</v>
      </c>
      <c r="E632" s="1">
        <v>2172</v>
      </c>
      <c r="F632" s="28">
        <v>6</v>
      </c>
      <c r="G632" s="9">
        <v>3</v>
      </c>
      <c r="H632" s="1">
        <v>8</v>
      </c>
      <c r="I632" s="1">
        <v>1</v>
      </c>
      <c r="J632" t="str">
        <f t="shared" si="9"/>
        <v>http://www.badatelna.eu/reprodukce/?fondId=1073&amp;zaznamId=1108958&amp;reproId=3779747</v>
      </c>
      <c r="K632">
        <f>IF(LEN(TRIM(E632))=0,"",VLOOKUP(E632,Sheet2!$B$1:$E$19,2,FALSE))</f>
        <v>1073</v>
      </c>
      <c r="L632">
        <f>IF(LEN(TRIM(E632))=0,"",VLOOKUP(E632,Sheet2!$B$1:$E$19,3,FALSE))</f>
        <v>1108958</v>
      </c>
      <c r="M632">
        <f>IF(LEN(TRIM(E632))=0,"",VLOOKUP(E632,Sheet2!$B$1:$E$19,4,FALSE))+(F632-1)</f>
        <v>3779747</v>
      </c>
    </row>
    <row r="633" spans="1:17" s="1" customFormat="1" ht="15" customHeight="1" x14ac:dyDescent="0.25">
      <c r="A633" s="28" t="s">
        <v>508</v>
      </c>
      <c r="B633" s="28" t="s">
        <v>2954</v>
      </c>
      <c r="C633" s="1">
        <v>1853</v>
      </c>
      <c r="D633" s="1" t="s">
        <v>2919</v>
      </c>
      <c r="E633" s="1">
        <v>998</v>
      </c>
      <c r="F633" s="28">
        <v>38</v>
      </c>
      <c r="G633" s="1">
        <v>36</v>
      </c>
      <c r="H633" s="1">
        <v>67</v>
      </c>
      <c r="I633" s="1">
        <v>64</v>
      </c>
      <c r="J633" t="str">
        <f t="shared" si="9"/>
        <v>http://www.badatelna.eu/reprodukce/?fondId=241&amp;zaznamId=1133738&amp;reproId=3885684</v>
      </c>
      <c r="K633">
        <f>IF(LEN(TRIM(E633))=0,"",VLOOKUP(E633,Sheet2!$B$1:$E$19,2,FALSE))</f>
        <v>241</v>
      </c>
      <c r="L633">
        <f>IF(LEN(TRIM(E633))=0,"",VLOOKUP(E633,Sheet2!$B$1:$E$19,3,FALSE))</f>
        <v>1133738</v>
      </c>
      <c r="M633">
        <f>IF(LEN(TRIM(E633))=0,"",VLOOKUP(E633,Sheet2!$B$1:$E$19,4,FALSE))+(F633-1)</f>
        <v>3885684</v>
      </c>
    </row>
    <row r="634" spans="1:17" s="1" customFormat="1" ht="15" customHeight="1" x14ac:dyDescent="0.25">
      <c r="A634" s="28" t="s">
        <v>828</v>
      </c>
      <c r="B634" s="28" t="s">
        <v>746</v>
      </c>
      <c r="C634" s="6" t="s">
        <v>1656</v>
      </c>
      <c r="D634" s="1" t="s">
        <v>454</v>
      </c>
      <c r="E634" s="1">
        <v>2172</v>
      </c>
      <c r="F634" s="28">
        <v>102</v>
      </c>
      <c r="G634" s="9">
        <v>101</v>
      </c>
      <c r="H634" s="1">
        <v>103</v>
      </c>
      <c r="I634" s="1">
        <v>102</v>
      </c>
      <c r="J634" t="str">
        <f t="shared" si="9"/>
        <v>http://www.badatelna.eu/reprodukce/?fondId=1073&amp;zaznamId=1108958&amp;reproId=3779843</v>
      </c>
      <c r="K634">
        <f>IF(LEN(TRIM(E634))=0,"",VLOOKUP(E634,Sheet2!$B$1:$E$19,2,FALSE))</f>
        <v>1073</v>
      </c>
      <c r="L634">
        <f>IF(LEN(TRIM(E634))=0,"",VLOOKUP(E634,Sheet2!$B$1:$E$19,3,FALSE))</f>
        <v>1108958</v>
      </c>
      <c r="M634">
        <f>IF(LEN(TRIM(E634))=0,"",VLOOKUP(E634,Sheet2!$B$1:$E$19,4,FALSE))+(F634-1)</f>
        <v>3779843</v>
      </c>
    </row>
    <row r="635" spans="1:17" s="1" customFormat="1" ht="15" customHeight="1" x14ac:dyDescent="0.25">
      <c r="A635" s="28" t="s">
        <v>61</v>
      </c>
      <c r="B635" s="28" t="s">
        <v>620</v>
      </c>
      <c r="C635" s="6" t="s">
        <v>1522</v>
      </c>
      <c r="D635" s="1" t="s">
        <v>454</v>
      </c>
      <c r="E635" s="1">
        <v>2172</v>
      </c>
      <c r="F635" s="28">
        <v>13</v>
      </c>
      <c r="G635" s="9">
        <v>12</v>
      </c>
      <c r="H635" s="1" t="s">
        <v>3073</v>
      </c>
      <c r="I635" s="1" t="s">
        <v>3073</v>
      </c>
      <c r="J635" t="str">
        <f t="shared" si="9"/>
        <v>http://www.badatelna.eu/reprodukce/?fondId=1073&amp;zaznamId=1108958&amp;reproId=3779754</v>
      </c>
      <c r="K635">
        <f>IF(LEN(TRIM(E635))=0,"",VLOOKUP(E635,Sheet2!$B$1:$E$19,2,FALSE))</f>
        <v>1073</v>
      </c>
      <c r="L635">
        <f>IF(LEN(TRIM(E635))=0,"",VLOOKUP(E635,Sheet2!$B$1:$E$19,3,FALSE))</f>
        <v>1108958</v>
      </c>
      <c r="M635">
        <f>IF(LEN(TRIM(E635))=0,"",VLOOKUP(E635,Sheet2!$B$1:$E$19,4,FALSE))+(F635-1)</f>
        <v>3779754</v>
      </c>
    </row>
    <row r="636" spans="1:17" s="1" customFormat="1" ht="15" customHeight="1" x14ac:dyDescent="0.25">
      <c r="A636" s="28" t="s">
        <v>61</v>
      </c>
      <c r="B636" s="28" t="s">
        <v>40</v>
      </c>
      <c r="C636" s="6" t="s">
        <v>2044</v>
      </c>
      <c r="D636" s="1" t="s">
        <v>454</v>
      </c>
      <c r="E636" s="1">
        <v>2173</v>
      </c>
      <c r="F636" s="28">
        <v>183</v>
      </c>
      <c r="G636" s="9">
        <v>13</v>
      </c>
      <c r="H636" s="1">
        <v>187</v>
      </c>
      <c r="I636" s="1">
        <v>416</v>
      </c>
      <c r="J636" t="str">
        <f t="shared" si="9"/>
        <v>http://www.badatelna.eu/reprodukce/?fondId=1073&amp;zaznamId=1108959&amp;reproId=3780176</v>
      </c>
      <c r="K636">
        <f>IF(LEN(TRIM(E636))=0,"",VLOOKUP(E636,Sheet2!$B$1:$E$19,2,FALSE))</f>
        <v>1073</v>
      </c>
      <c r="L636">
        <f>IF(LEN(TRIM(E636))=0,"",VLOOKUP(E636,Sheet2!$B$1:$E$19,3,FALSE))</f>
        <v>1108959</v>
      </c>
      <c r="M636">
        <f>IF(LEN(TRIM(E636))=0,"",VLOOKUP(E636,Sheet2!$B$1:$E$19,4,FALSE))+(F636-1)</f>
        <v>3780176</v>
      </c>
      <c r="N636"/>
      <c r="O636"/>
      <c r="P636"/>
      <c r="Q636"/>
    </row>
    <row r="637" spans="1:17" s="1" customFormat="1" ht="15" customHeight="1" x14ac:dyDescent="0.25">
      <c r="A637" s="27" t="s">
        <v>61</v>
      </c>
      <c r="B637" s="27" t="s">
        <v>332</v>
      </c>
      <c r="C637" s="5" t="s">
        <v>1122</v>
      </c>
      <c r="D637" s="3" t="s">
        <v>454</v>
      </c>
      <c r="E637" s="3">
        <v>2170</v>
      </c>
      <c r="F637" s="28">
        <v>36</v>
      </c>
      <c r="G637" s="10">
        <v>32</v>
      </c>
      <c r="H637" s="3">
        <v>62</v>
      </c>
      <c r="I637" s="3">
        <v>58</v>
      </c>
      <c r="J637" t="str">
        <f t="shared" si="9"/>
        <v>http://www.badatelna.eu/reprodukce/?fondId=1073&amp;zaznamId=1108956&amp;reproId=3779628</v>
      </c>
      <c r="K637">
        <f>IF(LEN(TRIM(E637))=0,"",VLOOKUP(E637,Sheet2!$B$1:$E$19,2,FALSE))</f>
        <v>1073</v>
      </c>
      <c r="L637">
        <f>IF(LEN(TRIM(E637))=0,"",VLOOKUP(E637,Sheet2!$B$1:$E$19,3,FALSE))</f>
        <v>1108956</v>
      </c>
      <c r="M637">
        <f>IF(LEN(TRIM(E637))=0,"",VLOOKUP(E637,Sheet2!$B$1:$E$19,4,FALSE))+(F637-1)</f>
        <v>3779628</v>
      </c>
    </row>
    <row r="638" spans="1:17" s="1" customFormat="1" ht="15" customHeight="1" x14ac:dyDescent="0.25">
      <c r="A638" s="28" t="s">
        <v>61</v>
      </c>
      <c r="B638" s="28" t="s">
        <v>443</v>
      </c>
      <c r="C638" s="6" t="s">
        <v>2742</v>
      </c>
      <c r="D638" s="1" t="s">
        <v>454</v>
      </c>
      <c r="E638" s="1">
        <v>2173</v>
      </c>
      <c r="F638" s="28">
        <v>229</v>
      </c>
      <c r="G638" s="9">
        <v>62</v>
      </c>
      <c r="H638" s="1" t="s">
        <v>3073</v>
      </c>
      <c r="I638" s="1" t="s">
        <v>3073</v>
      </c>
      <c r="J638" t="str">
        <f t="shared" si="9"/>
        <v>http://www.badatelna.eu/reprodukce/?fondId=1073&amp;zaznamId=1108959&amp;reproId=3780222</v>
      </c>
      <c r="K638">
        <f>IF(LEN(TRIM(E638))=0,"",VLOOKUP(E638,Sheet2!$B$1:$E$19,2,FALSE))</f>
        <v>1073</v>
      </c>
      <c r="L638">
        <f>IF(LEN(TRIM(E638))=0,"",VLOOKUP(E638,Sheet2!$B$1:$E$19,3,FALSE))</f>
        <v>1108959</v>
      </c>
      <c r="M638">
        <f>IF(LEN(TRIM(E638))=0,"",VLOOKUP(E638,Sheet2!$B$1:$E$19,4,FALSE))+(F638-1)</f>
        <v>3780222</v>
      </c>
      <c r="N638"/>
      <c r="O638"/>
      <c r="P638"/>
      <c r="Q638"/>
    </row>
    <row r="639" spans="1:17" s="1" customFormat="1" ht="15" customHeight="1" x14ac:dyDescent="0.25">
      <c r="A639" s="28" t="s">
        <v>61</v>
      </c>
      <c r="B639" s="28" t="s">
        <v>28</v>
      </c>
      <c r="C639" s="1">
        <v>1889</v>
      </c>
      <c r="D639" s="1" t="s">
        <v>454</v>
      </c>
      <c r="E639" s="1">
        <v>2172</v>
      </c>
      <c r="F639" s="28">
        <v>67</v>
      </c>
      <c r="G639" s="9" t="s">
        <v>3082</v>
      </c>
      <c r="H639" s="1">
        <v>70</v>
      </c>
      <c r="I639" s="1">
        <v>69</v>
      </c>
      <c r="J639" t="str">
        <f t="shared" si="9"/>
        <v>http://www.badatelna.eu/reprodukce/?fondId=1073&amp;zaznamId=1108958&amp;reproId=3779808</v>
      </c>
      <c r="K639">
        <f>IF(LEN(TRIM(E639))=0,"",VLOOKUP(E639,Sheet2!$B$1:$E$19,2,FALSE))</f>
        <v>1073</v>
      </c>
      <c r="L639">
        <f>IF(LEN(TRIM(E639))=0,"",VLOOKUP(E639,Sheet2!$B$1:$E$19,3,FALSE))</f>
        <v>1108958</v>
      </c>
      <c r="M639">
        <f>IF(LEN(TRIM(E639))=0,"",VLOOKUP(E639,Sheet2!$B$1:$E$19,4,FALSE))+(F639-1)</f>
        <v>3779808</v>
      </c>
    </row>
    <row r="640" spans="1:17" s="1" customFormat="1" ht="15" customHeight="1" x14ac:dyDescent="0.25">
      <c r="A640" s="28" t="s">
        <v>61</v>
      </c>
      <c r="B640" s="28" t="s">
        <v>65</v>
      </c>
      <c r="C640" s="6" t="s">
        <v>2846</v>
      </c>
      <c r="D640" s="1" t="s">
        <v>454</v>
      </c>
      <c r="E640" s="1">
        <v>2173</v>
      </c>
      <c r="F640" s="28">
        <v>209</v>
      </c>
      <c r="G640" s="9" t="s">
        <v>2757</v>
      </c>
      <c r="H640" s="1" t="s">
        <v>3073</v>
      </c>
      <c r="I640" s="1" t="s">
        <v>3073</v>
      </c>
      <c r="J640" t="str">
        <f t="shared" si="9"/>
        <v>http://www.badatelna.eu/reprodukce/?fondId=1073&amp;zaznamId=1108959&amp;reproId=3780202</v>
      </c>
      <c r="K640">
        <f>IF(LEN(TRIM(E640))=0,"",VLOOKUP(E640,Sheet2!$B$1:$E$19,2,FALSE))</f>
        <v>1073</v>
      </c>
      <c r="L640">
        <f>IF(LEN(TRIM(E640))=0,"",VLOOKUP(E640,Sheet2!$B$1:$E$19,3,FALSE))</f>
        <v>1108959</v>
      </c>
      <c r="M640">
        <f>IF(LEN(TRIM(E640))=0,"",VLOOKUP(E640,Sheet2!$B$1:$E$19,4,FALSE))+(F640-1)</f>
        <v>3780202</v>
      </c>
    </row>
    <row r="641" spans="1:17" s="1" customFormat="1" ht="15" customHeight="1" x14ac:dyDescent="0.25">
      <c r="A641" s="27" t="s">
        <v>61</v>
      </c>
      <c r="B641" s="27" t="s">
        <v>184</v>
      </c>
      <c r="C641" s="5" t="s">
        <v>1121</v>
      </c>
      <c r="D641" s="3" t="s">
        <v>454</v>
      </c>
      <c r="E641" s="3">
        <v>2170</v>
      </c>
      <c r="F641" s="28">
        <v>51</v>
      </c>
      <c r="G641" s="10">
        <v>47</v>
      </c>
      <c r="H641" s="3">
        <v>62</v>
      </c>
      <c r="I641" s="3">
        <v>58</v>
      </c>
      <c r="J641" t="str">
        <f t="shared" si="9"/>
        <v>http://www.badatelna.eu/reprodukce/?fondId=1073&amp;zaznamId=1108956&amp;reproId=3779643</v>
      </c>
      <c r="K641">
        <f>IF(LEN(TRIM(E641))=0,"",VLOOKUP(E641,Sheet2!$B$1:$E$19,2,FALSE))</f>
        <v>1073</v>
      </c>
      <c r="L641">
        <f>IF(LEN(TRIM(E641))=0,"",VLOOKUP(E641,Sheet2!$B$1:$E$19,3,FALSE))</f>
        <v>1108956</v>
      </c>
      <c r="M641">
        <f>IF(LEN(TRIM(E641))=0,"",VLOOKUP(E641,Sheet2!$B$1:$E$19,4,FALSE))+(F641-1)</f>
        <v>3779643</v>
      </c>
    </row>
    <row r="642" spans="1:17" s="1" customFormat="1" ht="15" customHeight="1" x14ac:dyDescent="0.25">
      <c r="A642" s="28" t="s">
        <v>61</v>
      </c>
      <c r="B642" s="28" t="s">
        <v>469</v>
      </c>
      <c r="C642" s="6" t="s">
        <v>1674</v>
      </c>
      <c r="D642" s="1" t="s">
        <v>454</v>
      </c>
      <c r="E642" s="1">
        <v>2172</v>
      </c>
      <c r="F642" s="28">
        <v>108</v>
      </c>
      <c r="G642" s="9">
        <v>107</v>
      </c>
      <c r="H642" s="1">
        <v>109</v>
      </c>
      <c r="I642" s="1">
        <v>108</v>
      </c>
      <c r="J642" t="str">
        <f t="shared" si="9"/>
        <v>http://www.badatelna.eu/reprodukce/?fondId=1073&amp;zaznamId=1108958&amp;reproId=3779849</v>
      </c>
      <c r="K642">
        <f>IF(LEN(TRIM(E642))=0,"",VLOOKUP(E642,Sheet2!$B$1:$E$19,2,FALSE))</f>
        <v>1073</v>
      </c>
      <c r="L642">
        <f>IF(LEN(TRIM(E642))=0,"",VLOOKUP(E642,Sheet2!$B$1:$E$19,3,FALSE))</f>
        <v>1108958</v>
      </c>
      <c r="M642">
        <f>IF(LEN(TRIM(E642))=0,"",VLOOKUP(E642,Sheet2!$B$1:$E$19,4,FALSE))+(F642-1)</f>
        <v>3779849</v>
      </c>
    </row>
    <row r="643" spans="1:17" s="1" customFormat="1" ht="15" customHeight="1" x14ac:dyDescent="0.25">
      <c r="A643" s="28" t="s">
        <v>61</v>
      </c>
      <c r="B643" s="28" t="s">
        <v>54</v>
      </c>
      <c r="C643" s="1">
        <v>1850</v>
      </c>
      <c r="D643" s="1" t="s">
        <v>2919</v>
      </c>
      <c r="E643" s="1">
        <v>998</v>
      </c>
      <c r="F643" s="28">
        <v>28</v>
      </c>
      <c r="G643" s="1">
        <v>26</v>
      </c>
      <c r="H643" s="1">
        <v>67</v>
      </c>
      <c r="I643" s="1">
        <v>64</v>
      </c>
      <c r="J643" t="str">
        <f t="shared" ref="J643:J706" si="10">IF(LEN(TRIM(E643))=0,"","http://www.badatelna.eu/reprodukce/?fondId="&amp;K643&amp;"&amp;zaznamId="&amp;L643&amp;"&amp;reproId="&amp;M643)</f>
        <v>http://www.badatelna.eu/reprodukce/?fondId=241&amp;zaznamId=1133738&amp;reproId=3885674</v>
      </c>
      <c r="K643">
        <f>IF(LEN(TRIM(E643))=0,"",VLOOKUP(E643,Sheet2!$B$1:$E$19,2,FALSE))</f>
        <v>241</v>
      </c>
      <c r="L643">
        <f>IF(LEN(TRIM(E643))=0,"",VLOOKUP(E643,Sheet2!$B$1:$E$19,3,FALSE))</f>
        <v>1133738</v>
      </c>
      <c r="M643">
        <f>IF(LEN(TRIM(E643))=0,"",VLOOKUP(E643,Sheet2!$B$1:$E$19,4,FALSE))+(F643-1)</f>
        <v>3885674</v>
      </c>
    </row>
    <row r="644" spans="1:17" s="1" customFormat="1" ht="15" customHeight="1" x14ac:dyDescent="0.25">
      <c r="A644" s="28" t="s">
        <v>61</v>
      </c>
      <c r="B644" s="28" t="s">
        <v>54</v>
      </c>
      <c r="C644" s="6" t="s">
        <v>2710</v>
      </c>
      <c r="D644" s="1" t="s">
        <v>454</v>
      </c>
      <c r="E644" s="1">
        <v>2173</v>
      </c>
      <c r="F644" s="28">
        <v>225</v>
      </c>
      <c r="G644" s="9">
        <v>55</v>
      </c>
      <c r="H644" s="1" t="s">
        <v>3073</v>
      </c>
      <c r="I644" s="1" t="s">
        <v>3073</v>
      </c>
      <c r="J644" t="str">
        <f t="shared" si="10"/>
        <v>http://www.badatelna.eu/reprodukce/?fondId=1073&amp;zaznamId=1108959&amp;reproId=3780218</v>
      </c>
      <c r="K644">
        <f>IF(LEN(TRIM(E644))=0,"",VLOOKUP(E644,Sheet2!$B$1:$E$19,2,FALSE))</f>
        <v>1073</v>
      </c>
      <c r="L644">
        <f>IF(LEN(TRIM(E644))=0,"",VLOOKUP(E644,Sheet2!$B$1:$E$19,3,FALSE))</f>
        <v>1108959</v>
      </c>
      <c r="M644">
        <f>IF(LEN(TRIM(E644))=0,"",VLOOKUP(E644,Sheet2!$B$1:$E$19,4,FALSE))+(F644-1)</f>
        <v>3780218</v>
      </c>
    </row>
    <row r="645" spans="1:17" s="1" customFormat="1" ht="15" customHeight="1" x14ac:dyDescent="0.2">
      <c r="A645" s="31" t="s">
        <v>61</v>
      </c>
      <c r="B645" s="31" t="s">
        <v>54</v>
      </c>
      <c r="C645" s="7" t="s">
        <v>2253</v>
      </c>
      <c r="D645" s="1" t="s">
        <v>454</v>
      </c>
      <c r="E645" s="1">
        <v>2173</v>
      </c>
      <c r="F645" s="31">
        <v>197</v>
      </c>
      <c r="G645" s="12">
        <v>3</v>
      </c>
      <c r="H645" s="1" t="s">
        <v>3073</v>
      </c>
      <c r="I645" s="1" t="s">
        <v>3073</v>
      </c>
      <c r="J645" t="str">
        <f t="shared" si="10"/>
        <v>http://www.badatelna.eu/reprodukce/?fondId=1073&amp;zaznamId=1108959&amp;reproId=3780190</v>
      </c>
      <c r="K645">
        <f>IF(LEN(TRIM(E645))=0,"",VLOOKUP(E645,Sheet2!$B$1:$E$19,2,FALSE))</f>
        <v>1073</v>
      </c>
      <c r="L645">
        <f>IF(LEN(TRIM(E645))=0,"",VLOOKUP(E645,Sheet2!$B$1:$E$19,3,FALSE))</f>
        <v>1108959</v>
      </c>
      <c r="M645">
        <f>IF(LEN(TRIM(E645))=0,"",VLOOKUP(E645,Sheet2!$B$1:$E$19,4,FALSE))+(F645-1)</f>
        <v>3780190</v>
      </c>
    </row>
    <row r="646" spans="1:17" s="1" customFormat="1" ht="15" customHeight="1" x14ac:dyDescent="0.25">
      <c r="A646" s="28" t="s">
        <v>145</v>
      </c>
      <c r="B646" s="28" t="s">
        <v>459</v>
      </c>
      <c r="C646" s="6" t="s">
        <v>2368</v>
      </c>
      <c r="D646" s="1" t="s">
        <v>454</v>
      </c>
      <c r="E646" s="1">
        <v>2173</v>
      </c>
      <c r="F646" s="28">
        <v>201</v>
      </c>
      <c r="G646" s="9">
        <v>11</v>
      </c>
      <c r="H646" s="1" t="s">
        <v>3073</v>
      </c>
      <c r="I646" s="1" t="s">
        <v>3073</v>
      </c>
      <c r="J646" t="str">
        <f t="shared" si="10"/>
        <v>http://www.badatelna.eu/reprodukce/?fondId=1073&amp;zaznamId=1108959&amp;reproId=3780194</v>
      </c>
      <c r="K646">
        <f>IF(LEN(TRIM(E646))=0,"",VLOOKUP(E646,Sheet2!$B$1:$E$19,2,FALSE))</f>
        <v>1073</v>
      </c>
      <c r="L646">
        <f>IF(LEN(TRIM(E646))=0,"",VLOOKUP(E646,Sheet2!$B$1:$E$19,3,FALSE))</f>
        <v>1108959</v>
      </c>
      <c r="M646">
        <f>IF(LEN(TRIM(E646))=0,"",VLOOKUP(E646,Sheet2!$B$1:$E$19,4,FALSE))+(F646-1)</f>
        <v>3780194</v>
      </c>
      <c r="N646"/>
      <c r="O646"/>
      <c r="P646"/>
      <c r="Q646"/>
    </row>
    <row r="647" spans="1:17" s="1" customFormat="1" ht="15" customHeight="1" x14ac:dyDescent="0.25">
      <c r="A647" s="28" t="s">
        <v>145</v>
      </c>
      <c r="B647" s="28" t="s">
        <v>221</v>
      </c>
      <c r="C647" s="6" t="s">
        <v>2508</v>
      </c>
      <c r="D647" s="1" t="s">
        <v>454</v>
      </c>
      <c r="E647" s="1">
        <v>2173</v>
      </c>
      <c r="F647" s="28">
        <v>206</v>
      </c>
      <c r="G647" s="1">
        <v>21</v>
      </c>
      <c r="H647" s="1" t="s">
        <v>3073</v>
      </c>
      <c r="I647" s="1" t="s">
        <v>3073</v>
      </c>
      <c r="J647" t="str">
        <f t="shared" si="10"/>
        <v>http://www.badatelna.eu/reprodukce/?fondId=1073&amp;zaznamId=1108959&amp;reproId=3780199</v>
      </c>
      <c r="K647">
        <f>IF(LEN(TRIM(E647))=0,"",VLOOKUP(E647,Sheet2!$B$1:$E$19,2,FALSE))</f>
        <v>1073</v>
      </c>
      <c r="L647">
        <f>IF(LEN(TRIM(E647))=0,"",VLOOKUP(E647,Sheet2!$B$1:$E$19,3,FALSE))</f>
        <v>1108959</v>
      </c>
      <c r="M647">
        <f>IF(LEN(TRIM(E647))=0,"",VLOOKUP(E647,Sheet2!$B$1:$E$19,4,FALSE))+(F647-1)</f>
        <v>3780199</v>
      </c>
    </row>
    <row r="648" spans="1:17" s="1" customFormat="1" ht="15" customHeight="1" x14ac:dyDescent="0.25">
      <c r="A648" s="27" t="s">
        <v>509</v>
      </c>
      <c r="B648" s="27" t="s">
        <v>420</v>
      </c>
      <c r="C648" s="5" t="s">
        <v>1124</v>
      </c>
      <c r="D648" s="3" t="s">
        <v>454</v>
      </c>
      <c r="E648" s="3">
        <v>2170</v>
      </c>
      <c r="F648" s="31">
        <v>8</v>
      </c>
      <c r="G648" s="10">
        <v>4</v>
      </c>
      <c r="H648" s="3">
        <v>62</v>
      </c>
      <c r="I648" s="3">
        <v>58</v>
      </c>
      <c r="J648" t="str">
        <f t="shared" si="10"/>
        <v>http://www.badatelna.eu/reprodukce/?fondId=1073&amp;zaznamId=1108956&amp;reproId=3779600</v>
      </c>
      <c r="K648">
        <f>IF(LEN(TRIM(E648))=0,"",VLOOKUP(E648,Sheet2!$B$1:$E$19,2,FALSE))</f>
        <v>1073</v>
      </c>
      <c r="L648">
        <f>IF(LEN(TRIM(E648))=0,"",VLOOKUP(E648,Sheet2!$B$1:$E$19,3,FALSE))</f>
        <v>1108956</v>
      </c>
      <c r="M648">
        <f>IF(LEN(TRIM(E648))=0,"",VLOOKUP(E648,Sheet2!$B$1:$E$19,4,FALSE))+(F648-1)</f>
        <v>3779600</v>
      </c>
    </row>
    <row r="649" spans="1:17" s="1" customFormat="1" ht="15" customHeight="1" x14ac:dyDescent="0.25">
      <c r="A649" s="27" t="s">
        <v>509</v>
      </c>
      <c r="B649" s="27" t="s">
        <v>340</v>
      </c>
      <c r="C649" s="5" t="s">
        <v>1123</v>
      </c>
      <c r="D649" s="3" t="s">
        <v>454</v>
      </c>
      <c r="E649" s="3">
        <v>2170</v>
      </c>
      <c r="F649" s="28">
        <v>15</v>
      </c>
      <c r="G649" s="10">
        <v>11</v>
      </c>
      <c r="H649" s="3">
        <v>62</v>
      </c>
      <c r="I649" s="3">
        <v>58</v>
      </c>
      <c r="J649" t="str">
        <f t="shared" si="10"/>
        <v>http://www.badatelna.eu/reprodukce/?fondId=1073&amp;zaznamId=1108956&amp;reproId=3779607</v>
      </c>
      <c r="K649">
        <f>IF(LEN(TRIM(E649))=0,"",VLOOKUP(E649,Sheet2!$B$1:$E$19,2,FALSE))</f>
        <v>1073</v>
      </c>
      <c r="L649">
        <f>IF(LEN(TRIM(E649))=0,"",VLOOKUP(E649,Sheet2!$B$1:$E$19,3,FALSE))</f>
        <v>1108956</v>
      </c>
      <c r="M649">
        <f>IF(LEN(TRIM(E649))=0,"",VLOOKUP(E649,Sheet2!$B$1:$E$19,4,FALSE))+(F649-1)</f>
        <v>3779607</v>
      </c>
    </row>
    <row r="650" spans="1:17" s="1" customFormat="1" ht="15" customHeight="1" x14ac:dyDescent="0.25">
      <c r="A650" s="28" t="s">
        <v>396</v>
      </c>
      <c r="B650" s="28" t="s">
        <v>48</v>
      </c>
      <c r="C650" s="6" t="s">
        <v>2590</v>
      </c>
      <c r="D650" s="1" t="s">
        <v>454</v>
      </c>
      <c r="E650" s="1">
        <v>2173</v>
      </c>
      <c r="F650" s="28">
        <v>216</v>
      </c>
      <c r="G650" s="9">
        <v>41</v>
      </c>
      <c r="H650" s="1" t="s">
        <v>3073</v>
      </c>
      <c r="I650" s="1" t="s">
        <v>3073</v>
      </c>
      <c r="J650" t="str">
        <f t="shared" si="10"/>
        <v>http://www.badatelna.eu/reprodukce/?fondId=1073&amp;zaznamId=1108959&amp;reproId=3780209</v>
      </c>
      <c r="K650">
        <f>IF(LEN(TRIM(E650))=0,"",VLOOKUP(E650,Sheet2!$B$1:$E$19,2,FALSE))</f>
        <v>1073</v>
      </c>
      <c r="L650">
        <f>IF(LEN(TRIM(E650))=0,"",VLOOKUP(E650,Sheet2!$B$1:$E$19,3,FALSE))</f>
        <v>1108959</v>
      </c>
      <c r="M650">
        <f>IF(LEN(TRIM(E650))=0,"",VLOOKUP(E650,Sheet2!$B$1:$E$19,4,FALSE))+(F650-1)</f>
        <v>3780209</v>
      </c>
      <c r="N650"/>
      <c r="O650"/>
      <c r="P650"/>
      <c r="Q650"/>
    </row>
    <row r="651" spans="1:17" s="1" customFormat="1" ht="15" customHeight="1" x14ac:dyDescent="0.25">
      <c r="A651" s="28" t="s">
        <v>829</v>
      </c>
      <c r="B651" s="28" t="s">
        <v>830</v>
      </c>
      <c r="C651" s="15">
        <v>7278</v>
      </c>
      <c r="D651" s="1" t="s">
        <v>454</v>
      </c>
      <c r="E651" s="1">
        <v>2172</v>
      </c>
      <c r="F651" s="28">
        <v>197</v>
      </c>
      <c r="G651" s="9">
        <v>185</v>
      </c>
      <c r="H651" s="1" t="s">
        <v>3073</v>
      </c>
      <c r="I651" s="1" t="s">
        <v>3073</v>
      </c>
      <c r="J651" t="str">
        <f t="shared" si="10"/>
        <v>http://www.badatelna.eu/reprodukce/?fondId=1073&amp;zaznamId=1108958&amp;reproId=3779938</v>
      </c>
      <c r="K651">
        <f>IF(LEN(TRIM(E651))=0,"",VLOOKUP(E651,Sheet2!$B$1:$E$19,2,FALSE))</f>
        <v>1073</v>
      </c>
      <c r="L651">
        <f>IF(LEN(TRIM(E651))=0,"",VLOOKUP(E651,Sheet2!$B$1:$E$19,3,FALSE))</f>
        <v>1108958</v>
      </c>
      <c r="M651">
        <f>IF(LEN(TRIM(E651))=0,"",VLOOKUP(E651,Sheet2!$B$1:$E$19,4,FALSE))+(F651-1)</f>
        <v>3779938</v>
      </c>
      <c r="N651"/>
      <c r="O651"/>
      <c r="P651"/>
      <c r="Q651"/>
    </row>
    <row r="652" spans="1:17" s="1" customFormat="1" ht="15" customHeight="1" x14ac:dyDescent="0.25">
      <c r="A652" s="28" t="s">
        <v>2</v>
      </c>
      <c r="B652" s="28" t="s">
        <v>1</v>
      </c>
      <c r="C652" s="6" t="s">
        <v>2225</v>
      </c>
      <c r="D652" s="1" t="s">
        <v>454</v>
      </c>
      <c r="E652" s="1">
        <v>2173</v>
      </c>
      <c r="F652" s="28">
        <v>196</v>
      </c>
      <c r="G652" s="9">
        <v>1</v>
      </c>
      <c r="H652" s="1" t="s">
        <v>3073</v>
      </c>
      <c r="I652" s="1" t="s">
        <v>3073</v>
      </c>
      <c r="J652" t="str">
        <f t="shared" si="10"/>
        <v>http://www.badatelna.eu/reprodukce/?fondId=1073&amp;zaznamId=1108959&amp;reproId=3780189</v>
      </c>
      <c r="K652">
        <f>IF(LEN(TRIM(E652))=0,"",VLOOKUP(E652,Sheet2!$B$1:$E$19,2,FALSE))</f>
        <v>1073</v>
      </c>
      <c r="L652">
        <f>IF(LEN(TRIM(E652))=0,"",VLOOKUP(E652,Sheet2!$B$1:$E$19,3,FALSE))</f>
        <v>1108959</v>
      </c>
      <c r="M652">
        <f>IF(LEN(TRIM(E652))=0,"",VLOOKUP(E652,Sheet2!$B$1:$E$19,4,FALSE))+(F652-1)</f>
        <v>3780189</v>
      </c>
    </row>
    <row r="653" spans="1:17" s="1" customFormat="1" ht="15" customHeight="1" x14ac:dyDescent="0.25">
      <c r="A653" s="28" t="s">
        <v>233</v>
      </c>
      <c r="B653" s="28" t="s">
        <v>49</v>
      </c>
      <c r="C653" s="6" t="s">
        <v>2531</v>
      </c>
      <c r="D653" s="1" t="s">
        <v>454</v>
      </c>
      <c r="E653" s="1">
        <v>2173</v>
      </c>
      <c r="F653" s="28">
        <v>207</v>
      </c>
      <c r="G653" s="1">
        <v>24</v>
      </c>
      <c r="H653" s="1" t="s">
        <v>3073</v>
      </c>
      <c r="I653" s="1" t="s">
        <v>3073</v>
      </c>
      <c r="J653" t="str">
        <f t="shared" si="10"/>
        <v>http://www.badatelna.eu/reprodukce/?fondId=1073&amp;zaznamId=1108959&amp;reproId=3780200</v>
      </c>
      <c r="K653">
        <f>IF(LEN(TRIM(E653))=0,"",VLOOKUP(E653,Sheet2!$B$1:$E$19,2,FALSE))</f>
        <v>1073</v>
      </c>
      <c r="L653">
        <f>IF(LEN(TRIM(E653))=0,"",VLOOKUP(E653,Sheet2!$B$1:$E$19,3,FALSE))</f>
        <v>1108959</v>
      </c>
      <c r="M653">
        <f>IF(LEN(TRIM(E653))=0,"",VLOOKUP(E653,Sheet2!$B$1:$E$19,4,FALSE))+(F653-1)</f>
        <v>3780200</v>
      </c>
    </row>
    <row r="654" spans="1:17" s="1" customFormat="1" ht="15" customHeight="1" x14ac:dyDescent="0.25">
      <c r="A654" s="28" t="s">
        <v>510</v>
      </c>
      <c r="B654" s="28" t="s">
        <v>465</v>
      </c>
      <c r="C654" s="6" t="s">
        <v>1913</v>
      </c>
      <c r="D654" s="1" t="s">
        <v>454</v>
      </c>
      <c r="E654" s="1">
        <v>2172</v>
      </c>
      <c r="F654" s="28">
        <v>211</v>
      </c>
      <c r="G654" s="9">
        <v>195</v>
      </c>
      <c r="H654" s="1" t="s">
        <v>3073</v>
      </c>
      <c r="I654" s="1" t="s">
        <v>3073</v>
      </c>
      <c r="J654" t="str">
        <f t="shared" si="10"/>
        <v>http://www.badatelna.eu/reprodukce/?fondId=1073&amp;zaznamId=1108958&amp;reproId=3779952</v>
      </c>
      <c r="K654">
        <f>IF(LEN(TRIM(E654))=0,"",VLOOKUP(E654,Sheet2!$B$1:$E$19,2,FALSE))</f>
        <v>1073</v>
      </c>
      <c r="L654">
        <f>IF(LEN(TRIM(E654))=0,"",VLOOKUP(E654,Sheet2!$B$1:$E$19,3,FALSE))</f>
        <v>1108958</v>
      </c>
      <c r="M654">
        <f>IF(LEN(TRIM(E654))=0,"",VLOOKUP(E654,Sheet2!$B$1:$E$19,4,FALSE))+(F654-1)</f>
        <v>3779952</v>
      </c>
    </row>
    <row r="655" spans="1:17" s="1" customFormat="1" ht="15" customHeight="1" x14ac:dyDescent="0.25">
      <c r="A655" s="28" t="s">
        <v>510</v>
      </c>
      <c r="B655" s="28" t="s">
        <v>496</v>
      </c>
      <c r="C655" s="6" t="s">
        <v>1970</v>
      </c>
      <c r="D655" s="1" t="s">
        <v>454</v>
      </c>
      <c r="E655" s="1">
        <v>2172</v>
      </c>
      <c r="F655" s="28">
        <v>238</v>
      </c>
      <c r="G655" s="9">
        <v>218</v>
      </c>
      <c r="H655" s="1" t="s">
        <v>3073</v>
      </c>
      <c r="I655" s="1" t="s">
        <v>3073</v>
      </c>
      <c r="J655" t="str">
        <f t="shared" si="10"/>
        <v>http://www.badatelna.eu/reprodukce/?fondId=1073&amp;zaznamId=1108958&amp;reproId=3779979</v>
      </c>
      <c r="K655">
        <f>IF(LEN(TRIM(E655))=0,"",VLOOKUP(E655,Sheet2!$B$1:$E$19,2,FALSE))</f>
        <v>1073</v>
      </c>
      <c r="L655">
        <f>IF(LEN(TRIM(E655))=0,"",VLOOKUP(E655,Sheet2!$B$1:$E$19,3,FALSE))</f>
        <v>1108958</v>
      </c>
      <c r="M655">
        <f>IF(LEN(TRIM(E655))=0,"",VLOOKUP(E655,Sheet2!$B$1:$E$19,4,FALSE))+(F655-1)</f>
        <v>3779979</v>
      </c>
    </row>
    <row r="656" spans="1:17" s="1" customFormat="1" ht="15" customHeight="1" x14ac:dyDescent="0.25">
      <c r="A656" s="27" t="s">
        <v>510</v>
      </c>
      <c r="B656" s="27" t="s">
        <v>511</v>
      </c>
      <c r="C656" s="5" t="s">
        <v>1125</v>
      </c>
      <c r="D656" s="3" t="s">
        <v>454</v>
      </c>
      <c r="E656" s="3">
        <v>2170</v>
      </c>
      <c r="F656" s="28">
        <v>53</v>
      </c>
      <c r="G656" s="10">
        <v>49</v>
      </c>
      <c r="H656" s="3">
        <v>62</v>
      </c>
      <c r="I656" s="3">
        <v>58</v>
      </c>
      <c r="J656" t="str">
        <f t="shared" si="10"/>
        <v>http://www.badatelna.eu/reprodukce/?fondId=1073&amp;zaznamId=1108956&amp;reproId=3779645</v>
      </c>
      <c r="K656">
        <f>IF(LEN(TRIM(E656))=0,"",VLOOKUP(E656,Sheet2!$B$1:$E$19,2,FALSE))</f>
        <v>1073</v>
      </c>
      <c r="L656">
        <f>IF(LEN(TRIM(E656))=0,"",VLOOKUP(E656,Sheet2!$B$1:$E$19,3,FALSE))</f>
        <v>1108956</v>
      </c>
      <c r="M656">
        <f>IF(LEN(TRIM(E656))=0,"",VLOOKUP(E656,Sheet2!$B$1:$E$19,4,FALSE))+(F656-1)</f>
        <v>3779645</v>
      </c>
    </row>
    <row r="657" spans="1:17" s="1" customFormat="1" ht="15" customHeight="1" x14ac:dyDescent="0.25">
      <c r="A657" s="28" t="s">
        <v>510</v>
      </c>
      <c r="B657" s="28" t="s">
        <v>584</v>
      </c>
      <c r="C657" s="1">
        <v>1885</v>
      </c>
      <c r="D657" s="1" t="s">
        <v>454</v>
      </c>
      <c r="E657" s="1">
        <v>2172</v>
      </c>
      <c r="F657" s="28">
        <v>48</v>
      </c>
      <c r="G657" s="9">
        <v>47</v>
      </c>
      <c r="H657" s="1">
        <v>48</v>
      </c>
      <c r="I657" s="1">
        <v>49</v>
      </c>
      <c r="J657" t="str">
        <f t="shared" si="10"/>
        <v>http://www.badatelna.eu/reprodukce/?fondId=1073&amp;zaznamId=1108958&amp;reproId=3779789</v>
      </c>
      <c r="K657">
        <f>IF(LEN(TRIM(E657))=0,"",VLOOKUP(E657,Sheet2!$B$1:$E$19,2,FALSE))</f>
        <v>1073</v>
      </c>
      <c r="L657">
        <f>IF(LEN(TRIM(E657))=0,"",VLOOKUP(E657,Sheet2!$B$1:$E$19,3,FALSE))</f>
        <v>1108958</v>
      </c>
      <c r="M657">
        <f>IF(LEN(TRIM(E657))=0,"",VLOOKUP(E657,Sheet2!$B$1:$E$19,4,FALSE))+(F657-1)</f>
        <v>3779789</v>
      </c>
      <c r="N657"/>
      <c r="O657"/>
      <c r="P657"/>
      <c r="Q657"/>
    </row>
    <row r="658" spans="1:17" s="1" customFormat="1" ht="15" customHeight="1" x14ac:dyDescent="0.25">
      <c r="A658" s="28" t="s">
        <v>831</v>
      </c>
      <c r="B658" s="28" t="s">
        <v>306</v>
      </c>
      <c r="C658" s="15">
        <v>11602</v>
      </c>
      <c r="D658" s="1" t="s">
        <v>454</v>
      </c>
      <c r="E658" s="1">
        <v>2172</v>
      </c>
      <c r="F658" s="28">
        <v>223</v>
      </c>
      <c r="G658" s="9">
        <v>204</v>
      </c>
      <c r="H658" s="1" t="s">
        <v>3073</v>
      </c>
      <c r="I658" s="1" t="s">
        <v>3073</v>
      </c>
      <c r="J658" t="str">
        <f t="shared" si="10"/>
        <v>http://www.badatelna.eu/reprodukce/?fondId=1073&amp;zaznamId=1108958&amp;reproId=3779964</v>
      </c>
      <c r="K658">
        <f>IF(LEN(TRIM(E658))=0,"",VLOOKUP(E658,Sheet2!$B$1:$E$19,2,FALSE))</f>
        <v>1073</v>
      </c>
      <c r="L658">
        <f>IF(LEN(TRIM(E658))=0,"",VLOOKUP(E658,Sheet2!$B$1:$E$19,3,FALSE))</f>
        <v>1108958</v>
      </c>
      <c r="M658">
        <f>IF(LEN(TRIM(E658))=0,"",VLOOKUP(E658,Sheet2!$B$1:$E$19,4,FALSE))+(F658-1)</f>
        <v>3779964</v>
      </c>
    </row>
    <row r="659" spans="1:17" s="1" customFormat="1" ht="15" customHeight="1" x14ac:dyDescent="0.25">
      <c r="A659" s="28" t="s">
        <v>228</v>
      </c>
      <c r="B659" s="28" t="s">
        <v>435</v>
      </c>
      <c r="C659" s="6" t="s">
        <v>1958</v>
      </c>
      <c r="D659" s="1" t="s">
        <v>454</v>
      </c>
      <c r="E659" s="1">
        <v>2172</v>
      </c>
      <c r="F659" s="28">
        <v>235</v>
      </c>
      <c r="G659" s="9">
        <v>215</v>
      </c>
      <c r="H659" s="1" t="s">
        <v>3073</v>
      </c>
      <c r="I659" s="1" t="s">
        <v>3073</v>
      </c>
      <c r="J659" t="str">
        <f t="shared" si="10"/>
        <v>http://www.badatelna.eu/reprodukce/?fondId=1073&amp;zaznamId=1108958&amp;reproId=3779976</v>
      </c>
      <c r="K659">
        <f>IF(LEN(TRIM(E659))=0,"",VLOOKUP(E659,Sheet2!$B$1:$E$19,2,FALSE))</f>
        <v>1073</v>
      </c>
      <c r="L659">
        <f>IF(LEN(TRIM(E659))=0,"",VLOOKUP(E659,Sheet2!$B$1:$E$19,3,FALSE))</f>
        <v>1108958</v>
      </c>
      <c r="M659">
        <f>IF(LEN(TRIM(E659))=0,"",VLOOKUP(E659,Sheet2!$B$1:$E$19,4,FALSE))+(F659-1)</f>
        <v>3779976</v>
      </c>
    </row>
    <row r="660" spans="1:17" s="1" customFormat="1" ht="15" customHeight="1" x14ac:dyDescent="0.25">
      <c r="A660" s="28" t="s">
        <v>228</v>
      </c>
      <c r="B660" s="28" t="s">
        <v>290</v>
      </c>
      <c r="C660" s="1">
        <v>1893</v>
      </c>
      <c r="D660" s="1" t="s">
        <v>454</v>
      </c>
      <c r="E660" s="1">
        <v>2172</v>
      </c>
      <c r="F660" s="28">
        <v>87</v>
      </c>
      <c r="G660" s="9">
        <v>86</v>
      </c>
      <c r="H660" s="1">
        <v>89</v>
      </c>
      <c r="I660" s="1">
        <v>88</v>
      </c>
      <c r="J660" t="str">
        <f t="shared" si="10"/>
        <v>http://www.badatelna.eu/reprodukce/?fondId=1073&amp;zaznamId=1108958&amp;reproId=3779828</v>
      </c>
      <c r="K660">
        <f>IF(LEN(TRIM(E660))=0,"",VLOOKUP(E660,Sheet2!$B$1:$E$19,2,FALSE))</f>
        <v>1073</v>
      </c>
      <c r="L660">
        <f>IF(LEN(TRIM(E660))=0,"",VLOOKUP(E660,Sheet2!$B$1:$E$19,3,FALSE))</f>
        <v>1108958</v>
      </c>
      <c r="M660">
        <f>IF(LEN(TRIM(E660))=0,"",VLOOKUP(E660,Sheet2!$B$1:$E$19,4,FALSE))+(F660-1)</f>
        <v>3779828</v>
      </c>
      <c r="N660"/>
      <c r="O660"/>
      <c r="P660"/>
      <c r="Q660"/>
    </row>
    <row r="661" spans="1:17" s="1" customFormat="1" ht="15" customHeight="1" x14ac:dyDescent="0.25">
      <c r="A661" s="28" t="s">
        <v>228</v>
      </c>
      <c r="B661" s="28" t="s">
        <v>686</v>
      </c>
      <c r="C661" s="6" t="s">
        <v>1776</v>
      </c>
      <c r="D661" s="1" t="s">
        <v>454</v>
      </c>
      <c r="E661" s="1">
        <v>2172</v>
      </c>
      <c r="F661" s="28">
        <v>148</v>
      </c>
      <c r="G661" s="9">
        <v>144</v>
      </c>
      <c r="H661" s="1">
        <v>149</v>
      </c>
      <c r="I661" s="1">
        <v>145</v>
      </c>
      <c r="J661" t="str">
        <f t="shared" si="10"/>
        <v>http://www.badatelna.eu/reprodukce/?fondId=1073&amp;zaznamId=1108958&amp;reproId=3779889</v>
      </c>
      <c r="K661">
        <f>IF(LEN(TRIM(E661))=0,"",VLOOKUP(E661,Sheet2!$B$1:$E$19,2,FALSE))</f>
        <v>1073</v>
      </c>
      <c r="L661">
        <f>IF(LEN(TRIM(E661))=0,"",VLOOKUP(E661,Sheet2!$B$1:$E$19,3,FALSE))</f>
        <v>1108958</v>
      </c>
      <c r="M661">
        <f>IF(LEN(TRIM(E661))=0,"",VLOOKUP(E661,Sheet2!$B$1:$E$19,4,FALSE))+(F661-1)</f>
        <v>3779889</v>
      </c>
      <c r="N661"/>
      <c r="O661"/>
      <c r="P661"/>
      <c r="Q661"/>
    </row>
    <row r="662" spans="1:17" s="1" customFormat="1" ht="15" customHeight="1" x14ac:dyDescent="0.25">
      <c r="A662" s="28" t="s">
        <v>228</v>
      </c>
      <c r="B662" s="28" t="s">
        <v>538</v>
      </c>
      <c r="C662" s="6" t="s">
        <v>1825</v>
      </c>
      <c r="D662" s="1" t="s">
        <v>454</v>
      </c>
      <c r="E662" s="1">
        <v>2172</v>
      </c>
      <c r="F662" s="28">
        <v>170</v>
      </c>
      <c r="G662" s="9">
        <v>163</v>
      </c>
      <c r="H662" s="1" t="s">
        <v>3073</v>
      </c>
      <c r="I662" s="1" t="s">
        <v>3073</v>
      </c>
      <c r="J662" t="str">
        <f t="shared" si="10"/>
        <v>http://www.badatelna.eu/reprodukce/?fondId=1073&amp;zaznamId=1108958&amp;reproId=3779911</v>
      </c>
      <c r="K662">
        <f>IF(LEN(TRIM(E662))=0,"",VLOOKUP(E662,Sheet2!$B$1:$E$19,2,FALSE))</f>
        <v>1073</v>
      </c>
      <c r="L662">
        <f>IF(LEN(TRIM(E662))=0,"",VLOOKUP(E662,Sheet2!$B$1:$E$19,3,FALSE))</f>
        <v>1108958</v>
      </c>
      <c r="M662">
        <f>IF(LEN(TRIM(E662))=0,"",VLOOKUP(E662,Sheet2!$B$1:$E$19,4,FALSE))+(F662-1)</f>
        <v>3779911</v>
      </c>
      <c r="N662"/>
      <c r="O662"/>
      <c r="P662"/>
      <c r="Q662"/>
    </row>
    <row r="663" spans="1:17" s="1" customFormat="1" ht="15" customHeight="1" x14ac:dyDescent="0.25">
      <c r="A663" s="28" t="s">
        <v>228</v>
      </c>
      <c r="B663" s="28" t="s">
        <v>538</v>
      </c>
      <c r="C663" s="6" t="s">
        <v>1513</v>
      </c>
      <c r="D663" s="1" t="s">
        <v>454</v>
      </c>
      <c r="E663" s="1">
        <v>2172</v>
      </c>
      <c r="F663" s="28">
        <v>11</v>
      </c>
      <c r="G663" s="9">
        <v>10</v>
      </c>
      <c r="H663" s="1" t="s">
        <v>3073</v>
      </c>
      <c r="I663" s="1" t="s">
        <v>3073</v>
      </c>
      <c r="J663" t="str">
        <f t="shared" si="10"/>
        <v>http://www.badatelna.eu/reprodukce/?fondId=1073&amp;zaznamId=1108958&amp;reproId=3779752</v>
      </c>
      <c r="K663">
        <f>IF(LEN(TRIM(E663))=0,"",VLOOKUP(E663,Sheet2!$B$1:$E$19,2,FALSE))</f>
        <v>1073</v>
      </c>
      <c r="L663">
        <f>IF(LEN(TRIM(E663))=0,"",VLOOKUP(E663,Sheet2!$B$1:$E$19,3,FALSE))</f>
        <v>1108958</v>
      </c>
      <c r="M663">
        <f>IF(LEN(TRIM(E663))=0,"",VLOOKUP(E663,Sheet2!$B$1:$E$19,4,FALSE))+(F663-1)</f>
        <v>3779752</v>
      </c>
    </row>
    <row r="664" spans="1:17" s="1" customFormat="1" ht="15" customHeight="1" x14ac:dyDescent="0.25">
      <c r="A664" s="28" t="s">
        <v>228</v>
      </c>
      <c r="B664" s="28" t="s">
        <v>205</v>
      </c>
      <c r="C664" s="6" t="s">
        <v>2532</v>
      </c>
      <c r="D664" s="1" t="s">
        <v>454</v>
      </c>
      <c r="E664" s="1">
        <v>2173</v>
      </c>
      <c r="F664" s="28">
        <v>207</v>
      </c>
      <c r="G664" s="1">
        <v>23</v>
      </c>
      <c r="H664" s="1" t="s">
        <v>3073</v>
      </c>
      <c r="I664" s="1" t="s">
        <v>3073</v>
      </c>
      <c r="J664" t="str">
        <f t="shared" si="10"/>
        <v>http://www.badatelna.eu/reprodukce/?fondId=1073&amp;zaznamId=1108959&amp;reproId=3780200</v>
      </c>
      <c r="K664">
        <f>IF(LEN(TRIM(E664))=0,"",VLOOKUP(E664,Sheet2!$B$1:$E$19,2,FALSE))</f>
        <v>1073</v>
      </c>
      <c r="L664">
        <f>IF(LEN(TRIM(E664))=0,"",VLOOKUP(E664,Sheet2!$B$1:$E$19,3,FALSE))</f>
        <v>1108959</v>
      </c>
      <c r="M664">
        <f>IF(LEN(TRIM(E664))=0,"",VLOOKUP(E664,Sheet2!$B$1:$E$19,4,FALSE))+(F664-1)</f>
        <v>3780200</v>
      </c>
    </row>
    <row r="665" spans="1:17" s="1" customFormat="1" ht="15" customHeight="1" x14ac:dyDescent="0.25">
      <c r="A665" s="29" t="s">
        <v>228</v>
      </c>
      <c r="B665" s="28" t="s">
        <v>18</v>
      </c>
      <c r="C665" s="6" t="s">
        <v>2226</v>
      </c>
      <c r="D665" s="1" t="s">
        <v>454</v>
      </c>
      <c r="E665" s="1">
        <v>2173</v>
      </c>
      <c r="F665" s="28">
        <v>196</v>
      </c>
      <c r="G665" s="9">
        <v>1</v>
      </c>
      <c r="H665" s="1" t="s">
        <v>3073</v>
      </c>
      <c r="I665" s="1" t="s">
        <v>3073</v>
      </c>
      <c r="J665" t="str">
        <f t="shared" si="10"/>
        <v>http://www.badatelna.eu/reprodukce/?fondId=1073&amp;zaznamId=1108959&amp;reproId=3780189</v>
      </c>
      <c r="K665">
        <f>IF(LEN(TRIM(E665))=0,"",VLOOKUP(E665,Sheet2!$B$1:$E$19,2,FALSE))</f>
        <v>1073</v>
      </c>
      <c r="L665">
        <f>IF(LEN(TRIM(E665))=0,"",VLOOKUP(E665,Sheet2!$B$1:$E$19,3,FALSE))</f>
        <v>1108959</v>
      </c>
      <c r="M665">
        <f>IF(LEN(TRIM(E665))=0,"",VLOOKUP(E665,Sheet2!$B$1:$E$19,4,FALSE))+(F665-1)</f>
        <v>3780189</v>
      </c>
    </row>
    <row r="666" spans="1:17" s="1" customFormat="1" ht="15" customHeight="1" x14ac:dyDescent="0.25">
      <c r="A666" s="28" t="s">
        <v>228</v>
      </c>
      <c r="B666" s="28" t="s">
        <v>511</v>
      </c>
      <c r="C666" s="15">
        <v>4785</v>
      </c>
      <c r="D666" s="1" t="s">
        <v>454</v>
      </c>
      <c r="E666" s="1">
        <v>2172</v>
      </c>
      <c r="F666" s="28">
        <v>183</v>
      </c>
      <c r="G666" s="9">
        <v>174</v>
      </c>
      <c r="H666" s="1" t="s">
        <v>3073</v>
      </c>
      <c r="I666" s="1" t="s">
        <v>3073</v>
      </c>
      <c r="J666" t="str">
        <f t="shared" si="10"/>
        <v>http://www.badatelna.eu/reprodukce/?fondId=1073&amp;zaznamId=1108958&amp;reproId=3779924</v>
      </c>
      <c r="K666">
        <f>IF(LEN(TRIM(E666))=0,"",VLOOKUP(E666,Sheet2!$B$1:$E$19,2,FALSE))</f>
        <v>1073</v>
      </c>
      <c r="L666">
        <f>IF(LEN(TRIM(E666))=0,"",VLOOKUP(E666,Sheet2!$B$1:$E$19,3,FALSE))</f>
        <v>1108958</v>
      </c>
      <c r="M666">
        <f>IF(LEN(TRIM(E666))=0,"",VLOOKUP(E666,Sheet2!$B$1:$E$19,4,FALSE))+(F666-1)</f>
        <v>3779924</v>
      </c>
    </row>
    <row r="667" spans="1:17" s="1" customFormat="1" ht="15" customHeight="1" x14ac:dyDescent="0.25">
      <c r="A667" s="28" t="s">
        <v>228</v>
      </c>
      <c r="B667" s="28" t="s">
        <v>778</v>
      </c>
      <c r="C667" s="6" t="s">
        <v>1826</v>
      </c>
      <c r="D667" s="1" t="s">
        <v>454</v>
      </c>
      <c r="E667" s="1">
        <v>2172</v>
      </c>
      <c r="F667" s="28">
        <v>170</v>
      </c>
      <c r="G667" s="9">
        <v>163</v>
      </c>
      <c r="H667" s="1" t="s">
        <v>3073</v>
      </c>
      <c r="I667" s="1" t="s">
        <v>3073</v>
      </c>
      <c r="J667" t="str">
        <f t="shared" si="10"/>
        <v>http://www.badatelna.eu/reprodukce/?fondId=1073&amp;zaznamId=1108958&amp;reproId=3779911</v>
      </c>
      <c r="K667">
        <f>IF(LEN(TRIM(E667))=0,"",VLOOKUP(E667,Sheet2!$B$1:$E$19,2,FALSE))</f>
        <v>1073</v>
      </c>
      <c r="L667">
        <f>IF(LEN(TRIM(E667))=0,"",VLOOKUP(E667,Sheet2!$B$1:$E$19,3,FALSE))</f>
        <v>1108958</v>
      </c>
      <c r="M667">
        <f>IF(LEN(TRIM(E667))=0,"",VLOOKUP(E667,Sheet2!$B$1:$E$19,4,FALSE))+(F667-1)</f>
        <v>3779911</v>
      </c>
    </row>
    <row r="668" spans="1:17" s="1" customFormat="1" ht="15" customHeight="1" x14ac:dyDescent="0.25">
      <c r="A668" s="28" t="s">
        <v>228</v>
      </c>
      <c r="B668" s="28" t="s">
        <v>832</v>
      </c>
      <c r="C668" s="6" t="s">
        <v>1605</v>
      </c>
      <c r="D668" s="1" t="s">
        <v>454</v>
      </c>
      <c r="E668" s="1">
        <v>2172</v>
      </c>
      <c r="F668" s="28">
        <v>75</v>
      </c>
      <c r="G668" s="9" t="s">
        <v>2766</v>
      </c>
      <c r="H668" s="1">
        <v>76</v>
      </c>
      <c r="I668" s="1">
        <v>75</v>
      </c>
      <c r="J668" t="str">
        <f t="shared" si="10"/>
        <v>http://www.badatelna.eu/reprodukce/?fondId=1073&amp;zaznamId=1108958&amp;reproId=3779816</v>
      </c>
      <c r="K668">
        <f>IF(LEN(TRIM(E668))=0,"",VLOOKUP(E668,Sheet2!$B$1:$E$19,2,FALSE))</f>
        <v>1073</v>
      </c>
      <c r="L668">
        <f>IF(LEN(TRIM(E668))=0,"",VLOOKUP(E668,Sheet2!$B$1:$E$19,3,FALSE))</f>
        <v>1108958</v>
      </c>
      <c r="M668">
        <f>IF(LEN(TRIM(E668))=0,"",VLOOKUP(E668,Sheet2!$B$1:$E$19,4,FALSE))+(F668-1)</f>
        <v>3779816</v>
      </c>
    </row>
    <row r="669" spans="1:17" s="1" customFormat="1" ht="15" customHeight="1" x14ac:dyDescent="0.25">
      <c r="A669" s="28" t="s">
        <v>228</v>
      </c>
      <c r="B669" s="28" t="s">
        <v>28</v>
      </c>
      <c r="C669" s="6" t="s">
        <v>1777</v>
      </c>
      <c r="D669" s="1" t="s">
        <v>454</v>
      </c>
      <c r="E669" s="1">
        <v>2172</v>
      </c>
      <c r="F669" s="28">
        <v>148</v>
      </c>
      <c r="G669" s="9">
        <v>144</v>
      </c>
      <c r="H669" s="1">
        <v>149</v>
      </c>
      <c r="I669" s="1">
        <v>145</v>
      </c>
      <c r="J669" t="str">
        <f t="shared" si="10"/>
        <v>http://www.badatelna.eu/reprodukce/?fondId=1073&amp;zaznamId=1108958&amp;reproId=3779889</v>
      </c>
      <c r="K669">
        <f>IF(LEN(TRIM(E669))=0,"",VLOOKUP(E669,Sheet2!$B$1:$E$19,2,FALSE))</f>
        <v>1073</v>
      </c>
      <c r="L669">
        <f>IF(LEN(TRIM(E669))=0,"",VLOOKUP(E669,Sheet2!$B$1:$E$19,3,FALSE))</f>
        <v>1108958</v>
      </c>
      <c r="M669">
        <f>IF(LEN(TRIM(E669))=0,"",VLOOKUP(E669,Sheet2!$B$1:$E$19,4,FALSE))+(F669-1)</f>
        <v>3779889</v>
      </c>
    </row>
    <row r="670" spans="1:17" s="1" customFormat="1" ht="15" customHeight="1" x14ac:dyDescent="0.25">
      <c r="A670" s="28" t="s">
        <v>228</v>
      </c>
      <c r="B670" s="28" t="s">
        <v>314</v>
      </c>
      <c r="C670" s="6" t="s">
        <v>1691</v>
      </c>
      <c r="D670" s="1" t="s">
        <v>454</v>
      </c>
      <c r="E670" s="1">
        <v>2172</v>
      </c>
      <c r="F670" s="28">
        <v>113</v>
      </c>
      <c r="G670" s="9" t="s">
        <v>2769</v>
      </c>
      <c r="H670" s="1">
        <v>116</v>
      </c>
      <c r="I670" s="1">
        <v>115</v>
      </c>
      <c r="J670" t="str">
        <f t="shared" si="10"/>
        <v>http://www.badatelna.eu/reprodukce/?fondId=1073&amp;zaznamId=1108958&amp;reproId=3779854</v>
      </c>
      <c r="K670">
        <f>IF(LEN(TRIM(E670))=0,"",VLOOKUP(E670,Sheet2!$B$1:$E$19,2,FALSE))</f>
        <v>1073</v>
      </c>
      <c r="L670">
        <f>IF(LEN(TRIM(E670))=0,"",VLOOKUP(E670,Sheet2!$B$1:$E$19,3,FALSE))</f>
        <v>1108958</v>
      </c>
      <c r="M670">
        <f>IF(LEN(TRIM(E670))=0,"",VLOOKUP(E670,Sheet2!$B$1:$E$19,4,FALSE))+(F670-1)</f>
        <v>3779854</v>
      </c>
    </row>
    <row r="671" spans="1:17" s="1" customFormat="1" ht="15" customHeight="1" x14ac:dyDescent="0.25">
      <c r="A671" s="28" t="s">
        <v>228</v>
      </c>
      <c r="B671" s="28" t="s">
        <v>833</v>
      </c>
      <c r="C671" s="6" t="s">
        <v>1966</v>
      </c>
      <c r="D671" s="1" t="s">
        <v>454</v>
      </c>
      <c r="E671" s="1">
        <v>2172</v>
      </c>
      <c r="F671" s="28">
        <v>237</v>
      </c>
      <c r="G671" s="9">
        <v>217</v>
      </c>
      <c r="H671" s="1" t="s">
        <v>3073</v>
      </c>
      <c r="I671" s="1" t="s">
        <v>3073</v>
      </c>
      <c r="J671" t="str">
        <f t="shared" si="10"/>
        <v>http://www.badatelna.eu/reprodukce/?fondId=1073&amp;zaznamId=1108958&amp;reproId=3779978</v>
      </c>
      <c r="K671">
        <f>IF(LEN(TRIM(E671))=0,"",VLOOKUP(E671,Sheet2!$B$1:$E$19,2,FALSE))</f>
        <v>1073</v>
      </c>
      <c r="L671">
        <f>IF(LEN(TRIM(E671))=0,"",VLOOKUP(E671,Sheet2!$B$1:$E$19,3,FALSE))</f>
        <v>1108958</v>
      </c>
      <c r="M671">
        <f>IF(LEN(TRIM(E671))=0,"",VLOOKUP(E671,Sheet2!$B$1:$E$19,4,FALSE))+(F671-1)</f>
        <v>3779978</v>
      </c>
    </row>
    <row r="672" spans="1:17" s="1" customFormat="1" ht="15" customHeight="1" x14ac:dyDescent="0.25">
      <c r="A672" s="28" t="s">
        <v>228</v>
      </c>
      <c r="B672" s="28" t="s">
        <v>666</v>
      </c>
      <c r="C672" s="6" t="s">
        <v>1709</v>
      </c>
      <c r="D672" s="1" t="s">
        <v>454</v>
      </c>
      <c r="E672" s="1">
        <v>2172</v>
      </c>
      <c r="F672" s="28">
        <v>120</v>
      </c>
      <c r="G672" s="9">
        <v>119</v>
      </c>
      <c r="H672" s="1">
        <v>123</v>
      </c>
      <c r="I672" s="1">
        <v>122</v>
      </c>
      <c r="J672" t="str">
        <f t="shared" si="10"/>
        <v>http://www.badatelna.eu/reprodukce/?fondId=1073&amp;zaznamId=1108958&amp;reproId=3779861</v>
      </c>
      <c r="K672">
        <f>IF(LEN(TRIM(E672))=0,"",VLOOKUP(E672,Sheet2!$B$1:$E$19,2,FALSE))</f>
        <v>1073</v>
      </c>
      <c r="L672">
        <f>IF(LEN(TRIM(E672))=0,"",VLOOKUP(E672,Sheet2!$B$1:$E$19,3,FALSE))</f>
        <v>1108958</v>
      </c>
      <c r="M672">
        <f>IF(LEN(TRIM(E672))=0,"",VLOOKUP(E672,Sheet2!$B$1:$E$19,4,FALSE))+(F672-1)</f>
        <v>3779861</v>
      </c>
    </row>
    <row r="673" spans="1:17" s="1" customFormat="1" ht="15" customHeight="1" x14ac:dyDescent="0.25">
      <c r="A673" s="28" t="s">
        <v>228</v>
      </c>
      <c r="B673" s="28" t="s">
        <v>54</v>
      </c>
      <c r="C673" s="6" t="s">
        <v>2865</v>
      </c>
      <c r="D673" s="1" t="s">
        <v>454</v>
      </c>
      <c r="E673" s="1">
        <v>2173</v>
      </c>
      <c r="F673" s="28">
        <v>210</v>
      </c>
      <c r="G673" s="9" t="s">
        <v>2863</v>
      </c>
      <c r="H673" s="1" t="s">
        <v>3073</v>
      </c>
      <c r="I673" s="1" t="s">
        <v>3073</v>
      </c>
      <c r="J673" t="str">
        <f t="shared" si="10"/>
        <v>http://www.badatelna.eu/reprodukce/?fondId=1073&amp;zaznamId=1108959&amp;reproId=3780203</v>
      </c>
      <c r="K673">
        <f>IF(LEN(TRIM(E673))=0,"",VLOOKUP(E673,Sheet2!$B$1:$E$19,2,FALSE))</f>
        <v>1073</v>
      </c>
      <c r="L673">
        <f>IF(LEN(TRIM(E673))=0,"",VLOOKUP(E673,Sheet2!$B$1:$E$19,3,FALSE))</f>
        <v>1108959</v>
      </c>
      <c r="M673">
        <f>IF(LEN(TRIM(E673))=0,"",VLOOKUP(E673,Sheet2!$B$1:$E$19,4,FALSE))+(F673-1)</f>
        <v>3780203</v>
      </c>
    </row>
    <row r="674" spans="1:17" s="1" customFormat="1" ht="15" customHeight="1" x14ac:dyDescent="0.25">
      <c r="A674" s="27" t="s">
        <v>228</v>
      </c>
      <c r="B674" s="27" t="s">
        <v>54</v>
      </c>
      <c r="C674" s="5" t="s">
        <v>1126</v>
      </c>
      <c r="D674" s="3" t="s">
        <v>454</v>
      </c>
      <c r="E674" s="3">
        <v>2170</v>
      </c>
      <c r="F674" s="28">
        <v>44</v>
      </c>
      <c r="G674" s="10">
        <v>40</v>
      </c>
      <c r="H674" s="3">
        <v>62</v>
      </c>
      <c r="I674" s="3">
        <v>58</v>
      </c>
      <c r="J674" t="str">
        <f t="shared" si="10"/>
        <v>http://www.badatelna.eu/reprodukce/?fondId=1073&amp;zaznamId=1108956&amp;reproId=3779636</v>
      </c>
      <c r="K674">
        <f>IF(LEN(TRIM(E674))=0,"",VLOOKUP(E674,Sheet2!$B$1:$E$19,2,FALSE))</f>
        <v>1073</v>
      </c>
      <c r="L674">
        <f>IF(LEN(TRIM(E674))=0,"",VLOOKUP(E674,Sheet2!$B$1:$E$19,3,FALSE))</f>
        <v>1108956</v>
      </c>
      <c r="M674">
        <f>IF(LEN(TRIM(E674))=0,"",VLOOKUP(E674,Sheet2!$B$1:$E$19,4,FALSE))+(F674-1)</f>
        <v>3779636</v>
      </c>
      <c r="N674"/>
      <c r="O674"/>
      <c r="P674"/>
      <c r="Q674"/>
    </row>
    <row r="675" spans="1:17" s="1" customFormat="1" ht="15" customHeight="1" x14ac:dyDescent="0.25">
      <c r="A675" s="28" t="s">
        <v>228</v>
      </c>
      <c r="B675" s="28" t="s">
        <v>749</v>
      </c>
      <c r="C675" s="6" t="s">
        <v>1737</v>
      </c>
      <c r="D675" s="1" t="s">
        <v>454</v>
      </c>
      <c r="E675" s="1">
        <v>2172</v>
      </c>
      <c r="F675" s="28">
        <v>131</v>
      </c>
      <c r="G675" s="9" t="s">
        <v>2782</v>
      </c>
      <c r="H675" s="1">
        <v>132</v>
      </c>
      <c r="I675" s="1">
        <v>131</v>
      </c>
      <c r="J675" t="str">
        <f t="shared" si="10"/>
        <v>http://www.badatelna.eu/reprodukce/?fondId=1073&amp;zaznamId=1108958&amp;reproId=3779872</v>
      </c>
      <c r="K675">
        <f>IF(LEN(TRIM(E675))=0,"",VLOOKUP(E675,Sheet2!$B$1:$E$19,2,FALSE))</f>
        <v>1073</v>
      </c>
      <c r="L675">
        <f>IF(LEN(TRIM(E675))=0,"",VLOOKUP(E675,Sheet2!$B$1:$E$19,3,FALSE))</f>
        <v>1108958</v>
      </c>
      <c r="M675">
        <f>IF(LEN(TRIM(E675))=0,"",VLOOKUP(E675,Sheet2!$B$1:$E$19,4,FALSE))+(F675-1)</f>
        <v>3779872</v>
      </c>
    </row>
    <row r="676" spans="1:17" s="1" customFormat="1" ht="15" customHeight="1" x14ac:dyDescent="0.25">
      <c r="A676" s="28" t="s">
        <v>2952</v>
      </c>
      <c r="B676" s="28" t="s">
        <v>10</v>
      </c>
      <c r="C676" s="1">
        <v>1848</v>
      </c>
      <c r="D676" s="1" t="s">
        <v>2919</v>
      </c>
      <c r="E676" s="1">
        <v>998</v>
      </c>
      <c r="F676" s="28">
        <v>13</v>
      </c>
      <c r="G676" s="1">
        <v>11</v>
      </c>
      <c r="H676" s="1">
        <v>67</v>
      </c>
      <c r="I676" s="1">
        <v>64</v>
      </c>
      <c r="J676" t="str">
        <f t="shared" si="10"/>
        <v>http://www.badatelna.eu/reprodukce/?fondId=241&amp;zaznamId=1133738&amp;reproId=3885659</v>
      </c>
      <c r="K676">
        <f>IF(LEN(TRIM(E676))=0,"",VLOOKUP(E676,Sheet2!$B$1:$E$19,2,FALSE))</f>
        <v>241</v>
      </c>
      <c r="L676">
        <f>IF(LEN(TRIM(E676))=0,"",VLOOKUP(E676,Sheet2!$B$1:$E$19,3,FALSE))</f>
        <v>1133738</v>
      </c>
      <c r="M676">
        <f>IF(LEN(TRIM(E676))=0,"",VLOOKUP(E676,Sheet2!$B$1:$E$19,4,FALSE))+(F676-1)</f>
        <v>3885659</v>
      </c>
    </row>
    <row r="677" spans="1:17" s="1" customFormat="1" ht="15" customHeight="1" x14ac:dyDescent="0.25">
      <c r="A677" s="28" t="s">
        <v>834</v>
      </c>
      <c r="B677" s="28" t="s">
        <v>835</v>
      </c>
      <c r="C677" s="6" t="s">
        <v>1802</v>
      </c>
      <c r="D677" s="1" t="s">
        <v>454</v>
      </c>
      <c r="E677" s="1">
        <v>2172</v>
      </c>
      <c r="F677" s="28">
        <v>163</v>
      </c>
      <c r="G677" s="9">
        <v>157</v>
      </c>
      <c r="H677" s="1">
        <v>164</v>
      </c>
      <c r="I677" s="1">
        <v>158</v>
      </c>
      <c r="J677" t="str">
        <f t="shared" si="10"/>
        <v>http://www.badatelna.eu/reprodukce/?fondId=1073&amp;zaznamId=1108958&amp;reproId=3779904</v>
      </c>
      <c r="K677">
        <f>IF(LEN(TRIM(E677))=0,"",VLOOKUP(E677,Sheet2!$B$1:$E$19,2,FALSE))</f>
        <v>1073</v>
      </c>
      <c r="L677">
        <f>IF(LEN(TRIM(E677))=0,"",VLOOKUP(E677,Sheet2!$B$1:$E$19,3,FALSE))</f>
        <v>1108958</v>
      </c>
      <c r="M677">
        <f>IF(LEN(TRIM(E677))=0,"",VLOOKUP(E677,Sheet2!$B$1:$E$19,4,FALSE))+(F677-1)</f>
        <v>3779904</v>
      </c>
    </row>
    <row r="678" spans="1:17" s="1" customFormat="1" ht="15" customHeight="1" x14ac:dyDescent="0.25">
      <c r="A678" s="28" t="s">
        <v>836</v>
      </c>
      <c r="B678" s="28" t="s">
        <v>837</v>
      </c>
      <c r="C678" s="15">
        <v>10540</v>
      </c>
      <c r="D678" s="1" t="s">
        <v>454</v>
      </c>
      <c r="E678" s="1">
        <v>2172</v>
      </c>
      <c r="F678" s="28">
        <v>214</v>
      </c>
      <c r="G678" s="9">
        <v>198</v>
      </c>
      <c r="H678" s="1" t="s">
        <v>3073</v>
      </c>
      <c r="I678" s="1" t="s">
        <v>3073</v>
      </c>
      <c r="J678" t="str">
        <f t="shared" si="10"/>
        <v>http://www.badatelna.eu/reprodukce/?fondId=1073&amp;zaznamId=1108958&amp;reproId=3779955</v>
      </c>
      <c r="K678">
        <f>IF(LEN(TRIM(E678))=0,"",VLOOKUP(E678,Sheet2!$B$1:$E$19,2,FALSE))</f>
        <v>1073</v>
      </c>
      <c r="L678">
        <f>IF(LEN(TRIM(E678))=0,"",VLOOKUP(E678,Sheet2!$B$1:$E$19,3,FALSE))</f>
        <v>1108958</v>
      </c>
      <c r="M678">
        <f>IF(LEN(TRIM(E678))=0,"",VLOOKUP(E678,Sheet2!$B$1:$E$19,4,FALSE))+(F678-1)</f>
        <v>3779955</v>
      </c>
    </row>
    <row r="679" spans="1:17" s="1" customFormat="1" ht="15" customHeight="1" x14ac:dyDescent="0.25">
      <c r="A679" s="29" t="s">
        <v>2827</v>
      </c>
      <c r="B679" s="28" t="s">
        <v>13</v>
      </c>
      <c r="C679" s="6" t="s">
        <v>2507</v>
      </c>
      <c r="D679" s="1" t="s">
        <v>454</v>
      </c>
      <c r="E679" s="1">
        <v>2173</v>
      </c>
      <c r="F679" s="28">
        <v>206</v>
      </c>
      <c r="G679" s="17">
        <v>22</v>
      </c>
      <c r="H679" s="1" t="s">
        <v>3073</v>
      </c>
      <c r="I679" s="1" t="s">
        <v>3073</v>
      </c>
      <c r="J679" t="str">
        <f t="shared" si="10"/>
        <v>http://www.badatelna.eu/reprodukce/?fondId=1073&amp;zaznamId=1108959&amp;reproId=3780199</v>
      </c>
      <c r="K679">
        <f>IF(LEN(TRIM(E679))=0,"",VLOOKUP(E679,Sheet2!$B$1:$E$19,2,FALSE))</f>
        <v>1073</v>
      </c>
      <c r="L679">
        <f>IF(LEN(TRIM(E679))=0,"",VLOOKUP(E679,Sheet2!$B$1:$E$19,3,FALSE))</f>
        <v>1108959</v>
      </c>
      <c r="M679">
        <f>IF(LEN(TRIM(E679))=0,"",VLOOKUP(E679,Sheet2!$B$1:$E$19,4,FALSE))+(F679-1)</f>
        <v>3780199</v>
      </c>
    </row>
    <row r="680" spans="1:17" s="1" customFormat="1" ht="15" customHeight="1" x14ac:dyDescent="0.25">
      <c r="A680" s="28" t="s">
        <v>417</v>
      </c>
      <c r="B680" s="28" t="s">
        <v>434</v>
      </c>
      <c r="C680" s="1">
        <v>1848</v>
      </c>
      <c r="D680" s="1" t="s">
        <v>2919</v>
      </c>
      <c r="E680" s="1">
        <v>998</v>
      </c>
      <c r="F680" s="28">
        <v>12</v>
      </c>
      <c r="G680" s="1">
        <v>10</v>
      </c>
      <c r="H680" s="1">
        <v>67</v>
      </c>
      <c r="I680" s="1">
        <v>64</v>
      </c>
      <c r="J680" t="str">
        <f t="shared" si="10"/>
        <v>http://www.badatelna.eu/reprodukce/?fondId=241&amp;zaznamId=1133738&amp;reproId=3885658</v>
      </c>
      <c r="K680">
        <f>IF(LEN(TRIM(E680))=0,"",VLOOKUP(E680,Sheet2!$B$1:$E$19,2,FALSE))</f>
        <v>241</v>
      </c>
      <c r="L680">
        <f>IF(LEN(TRIM(E680))=0,"",VLOOKUP(E680,Sheet2!$B$1:$E$19,3,FALSE))</f>
        <v>1133738</v>
      </c>
      <c r="M680">
        <f>IF(LEN(TRIM(E680))=0,"",VLOOKUP(E680,Sheet2!$B$1:$E$19,4,FALSE))+(F680-1)</f>
        <v>3885658</v>
      </c>
    </row>
    <row r="681" spans="1:17" s="1" customFormat="1" ht="15" customHeight="1" x14ac:dyDescent="0.25">
      <c r="A681" s="28" t="s">
        <v>417</v>
      </c>
      <c r="B681" s="28" t="s">
        <v>434</v>
      </c>
      <c r="C681" s="6" t="s">
        <v>2689</v>
      </c>
      <c r="D681" s="1" t="s">
        <v>454</v>
      </c>
      <c r="E681" s="1">
        <v>2173</v>
      </c>
      <c r="F681" s="28">
        <v>224</v>
      </c>
      <c r="G681" s="9">
        <v>53</v>
      </c>
      <c r="H681" s="1" t="s">
        <v>3073</v>
      </c>
      <c r="I681" s="1" t="s">
        <v>3073</v>
      </c>
      <c r="J681" t="str">
        <f t="shared" si="10"/>
        <v>http://www.badatelna.eu/reprodukce/?fondId=1073&amp;zaznamId=1108959&amp;reproId=3780217</v>
      </c>
      <c r="K681">
        <f>IF(LEN(TRIM(E681))=0,"",VLOOKUP(E681,Sheet2!$B$1:$E$19,2,FALSE))</f>
        <v>1073</v>
      </c>
      <c r="L681">
        <f>IF(LEN(TRIM(E681))=0,"",VLOOKUP(E681,Sheet2!$B$1:$E$19,3,FALSE))</f>
        <v>1108959</v>
      </c>
      <c r="M681">
        <f>IF(LEN(TRIM(E681))=0,"",VLOOKUP(E681,Sheet2!$B$1:$E$19,4,FALSE))+(F681-1)</f>
        <v>3780217</v>
      </c>
      <c r="N681"/>
      <c r="O681"/>
      <c r="P681"/>
      <c r="Q681"/>
    </row>
    <row r="682" spans="1:17" s="1" customFormat="1" ht="15" customHeight="1" x14ac:dyDescent="0.25">
      <c r="A682" s="28" t="s">
        <v>417</v>
      </c>
      <c r="B682" s="28" t="s">
        <v>838</v>
      </c>
      <c r="C682" s="6" t="s">
        <v>1523</v>
      </c>
      <c r="D682" s="1" t="s">
        <v>454</v>
      </c>
      <c r="E682" s="1">
        <v>2172</v>
      </c>
      <c r="F682" s="28">
        <v>13</v>
      </c>
      <c r="G682" s="9">
        <v>12</v>
      </c>
      <c r="H682" s="1" t="s">
        <v>3073</v>
      </c>
      <c r="I682" s="1" t="s">
        <v>3073</v>
      </c>
      <c r="J682" t="str">
        <f t="shared" si="10"/>
        <v>http://www.badatelna.eu/reprodukce/?fondId=1073&amp;zaznamId=1108958&amp;reproId=3779754</v>
      </c>
      <c r="K682">
        <f>IF(LEN(TRIM(E682))=0,"",VLOOKUP(E682,Sheet2!$B$1:$E$19,2,FALSE))</f>
        <v>1073</v>
      </c>
      <c r="L682">
        <f>IF(LEN(TRIM(E682))=0,"",VLOOKUP(E682,Sheet2!$B$1:$E$19,3,FALSE))</f>
        <v>1108958</v>
      </c>
      <c r="M682">
        <f>IF(LEN(TRIM(E682))=0,"",VLOOKUP(E682,Sheet2!$B$1:$E$19,4,FALSE))+(F682-1)</f>
        <v>3779754</v>
      </c>
    </row>
    <row r="683" spans="1:17" s="1" customFormat="1" ht="15" customHeight="1" x14ac:dyDescent="0.25">
      <c r="A683" s="28" t="s">
        <v>417</v>
      </c>
      <c r="B683" s="28" t="s">
        <v>10</v>
      </c>
      <c r="C683" s="1">
        <v>1865</v>
      </c>
      <c r="D683" s="1" t="s">
        <v>2919</v>
      </c>
      <c r="E683" s="1">
        <v>999</v>
      </c>
      <c r="F683" s="28">
        <v>88</v>
      </c>
      <c r="G683" s="1">
        <v>9</v>
      </c>
      <c r="H683" s="1">
        <v>98</v>
      </c>
      <c r="I683" s="1">
        <v>157</v>
      </c>
      <c r="J683" t="str">
        <f t="shared" si="10"/>
        <v>http://www.badatelna.eu/reprodukce/?fondId=241&amp;zaznamId=1133739&amp;reproId=3885817</v>
      </c>
      <c r="K683">
        <f>IF(LEN(TRIM(E683))=0,"",VLOOKUP(E683,Sheet2!$B$1:$E$19,2,FALSE))</f>
        <v>241</v>
      </c>
      <c r="L683">
        <f>IF(LEN(TRIM(E683))=0,"",VLOOKUP(E683,Sheet2!$B$1:$E$19,3,FALSE))</f>
        <v>1133739</v>
      </c>
      <c r="M683">
        <f>IF(LEN(TRIM(E683))=0,"",VLOOKUP(E683,Sheet2!$B$1:$E$19,4,FALSE))+(F683-1)</f>
        <v>3885817</v>
      </c>
    </row>
    <row r="684" spans="1:17" s="1" customFormat="1" ht="15" customHeight="1" x14ac:dyDescent="0.25">
      <c r="A684" s="27" t="s">
        <v>417</v>
      </c>
      <c r="B684" s="27" t="s">
        <v>10</v>
      </c>
      <c r="C684" s="5" t="s">
        <v>1131</v>
      </c>
      <c r="D684" s="3" t="s">
        <v>454</v>
      </c>
      <c r="E684" s="3">
        <v>2170</v>
      </c>
      <c r="F684" s="28">
        <v>14</v>
      </c>
      <c r="G684" s="10">
        <v>10</v>
      </c>
      <c r="H684" s="3">
        <v>62</v>
      </c>
      <c r="I684" s="3">
        <v>58</v>
      </c>
      <c r="J684" t="str">
        <f t="shared" si="10"/>
        <v>http://www.badatelna.eu/reprodukce/?fondId=1073&amp;zaznamId=1108956&amp;reproId=3779606</v>
      </c>
      <c r="K684">
        <f>IF(LEN(TRIM(E684))=0,"",VLOOKUP(E684,Sheet2!$B$1:$E$19,2,FALSE))</f>
        <v>1073</v>
      </c>
      <c r="L684">
        <f>IF(LEN(TRIM(E684))=0,"",VLOOKUP(E684,Sheet2!$B$1:$E$19,3,FALSE))</f>
        <v>1108956</v>
      </c>
      <c r="M684">
        <f>IF(LEN(TRIM(E684))=0,"",VLOOKUP(E684,Sheet2!$B$1:$E$19,4,FALSE))+(F684-1)</f>
        <v>3779606</v>
      </c>
    </row>
    <row r="685" spans="1:17" s="1" customFormat="1" ht="15" customHeight="1" x14ac:dyDescent="0.25">
      <c r="A685" s="28" t="s">
        <v>417</v>
      </c>
      <c r="B685" s="28" t="s">
        <v>839</v>
      </c>
      <c r="C685" s="6" t="s">
        <v>1551</v>
      </c>
      <c r="D685" s="1" t="s">
        <v>454</v>
      </c>
      <c r="E685" s="1">
        <v>2172</v>
      </c>
      <c r="F685" s="28">
        <v>18</v>
      </c>
      <c r="G685" s="9" t="s">
        <v>2755</v>
      </c>
      <c r="H685" s="1" t="s">
        <v>3073</v>
      </c>
      <c r="I685" s="1" t="s">
        <v>3073</v>
      </c>
      <c r="J685" t="str">
        <f t="shared" si="10"/>
        <v>http://www.badatelna.eu/reprodukce/?fondId=1073&amp;zaznamId=1108958&amp;reproId=3779759</v>
      </c>
      <c r="K685">
        <f>IF(LEN(TRIM(E685))=0,"",VLOOKUP(E685,Sheet2!$B$1:$E$19,2,FALSE))</f>
        <v>1073</v>
      </c>
      <c r="L685">
        <f>IF(LEN(TRIM(E685))=0,"",VLOOKUP(E685,Sheet2!$B$1:$E$19,3,FALSE))</f>
        <v>1108958</v>
      </c>
      <c r="M685">
        <f>IF(LEN(TRIM(E685))=0,"",VLOOKUP(E685,Sheet2!$B$1:$E$19,4,FALSE))+(F685-1)</f>
        <v>3779759</v>
      </c>
    </row>
    <row r="686" spans="1:17" s="1" customFormat="1" ht="15" customHeight="1" x14ac:dyDescent="0.25">
      <c r="A686" s="27" t="s">
        <v>417</v>
      </c>
      <c r="B686" s="27" t="s">
        <v>512</v>
      </c>
      <c r="C686" s="5" t="s">
        <v>1132</v>
      </c>
      <c r="D686" s="3" t="s">
        <v>454</v>
      </c>
      <c r="E686" s="3">
        <v>2170</v>
      </c>
      <c r="F686" s="28">
        <v>22</v>
      </c>
      <c r="G686" s="10">
        <v>18</v>
      </c>
      <c r="H686" s="3">
        <v>62</v>
      </c>
      <c r="I686" s="3">
        <v>58</v>
      </c>
      <c r="J686" t="str">
        <f t="shared" si="10"/>
        <v>http://www.badatelna.eu/reprodukce/?fondId=1073&amp;zaznamId=1108956&amp;reproId=3779614</v>
      </c>
      <c r="K686">
        <f>IF(LEN(TRIM(E686))=0,"",VLOOKUP(E686,Sheet2!$B$1:$E$19,2,FALSE))</f>
        <v>1073</v>
      </c>
      <c r="L686">
        <f>IF(LEN(TRIM(E686))=0,"",VLOOKUP(E686,Sheet2!$B$1:$E$19,3,FALSE))</f>
        <v>1108956</v>
      </c>
      <c r="M686">
        <f>IF(LEN(TRIM(E686))=0,"",VLOOKUP(E686,Sheet2!$B$1:$E$19,4,FALSE))+(F686-1)</f>
        <v>3779614</v>
      </c>
    </row>
    <row r="687" spans="1:17" s="1" customFormat="1" ht="15" customHeight="1" x14ac:dyDescent="0.25">
      <c r="A687" s="28" t="s">
        <v>417</v>
      </c>
      <c r="B687" s="28" t="s">
        <v>691</v>
      </c>
      <c r="C687" s="1">
        <v>1883</v>
      </c>
      <c r="D687" s="1" t="s">
        <v>454</v>
      </c>
      <c r="E687" s="1">
        <v>2172</v>
      </c>
      <c r="F687" s="28">
        <v>33</v>
      </c>
      <c r="G687" s="9">
        <v>32</v>
      </c>
      <c r="H687" s="1">
        <v>36</v>
      </c>
      <c r="I687" s="1">
        <v>35</v>
      </c>
      <c r="J687" t="str">
        <f t="shared" si="10"/>
        <v>http://www.badatelna.eu/reprodukce/?fondId=1073&amp;zaznamId=1108958&amp;reproId=3779774</v>
      </c>
      <c r="K687">
        <f>IF(LEN(TRIM(E687))=0,"",VLOOKUP(E687,Sheet2!$B$1:$E$19,2,FALSE))</f>
        <v>1073</v>
      </c>
      <c r="L687">
        <f>IF(LEN(TRIM(E687))=0,"",VLOOKUP(E687,Sheet2!$B$1:$E$19,3,FALSE))</f>
        <v>1108958</v>
      </c>
      <c r="M687">
        <f>IF(LEN(TRIM(E687))=0,"",VLOOKUP(E687,Sheet2!$B$1:$E$19,4,FALSE))+(F687-1)</f>
        <v>3779774</v>
      </c>
    </row>
    <row r="688" spans="1:17" s="1" customFormat="1" ht="15" customHeight="1" x14ac:dyDescent="0.25">
      <c r="A688" s="28" t="s">
        <v>417</v>
      </c>
      <c r="B688" s="28" t="s">
        <v>359</v>
      </c>
      <c r="C688" s="1">
        <v>1883</v>
      </c>
      <c r="D688" s="1" t="s">
        <v>454</v>
      </c>
      <c r="E688" s="1">
        <v>2172</v>
      </c>
      <c r="F688" s="28">
        <v>34</v>
      </c>
      <c r="G688" s="9" t="s">
        <v>2761</v>
      </c>
      <c r="H688" s="1">
        <v>36</v>
      </c>
      <c r="I688" s="1">
        <v>35</v>
      </c>
      <c r="J688" t="str">
        <f t="shared" si="10"/>
        <v>http://www.badatelna.eu/reprodukce/?fondId=1073&amp;zaznamId=1108958&amp;reproId=3779775</v>
      </c>
      <c r="K688">
        <f>IF(LEN(TRIM(E688))=0,"",VLOOKUP(E688,Sheet2!$B$1:$E$19,2,FALSE))</f>
        <v>1073</v>
      </c>
      <c r="L688">
        <f>IF(LEN(TRIM(E688))=0,"",VLOOKUP(E688,Sheet2!$B$1:$E$19,3,FALSE))</f>
        <v>1108958</v>
      </c>
      <c r="M688">
        <f>IF(LEN(TRIM(E688))=0,"",VLOOKUP(E688,Sheet2!$B$1:$E$19,4,FALSE))+(F688-1)</f>
        <v>3779775</v>
      </c>
    </row>
    <row r="689" spans="1:13" s="1" customFormat="1" ht="15" customHeight="1" x14ac:dyDescent="0.25">
      <c r="A689" s="28" t="s">
        <v>417</v>
      </c>
      <c r="B689" s="28" t="s">
        <v>28</v>
      </c>
      <c r="C689" s="6" t="s">
        <v>1541</v>
      </c>
      <c r="D689" s="1" t="s">
        <v>454</v>
      </c>
      <c r="E689" s="1">
        <v>2172</v>
      </c>
      <c r="F689" s="28">
        <v>17</v>
      </c>
      <c r="G689" s="9">
        <v>16</v>
      </c>
      <c r="H689" s="1" t="s">
        <v>3073</v>
      </c>
      <c r="I689" s="1" t="s">
        <v>3073</v>
      </c>
      <c r="J689" t="str">
        <f t="shared" si="10"/>
        <v>http://www.badatelna.eu/reprodukce/?fondId=1073&amp;zaznamId=1108958&amp;reproId=3779758</v>
      </c>
      <c r="K689">
        <f>IF(LEN(TRIM(E689))=0,"",VLOOKUP(E689,Sheet2!$B$1:$E$19,2,FALSE))</f>
        <v>1073</v>
      </c>
      <c r="L689">
        <f>IF(LEN(TRIM(E689))=0,"",VLOOKUP(E689,Sheet2!$B$1:$E$19,3,FALSE))</f>
        <v>1108958</v>
      </c>
      <c r="M689">
        <f>IF(LEN(TRIM(E689))=0,"",VLOOKUP(E689,Sheet2!$B$1:$E$19,4,FALSE))+(F689-1)</f>
        <v>3779758</v>
      </c>
    </row>
    <row r="690" spans="1:13" s="1" customFormat="1" ht="15" customHeight="1" x14ac:dyDescent="0.25">
      <c r="A690" s="28" t="s">
        <v>417</v>
      </c>
      <c r="B690" s="28" t="s">
        <v>482</v>
      </c>
      <c r="C690" s="1">
        <v>1864</v>
      </c>
      <c r="D690" s="1" t="s">
        <v>2919</v>
      </c>
      <c r="E690" s="1">
        <v>999</v>
      </c>
      <c r="F690" s="28">
        <v>87</v>
      </c>
      <c r="G690" s="1">
        <v>8</v>
      </c>
      <c r="H690" s="1">
        <v>98</v>
      </c>
      <c r="I690" s="1">
        <v>157</v>
      </c>
      <c r="J690" t="str">
        <f t="shared" si="10"/>
        <v>http://www.badatelna.eu/reprodukce/?fondId=241&amp;zaznamId=1133739&amp;reproId=3885816</v>
      </c>
      <c r="K690">
        <f>IF(LEN(TRIM(E690))=0,"",VLOOKUP(E690,Sheet2!$B$1:$E$19,2,FALSE))</f>
        <v>241</v>
      </c>
      <c r="L690">
        <f>IF(LEN(TRIM(E690))=0,"",VLOOKUP(E690,Sheet2!$B$1:$E$19,3,FALSE))</f>
        <v>1133739</v>
      </c>
      <c r="M690">
        <f>IF(LEN(TRIM(E690))=0,"",VLOOKUP(E690,Sheet2!$B$1:$E$19,4,FALSE))+(F690-1)</f>
        <v>3885816</v>
      </c>
    </row>
    <row r="691" spans="1:13" s="1" customFormat="1" ht="15" customHeight="1" x14ac:dyDescent="0.25">
      <c r="A691" s="27" t="s">
        <v>417</v>
      </c>
      <c r="B691" s="27" t="s">
        <v>513</v>
      </c>
      <c r="C691" s="5" t="s">
        <v>1130</v>
      </c>
      <c r="D691" s="3" t="s">
        <v>454</v>
      </c>
      <c r="E691" s="3">
        <v>2170</v>
      </c>
      <c r="F691" s="28">
        <v>13</v>
      </c>
      <c r="G691" s="10">
        <v>9</v>
      </c>
      <c r="H691" s="3">
        <v>62</v>
      </c>
      <c r="I691" s="3">
        <v>58</v>
      </c>
      <c r="J691" t="str">
        <f t="shared" si="10"/>
        <v>http://www.badatelna.eu/reprodukce/?fondId=1073&amp;zaznamId=1108956&amp;reproId=3779605</v>
      </c>
      <c r="K691">
        <f>IF(LEN(TRIM(E691))=0,"",VLOOKUP(E691,Sheet2!$B$1:$E$19,2,FALSE))</f>
        <v>1073</v>
      </c>
      <c r="L691">
        <f>IF(LEN(TRIM(E691))=0,"",VLOOKUP(E691,Sheet2!$B$1:$E$19,3,FALSE))</f>
        <v>1108956</v>
      </c>
      <c r="M691">
        <f>IF(LEN(TRIM(E691))=0,"",VLOOKUP(E691,Sheet2!$B$1:$E$19,4,FALSE))+(F691-1)</f>
        <v>3779605</v>
      </c>
    </row>
    <row r="692" spans="1:13" s="1" customFormat="1" ht="15" customHeight="1" x14ac:dyDescent="0.25">
      <c r="A692" s="28" t="s">
        <v>417</v>
      </c>
      <c r="B692" s="28" t="s">
        <v>670</v>
      </c>
      <c r="C692" s="15">
        <v>9683</v>
      </c>
      <c r="D692" s="1" t="s">
        <v>454</v>
      </c>
      <c r="E692" s="1">
        <v>2172</v>
      </c>
      <c r="F692" s="28">
        <v>209</v>
      </c>
      <c r="G692" s="9">
        <v>193</v>
      </c>
      <c r="H692" s="1" t="s">
        <v>3073</v>
      </c>
      <c r="I692" s="1" t="s">
        <v>3073</v>
      </c>
      <c r="J692" t="str">
        <f t="shared" si="10"/>
        <v>http://www.badatelna.eu/reprodukce/?fondId=1073&amp;zaznamId=1108958&amp;reproId=3779950</v>
      </c>
      <c r="K692">
        <f>IF(LEN(TRIM(E692))=0,"",VLOOKUP(E692,Sheet2!$B$1:$E$19,2,FALSE))</f>
        <v>1073</v>
      </c>
      <c r="L692">
        <f>IF(LEN(TRIM(E692))=0,"",VLOOKUP(E692,Sheet2!$B$1:$E$19,3,FALSE))</f>
        <v>1108958</v>
      </c>
      <c r="M692">
        <f>IF(LEN(TRIM(E692))=0,"",VLOOKUP(E692,Sheet2!$B$1:$E$19,4,FALSE))+(F692-1)</f>
        <v>3779950</v>
      </c>
    </row>
    <row r="693" spans="1:13" s="1" customFormat="1" ht="15" customHeight="1" x14ac:dyDescent="0.25">
      <c r="A693" s="28" t="s">
        <v>417</v>
      </c>
      <c r="B693" s="28" t="s">
        <v>283</v>
      </c>
      <c r="C693" s="6" t="s">
        <v>2670</v>
      </c>
      <c r="D693" s="1" t="s">
        <v>454</v>
      </c>
      <c r="E693" s="1">
        <v>2173</v>
      </c>
      <c r="F693" s="28">
        <v>223</v>
      </c>
      <c r="G693" s="9">
        <v>51</v>
      </c>
      <c r="H693" s="1" t="s">
        <v>3073</v>
      </c>
      <c r="I693" s="1" t="s">
        <v>3073</v>
      </c>
      <c r="J693" t="str">
        <f t="shared" si="10"/>
        <v>http://www.badatelna.eu/reprodukce/?fondId=1073&amp;zaznamId=1108959&amp;reproId=3780216</v>
      </c>
      <c r="K693">
        <f>IF(LEN(TRIM(E693))=0,"",VLOOKUP(E693,Sheet2!$B$1:$E$19,2,FALSE))</f>
        <v>1073</v>
      </c>
      <c r="L693">
        <f>IF(LEN(TRIM(E693))=0,"",VLOOKUP(E693,Sheet2!$B$1:$E$19,3,FALSE))</f>
        <v>1108959</v>
      </c>
      <c r="M693">
        <f>IF(LEN(TRIM(E693))=0,"",VLOOKUP(E693,Sheet2!$B$1:$E$19,4,FALSE))+(F693-1)</f>
        <v>3780216</v>
      </c>
    </row>
    <row r="694" spans="1:13" s="1" customFormat="1" ht="15" customHeight="1" x14ac:dyDescent="0.25">
      <c r="A694" s="27" t="s">
        <v>417</v>
      </c>
      <c r="B694" s="27" t="s">
        <v>254</v>
      </c>
      <c r="C694" s="5" t="s">
        <v>1129</v>
      </c>
      <c r="D694" s="3" t="s">
        <v>454</v>
      </c>
      <c r="E694" s="3">
        <v>2170</v>
      </c>
      <c r="F694" s="28">
        <v>44</v>
      </c>
      <c r="G694" s="10">
        <v>40</v>
      </c>
      <c r="H694" s="3">
        <v>62</v>
      </c>
      <c r="I694" s="3">
        <v>58</v>
      </c>
      <c r="J694" t="str">
        <f t="shared" si="10"/>
        <v>http://www.badatelna.eu/reprodukce/?fondId=1073&amp;zaznamId=1108956&amp;reproId=3779636</v>
      </c>
      <c r="K694">
        <f>IF(LEN(TRIM(E694))=0,"",VLOOKUP(E694,Sheet2!$B$1:$E$19,2,FALSE))</f>
        <v>1073</v>
      </c>
      <c r="L694">
        <f>IF(LEN(TRIM(E694))=0,"",VLOOKUP(E694,Sheet2!$B$1:$E$19,3,FALSE))</f>
        <v>1108956</v>
      </c>
      <c r="M694">
        <f>IF(LEN(TRIM(E694))=0,"",VLOOKUP(E694,Sheet2!$B$1:$E$19,4,FALSE))+(F694-1)</f>
        <v>3779636</v>
      </c>
    </row>
    <row r="695" spans="1:13" s="1" customFormat="1" ht="15" customHeight="1" x14ac:dyDescent="0.25">
      <c r="A695" s="28" t="s">
        <v>417</v>
      </c>
      <c r="B695" s="28" t="s">
        <v>1</v>
      </c>
      <c r="C695" s="6" t="s">
        <v>1803</v>
      </c>
      <c r="D695" s="1" t="s">
        <v>454</v>
      </c>
      <c r="E695" s="1">
        <v>2172</v>
      </c>
      <c r="F695" s="28">
        <v>163</v>
      </c>
      <c r="G695" s="9">
        <v>157</v>
      </c>
      <c r="H695" s="1">
        <v>164</v>
      </c>
      <c r="I695" s="1">
        <v>158</v>
      </c>
      <c r="J695" t="str">
        <f t="shared" si="10"/>
        <v>http://www.badatelna.eu/reprodukce/?fondId=1073&amp;zaznamId=1108958&amp;reproId=3779904</v>
      </c>
      <c r="K695">
        <f>IF(LEN(TRIM(E695))=0,"",VLOOKUP(E695,Sheet2!$B$1:$E$19,2,FALSE))</f>
        <v>1073</v>
      </c>
      <c r="L695">
        <f>IF(LEN(TRIM(E695))=0,"",VLOOKUP(E695,Sheet2!$B$1:$E$19,3,FALSE))</f>
        <v>1108958</v>
      </c>
      <c r="M695">
        <f>IF(LEN(TRIM(E695))=0,"",VLOOKUP(E695,Sheet2!$B$1:$E$19,4,FALSE))+(F695-1)</f>
        <v>3779904</v>
      </c>
    </row>
    <row r="696" spans="1:13" s="1" customFormat="1" ht="15" customHeight="1" x14ac:dyDescent="0.25">
      <c r="A696" s="28" t="s">
        <v>417</v>
      </c>
      <c r="B696" s="28" t="s">
        <v>13</v>
      </c>
      <c r="C696" s="1">
        <v>1862</v>
      </c>
      <c r="D696" s="1" t="s">
        <v>2919</v>
      </c>
      <c r="E696" s="1">
        <v>999</v>
      </c>
      <c r="F696" s="28">
        <v>80</v>
      </c>
      <c r="G696" s="1">
        <v>1</v>
      </c>
      <c r="H696" s="1">
        <v>98</v>
      </c>
      <c r="I696" s="1">
        <v>157</v>
      </c>
      <c r="J696" t="str">
        <f t="shared" si="10"/>
        <v>http://www.badatelna.eu/reprodukce/?fondId=241&amp;zaznamId=1133739&amp;reproId=3885809</v>
      </c>
      <c r="K696">
        <f>IF(LEN(TRIM(E696))=0,"",VLOOKUP(E696,Sheet2!$B$1:$E$19,2,FALSE))</f>
        <v>241</v>
      </c>
      <c r="L696">
        <f>IF(LEN(TRIM(E696))=0,"",VLOOKUP(E696,Sheet2!$B$1:$E$19,3,FALSE))</f>
        <v>1133739</v>
      </c>
      <c r="M696">
        <f>IF(LEN(TRIM(E696))=0,"",VLOOKUP(E696,Sheet2!$B$1:$E$19,4,FALSE))+(F696-1)</f>
        <v>3885809</v>
      </c>
    </row>
    <row r="697" spans="1:13" s="1" customFormat="1" ht="15" customHeight="1" x14ac:dyDescent="0.25">
      <c r="A697" s="28" t="s">
        <v>417</v>
      </c>
      <c r="B697" s="28" t="s">
        <v>13</v>
      </c>
      <c r="C697" s="1">
        <v>1864</v>
      </c>
      <c r="D697" s="1" t="s">
        <v>2919</v>
      </c>
      <c r="E697" s="1">
        <v>999</v>
      </c>
      <c r="F697" s="28">
        <v>87</v>
      </c>
      <c r="G697" s="1">
        <v>8</v>
      </c>
      <c r="H697" s="1">
        <v>98</v>
      </c>
      <c r="I697" s="1">
        <v>157</v>
      </c>
      <c r="J697" t="str">
        <f t="shared" si="10"/>
        <v>http://www.badatelna.eu/reprodukce/?fondId=241&amp;zaznamId=1133739&amp;reproId=3885816</v>
      </c>
      <c r="K697">
        <f>IF(LEN(TRIM(E697))=0,"",VLOOKUP(E697,Sheet2!$B$1:$E$19,2,FALSE))</f>
        <v>241</v>
      </c>
      <c r="L697">
        <f>IF(LEN(TRIM(E697))=0,"",VLOOKUP(E697,Sheet2!$B$1:$E$19,3,FALSE))</f>
        <v>1133739</v>
      </c>
      <c r="M697">
        <f>IF(LEN(TRIM(E697))=0,"",VLOOKUP(E697,Sheet2!$B$1:$E$19,4,FALSE))+(F697-1)</f>
        <v>3885816</v>
      </c>
    </row>
    <row r="698" spans="1:13" s="1" customFormat="1" ht="15" customHeight="1" x14ac:dyDescent="0.25">
      <c r="A698" s="27" t="s">
        <v>417</v>
      </c>
      <c r="B698" s="27" t="s">
        <v>13</v>
      </c>
      <c r="C698" s="5" t="s">
        <v>1127</v>
      </c>
      <c r="D698" s="3" t="s">
        <v>454</v>
      </c>
      <c r="E698" s="3">
        <v>2170</v>
      </c>
      <c r="F698" s="28">
        <v>13</v>
      </c>
      <c r="G698" s="10">
        <v>9</v>
      </c>
      <c r="H698" s="3">
        <v>62</v>
      </c>
      <c r="I698" s="3">
        <v>58</v>
      </c>
      <c r="J698" t="str">
        <f t="shared" si="10"/>
        <v>http://www.badatelna.eu/reprodukce/?fondId=1073&amp;zaznamId=1108956&amp;reproId=3779605</v>
      </c>
      <c r="K698">
        <f>IF(LEN(TRIM(E698))=0,"",VLOOKUP(E698,Sheet2!$B$1:$E$19,2,FALSE))</f>
        <v>1073</v>
      </c>
      <c r="L698">
        <f>IF(LEN(TRIM(E698))=0,"",VLOOKUP(E698,Sheet2!$B$1:$E$19,3,FALSE))</f>
        <v>1108956</v>
      </c>
      <c r="M698">
        <f>IF(LEN(TRIM(E698))=0,"",VLOOKUP(E698,Sheet2!$B$1:$E$19,4,FALSE))+(F698-1)</f>
        <v>3779605</v>
      </c>
    </row>
    <row r="699" spans="1:13" s="1" customFormat="1" ht="15" customHeight="1" x14ac:dyDescent="0.25">
      <c r="A699" s="28" t="s">
        <v>417</v>
      </c>
      <c r="B699" s="28" t="s">
        <v>247</v>
      </c>
      <c r="C699" s="1">
        <v>1883</v>
      </c>
      <c r="D699" s="1" t="s">
        <v>454</v>
      </c>
      <c r="E699" s="1">
        <v>2172</v>
      </c>
      <c r="F699" s="28">
        <v>35</v>
      </c>
      <c r="G699" s="9">
        <v>34</v>
      </c>
      <c r="H699" s="1">
        <v>36</v>
      </c>
      <c r="I699" s="1">
        <v>35</v>
      </c>
      <c r="J699" t="str">
        <f t="shared" si="10"/>
        <v>http://www.badatelna.eu/reprodukce/?fondId=1073&amp;zaznamId=1108958&amp;reproId=3779776</v>
      </c>
      <c r="K699">
        <f>IF(LEN(TRIM(E699))=0,"",VLOOKUP(E699,Sheet2!$B$1:$E$19,2,FALSE))</f>
        <v>1073</v>
      </c>
      <c r="L699">
        <f>IF(LEN(TRIM(E699))=0,"",VLOOKUP(E699,Sheet2!$B$1:$E$19,3,FALSE))</f>
        <v>1108958</v>
      </c>
      <c r="M699">
        <f>IF(LEN(TRIM(E699))=0,"",VLOOKUP(E699,Sheet2!$B$1:$E$19,4,FALSE))+(F699-1)</f>
        <v>3779776</v>
      </c>
    </row>
    <row r="700" spans="1:13" s="1" customFormat="1" ht="15" customHeight="1" x14ac:dyDescent="0.25">
      <c r="A700" s="27" t="s">
        <v>417</v>
      </c>
      <c r="B700" s="27" t="s">
        <v>514</v>
      </c>
      <c r="C700" s="5" t="s">
        <v>1128</v>
      </c>
      <c r="D700" s="3" t="s">
        <v>454</v>
      </c>
      <c r="E700" s="3">
        <v>2170</v>
      </c>
      <c r="F700" s="28">
        <v>27</v>
      </c>
      <c r="G700" s="10">
        <v>23</v>
      </c>
      <c r="H700" s="3">
        <v>62</v>
      </c>
      <c r="I700" s="3">
        <v>58</v>
      </c>
      <c r="J700" t="str">
        <f t="shared" si="10"/>
        <v>http://www.badatelna.eu/reprodukce/?fondId=1073&amp;zaznamId=1108956&amp;reproId=3779619</v>
      </c>
      <c r="K700">
        <f>IF(LEN(TRIM(E700))=0,"",VLOOKUP(E700,Sheet2!$B$1:$E$19,2,FALSE))</f>
        <v>1073</v>
      </c>
      <c r="L700">
        <f>IF(LEN(TRIM(E700))=0,"",VLOOKUP(E700,Sheet2!$B$1:$E$19,3,FALSE))</f>
        <v>1108956</v>
      </c>
      <c r="M700">
        <f>IF(LEN(TRIM(E700))=0,"",VLOOKUP(E700,Sheet2!$B$1:$E$19,4,FALSE))+(F700-1)</f>
        <v>3779619</v>
      </c>
    </row>
    <row r="701" spans="1:13" s="1" customFormat="1" ht="15" customHeight="1" x14ac:dyDescent="0.25">
      <c r="A701" s="28" t="s">
        <v>840</v>
      </c>
      <c r="B701" s="28" t="s">
        <v>718</v>
      </c>
      <c r="C701" s="16" t="s">
        <v>1819</v>
      </c>
      <c r="D701" s="1" t="s">
        <v>454</v>
      </c>
      <c r="E701" s="1">
        <v>2172</v>
      </c>
      <c r="F701" s="28">
        <v>168</v>
      </c>
      <c r="G701" s="9">
        <v>161</v>
      </c>
      <c r="H701" s="1" t="s">
        <v>3073</v>
      </c>
      <c r="I701" s="1" t="s">
        <v>3073</v>
      </c>
      <c r="J701" t="str">
        <f t="shared" si="10"/>
        <v>http://www.badatelna.eu/reprodukce/?fondId=1073&amp;zaznamId=1108958&amp;reproId=3779909</v>
      </c>
      <c r="K701">
        <f>IF(LEN(TRIM(E701))=0,"",VLOOKUP(E701,Sheet2!$B$1:$E$19,2,FALSE))</f>
        <v>1073</v>
      </c>
      <c r="L701">
        <f>IF(LEN(TRIM(E701))=0,"",VLOOKUP(E701,Sheet2!$B$1:$E$19,3,FALSE))</f>
        <v>1108958</v>
      </c>
      <c r="M701">
        <f>IF(LEN(TRIM(E701))=0,"",VLOOKUP(E701,Sheet2!$B$1:$E$19,4,FALSE))+(F701-1)</f>
        <v>3779909</v>
      </c>
    </row>
    <row r="702" spans="1:13" s="1" customFormat="1" ht="15" customHeight="1" x14ac:dyDescent="0.25">
      <c r="A702" s="28"/>
      <c r="B702" s="28"/>
      <c r="C702" s="39" t="s">
        <v>3114</v>
      </c>
      <c r="F702" s="28"/>
      <c r="G702" s="9"/>
      <c r="J702" t="str">
        <f t="shared" si="10"/>
        <v/>
      </c>
      <c r="K702" t="str">
        <f>IF(LEN(TRIM(E702))=0,"",VLOOKUP(E702,Sheet2!$B$1:$E$19,2,FALSE))</f>
        <v/>
      </c>
      <c r="L702" t="str">
        <f>IF(LEN(TRIM(E702))=0,"",VLOOKUP(E702,Sheet2!$B$1:$E$19,3,FALSE))</f>
        <v/>
      </c>
      <c r="M702" t="e">
        <f>IF(LEN(TRIM(E702))=0,"",VLOOKUP(E702,Sheet2!$B$1:$E$19,4,FALSE))+(F702-1)</f>
        <v>#VALUE!</v>
      </c>
    </row>
    <row r="703" spans="1:13" s="1" customFormat="1" ht="15" customHeight="1" x14ac:dyDescent="0.25">
      <c r="A703" s="28" t="s">
        <v>841</v>
      </c>
      <c r="B703" s="28" t="s">
        <v>465</v>
      </c>
      <c r="C703" s="6" t="s">
        <v>1950</v>
      </c>
      <c r="D703" s="1" t="s">
        <v>454</v>
      </c>
      <c r="E703" s="1">
        <v>2172</v>
      </c>
      <c r="F703" s="28">
        <v>227</v>
      </c>
      <c r="G703" s="9">
        <v>208</v>
      </c>
      <c r="H703" s="1" t="s">
        <v>3073</v>
      </c>
      <c r="I703" s="1" t="s">
        <v>3073</v>
      </c>
      <c r="J703" t="str">
        <f t="shared" si="10"/>
        <v>http://www.badatelna.eu/reprodukce/?fondId=1073&amp;zaznamId=1108958&amp;reproId=3779968</v>
      </c>
      <c r="K703">
        <f>IF(LEN(TRIM(E703))=0,"",VLOOKUP(E703,Sheet2!$B$1:$E$19,2,FALSE))</f>
        <v>1073</v>
      </c>
      <c r="L703">
        <f>IF(LEN(TRIM(E703))=0,"",VLOOKUP(E703,Sheet2!$B$1:$E$19,3,FALSE))</f>
        <v>1108958</v>
      </c>
      <c r="M703">
        <f>IF(LEN(TRIM(E703))=0,"",VLOOKUP(E703,Sheet2!$B$1:$E$19,4,FALSE))+(F703-1)</f>
        <v>3779968</v>
      </c>
    </row>
    <row r="704" spans="1:13" s="1" customFormat="1" ht="15" customHeight="1" x14ac:dyDescent="0.25">
      <c r="A704" s="28" t="s">
        <v>841</v>
      </c>
      <c r="B704" s="28" t="s">
        <v>622</v>
      </c>
      <c r="C704" s="1">
        <v>1883</v>
      </c>
      <c r="D704" s="1" t="s">
        <v>454</v>
      </c>
      <c r="E704" s="1">
        <v>2172</v>
      </c>
      <c r="F704" s="28">
        <v>35</v>
      </c>
      <c r="G704" s="9">
        <v>34</v>
      </c>
      <c r="H704" s="1">
        <v>36</v>
      </c>
      <c r="I704" s="1">
        <v>35</v>
      </c>
      <c r="J704" t="str">
        <f t="shared" si="10"/>
        <v>http://www.badatelna.eu/reprodukce/?fondId=1073&amp;zaznamId=1108958&amp;reproId=3779776</v>
      </c>
      <c r="K704">
        <f>IF(LEN(TRIM(E704))=0,"",VLOOKUP(E704,Sheet2!$B$1:$E$19,2,FALSE))</f>
        <v>1073</v>
      </c>
      <c r="L704">
        <f>IF(LEN(TRIM(E704))=0,"",VLOOKUP(E704,Sheet2!$B$1:$E$19,3,FALSE))</f>
        <v>1108958</v>
      </c>
      <c r="M704">
        <f>IF(LEN(TRIM(E704))=0,"",VLOOKUP(E704,Sheet2!$B$1:$E$19,4,FALSE))+(F704-1)</f>
        <v>3779776</v>
      </c>
    </row>
    <row r="705" spans="1:13" s="1" customFormat="1" ht="15" customHeight="1" x14ac:dyDescent="0.25">
      <c r="A705" s="28" t="s">
        <v>841</v>
      </c>
      <c r="B705" s="28" t="s">
        <v>517</v>
      </c>
      <c r="C705" s="1">
        <v>1885</v>
      </c>
      <c r="D705" s="1" t="s">
        <v>454</v>
      </c>
      <c r="E705" s="1">
        <v>2172</v>
      </c>
      <c r="F705" s="28">
        <v>46</v>
      </c>
      <c r="G705" s="9">
        <v>45</v>
      </c>
      <c r="H705" s="1">
        <v>48</v>
      </c>
      <c r="I705" s="1">
        <v>49</v>
      </c>
      <c r="J705" t="str">
        <f t="shared" si="10"/>
        <v>http://www.badatelna.eu/reprodukce/?fondId=1073&amp;zaznamId=1108958&amp;reproId=3779787</v>
      </c>
      <c r="K705">
        <f>IF(LEN(TRIM(E705))=0,"",VLOOKUP(E705,Sheet2!$B$1:$E$19,2,FALSE))</f>
        <v>1073</v>
      </c>
      <c r="L705">
        <f>IF(LEN(TRIM(E705))=0,"",VLOOKUP(E705,Sheet2!$B$1:$E$19,3,FALSE))</f>
        <v>1108958</v>
      </c>
      <c r="M705">
        <f>IF(LEN(TRIM(E705))=0,"",VLOOKUP(E705,Sheet2!$B$1:$E$19,4,FALSE))+(F705-1)</f>
        <v>3779787</v>
      </c>
    </row>
    <row r="706" spans="1:13" s="1" customFormat="1" ht="15" customHeight="1" x14ac:dyDescent="0.25">
      <c r="A706" s="28" t="s">
        <v>842</v>
      </c>
      <c r="B706" s="28" t="s">
        <v>633</v>
      </c>
      <c r="C706" s="15">
        <v>6798</v>
      </c>
      <c r="D706" s="1" t="s">
        <v>454</v>
      </c>
      <c r="E706" s="1">
        <v>2172</v>
      </c>
      <c r="F706" s="28">
        <v>194</v>
      </c>
      <c r="G706" s="9">
        <v>184</v>
      </c>
      <c r="H706" s="1" t="s">
        <v>3073</v>
      </c>
      <c r="I706" s="1" t="s">
        <v>3073</v>
      </c>
      <c r="J706" t="str">
        <f t="shared" si="10"/>
        <v>http://www.badatelna.eu/reprodukce/?fondId=1073&amp;zaznamId=1108958&amp;reproId=3779935</v>
      </c>
      <c r="K706">
        <f>IF(LEN(TRIM(E706))=0,"",VLOOKUP(E706,Sheet2!$B$1:$E$19,2,FALSE))</f>
        <v>1073</v>
      </c>
      <c r="L706">
        <f>IF(LEN(TRIM(E706))=0,"",VLOOKUP(E706,Sheet2!$B$1:$E$19,3,FALSE))</f>
        <v>1108958</v>
      </c>
      <c r="M706">
        <f>IF(LEN(TRIM(E706))=0,"",VLOOKUP(E706,Sheet2!$B$1:$E$19,4,FALSE))+(F706-1)</f>
        <v>3779935</v>
      </c>
    </row>
    <row r="707" spans="1:13" s="1" customFormat="1" ht="15" customHeight="1" x14ac:dyDescent="0.25">
      <c r="A707" s="28" t="s">
        <v>842</v>
      </c>
      <c r="B707" s="28" t="s">
        <v>843</v>
      </c>
      <c r="C707" s="6" t="s">
        <v>1943</v>
      </c>
      <c r="D707" s="1" t="s">
        <v>454</v>
      </c>
      <c r="E707" s="1">
        <v>2172</v>
      </c>
      <c r="F707" s="28">
        <v>225</v>
      </c>
      <c r="G707" s="9">
        <v>206</v>
      </c>
      <c r="H707" s="1" t="s">
        <v>3073</v>
      </c>
      <c r="I707" s="1" t="s">
        <v>3073</v>
      </c>
      <c r="J707" t="str">
        <f t="shared" ref="J707:J770" si="11">IF(LEN(TRIM(E707))=0,"","http://www.badatelna.eu/reprodukce/?fondId="&amp;K707&amp;"&amp;zaznamId="&amp;L707&amp;"&amp;reproId="&amp;M707)</f>
        <v>http://www.badatelna.eu/reprodukce/?fondId=1073&amp;zaznamId=1108958&amp;reproId=3779966</v>
      </c>
      <c r="K707">
        <f>IF(LEN(TRIM(E707))=0,"",VLOOKUP(E707,Sheet2!$B$1:$E$19,2,FALSE))</f>
        <v>1073</v>
      </c>
      <c r="L707">
        <f>IF(LEN(TRIM(E707))=0,"",VLOOKUP(E707,Sheet2!$B$1:$E$19,3,FALSE))</f>
        <v>1108958</v>
      </c>
      <c r="M707">
        <f>IF(LEN(TRIM(E707))=0,"",VLOOKUP(E707,Sheet2!$B$1:$E$19,4,FALSE))+(F707-1)</f>
        <v>3779966</v>
      </c>
    </row>
    <row r="708" spans="1:13" s="1" customFormat="1" ht="15" customHeight="1" x14ac:dyDescent="0.25">
      <c r="A708" s="28" t="s">
        <v>844</v>
      </c>
      <c r="B708" s="28" t="s">
        <v>685</v>
      </c>
      <c r="C708" s="15">
        <v>13699</v>
      </c>
      <c r="D708" s="1" t="s">
        <v>454</v>
      </c>
      <c r="E708" s="1">
        <v>2172</v>
      </c>
      <c r="F708" s="28">
        <v>239</v>
      </c>
      <c r="G708" s="9">
        <v>219</v>
      </c>
      <c r="H708" s="1" t="s">
        <v>3073</v>
      </c>
      <c r="I708" s="1" t="s">
        <v>3073</v>
      </c>
      <c r="J708" t="str">
        <f t="shared" si="11"/>
        <v>http://www.badatelna.eu/reprodukce/?fondId=1073&amp;zaznamId=1108958&amp;reproId=3779980</v>
      </c>
      <c r="K708">
        <f>IF(LEN(TRIM(E708))=0,"",VLOOKUP(E708,Sheet2!$B$1:$E$19,2,FALSE))</f>
        <v>1073</v>
      </c>
      <c r="L708">
        <f>IF(LEN(TRIM(E708))=0,"",VLOOKUP(E708,Sheet2!$B$1:$E$19,3,FALSE))</f>
        <v>1108958</v>
      </c>
      <c r="M708">
        <f>IF(LEN(TRIM(E708))=0,"",VLOOKUP(E708,Sheet2!$B$1:$E$19,4,FALSE))+(F708-1)</f>
        <v>3779980</v>
      </c>
    </row>
    <row r="709" spans="1:13" s="1" customFormat="1" ht="15" customHeight="1" x14ac:dyDescent="0.25">
      <c r="A709" s="28" t="s">
        <v>439</v>
      </c>
      <c r="B709" s="28" t="s">
        <v>33</v>
      </c>
      <c r="C709" s="6" t="s">
        <v>2690</v>
      </c>
      <c r="D709" s="1" t="s">
        <v>454</v>
      </c>
      <c r="E709" s="1">
        <v>2173</v>
      </c>
      <c r="F709" s="28">
        <v>224</v>
      </c>
      <c r="G709" s="9">
        <v>54</v>
      </c>
      <c r="H709" s="1" t="s">
        <v>3073</v>
      </c>
      <c r="I709" s="1" t="s">
        <v>3073</v>
      </c>
      <c r="J709" t="str">
        <f t="shared" si="11"/>
        <v>http://www.badatelna.eu/reprodukce/?fondId=1073&amp;zaznamId=1108959&amp;reproId=3780217</v>
      </c>
      <c r="K709">
        <f>IF(LEN(TRIM(E709))=0,"",VLOOKUP(E709,Sheet2!$B$1:$E$19,2,FALSE))</f>
        <v>1073</v>
      </c>
      <c r="L709">
        <f>IF(LEN(TRIM(E709))=0,"",VLOOKUP(E709,Sheet2!$B$1:$E$19,3,FALSE))</f>
        <v>1108959</v>
      </c>
      <c r="M709">
        <f>IF(LEN(TRIM(E709))=0,"",VLOOKUP(E709,Sheet2!$B$1:$E$19,4,FALSE))+(F709-1)</f>
        <v>3780217</v>
      </c>
    </row>
    <row r="710" spans="1:13" s="1" customFormat="1" ht="15" customHeight="1" x14ac:dyDescent="0.25">
      <c r="A710" s="28" t="s">
        <v>439</v>
      </c>
      <c r="B710" s="28" t="s">
        <v>845</v>
      </c>
      <c r="C710" s="1">
        <v>1884</v>
      </c>
      <c r="D710" s="1" t="s">
        <v>454</v>
      </c>
      <c r="E710" s="1">
        <v>2172</v>
      </c>
      <c r="F710" s="28">
        <v>39</v>
      </c>
      <c r="G710" s="20" t="s">
        <v>3080</v>
      </c>
      <c r="H710" s="1">
        <v>42</v>
      </c>
      <c r="I710" s="1">
        <v>41</v>
      </c>
      <c r="J710" t="str">
        <f t="shared" si="11"/>
        <v>http://www.badatelna.eu/reprodukce/?fondId=1073&amp;zaznamId=1108958&amp;reproId=3779780</v>
      </c>
      <c r="K710">
        <f>IF(LEN(TRIM(E710))=0,"",VLOOKUP(E710,Sheet2!$B$1:$E$19,2,FALSE))</f>
        <v>1073</v>
      </c>
      <c r="L710">
        <f>IF(LEN(TRIM(E710))=0,"",VLOOKUP(E710,Sheet2!$B$1:$E$19,3,FALSE))</f>
        <v>1108958</v>
      </c>
      <c r="M710">
        <f>IF(LEN(TRIM(E710))=0,"",VLOOKUP(E710,Sheet2!$B$1:$E$19,4,FALSE))+(F710-1)</f>
        <v>3779780</v>
      </c>
    </row>
    <row r="711" spans="1:13" s="1" customFormat="1" ht="15" customHeight="1" x14ac:dyDescent="0.25">
      <c r="A711" s="28" t="s">
        <v>23</v>
      </c>
      <c r="B711" s="28" t="s">
        <v>33</v>
      </c>
      <c r="C711" s="1">
        <v>1849</v>
      </c>
      <c r="D711" s="1" t="s">
        <v>2919</v>
      </c>
      <c r="E711" s="1">
        <v>998</v>
      </c>
      <c r="F711" s="28">
        <v>25</v>
      </c>
      <c r="G711" s="1">
        <v>23</v>
      </c>
      <c r="H711" s="1">
        <v>67</v>
      </c>
      <c r="I711" s="1">
        <v>64</v>
      </c>
      <c r="J711" t="str">
        <f t="shared" si="11"/>
        <v>http://www.badatelna.eu/reprodukce/?fondId=241&amp;zaznamId=1133738&amp;reproId=3885671</v>
      </c>
      <c r="K711">
        <f>IF(LEN(TRIM(E711))=0,"",VLOOKUP(E711,Sheet2!$B$1:$E$19,2,FALSE))</f>
        <v>241</v>
      </c>
      <c r="L711">
        <f>IF(LEN(TRIM(E711))=0,"",VLOOKUP(E711,Sheet2!$B$1:$E$19,3,FALSE))</f>
        <v>1133738</v>
      </c>
      <c r="M711">
        <f>IF(LEN(TRIM(E711))=0,"",VLOOKUP(E711,Sheet2!$B$1:$E$19,4,FALSE))+(F711-1)</f>
        <v>3885671</v>
      </c>
    </row>
    <row r="712" spans="1:13" s="1" customFormat="1" ht="15" customHeight="1" x14ac:dyDescent="0.25">
      <c r="A712" s="28" t="s">
        <v>23</v>
      </c>
      <c r="B712" s="28" t="s">
        <v>33</v>
      </c>
      <c r="C712" s="6" t="s">
        <v>2854</v>
      </c>
      <c r="D712" s="1" t="s">
        <v>454</v>
      </c>
      <c r="E712" s="1">
        <v>2173</v>
      </c>
      <c r="F712" s="28">
        <v>209</v>
      </c>
      <c r="G712" s="9" t="s">
        <v>2758</v>
      </c>
      <c r="H712" s="1" t="s">
        <v>3073</v>
      </c>
      <c r="I712" s="1" t="s">
        <v>3073</v>
      </c>
      <c r="J712" t="str">
        <f t="shared" si="11"/>
        <v>http://www.badatelna.eu/reprodukce/?fondId=1073&amp;zaznamId=1108959&amp;reproId=3780202</v>
      </c>
      <c r="K712">
        <f>IF(LEN(TRIM(E712))=0,"",VLOOKUP(E712,Sheet2!$B$1:$E$19,2,FALSE))</f>
        <v>1073</v>
      </c>
      <c r="L712">
        <f>IF(LEN(TRIM(E712))=0,"",VLOOKUP(E712,Sheet2!$B$1:$E$19,3,FALSE))</f>
        <v>1108959</v>
      </c>
      <c r="M712">
        <f>IF(LEN(TRIM(E712))=0,"",VLOOKUP(E712,Sheet2!$B$1:$E$19,4,FALSE))+(F712-1)</f>
        <v>3780202</v>
      </c>
    </row>
    <row r="713" spans="1:13" s="1" customFormat="1" ht="15" customHeight="1" x14ac:dyDescent="0.25">
      <c r="A713" s="28" t="s">
        <v>23</v>
      </c>
      <c r="B713" s="28" t="s">
        <v>686</v>
      </c>
      <c r="C713" s="1">
        <v>1889</v>
      </c>
      <c r="D713" s="1" t="s">
        <v>454</v>
      </c>
      <c r="E713" s="1">
        <v>2172</v>
      </c>
      <c r="F713" s="28">
        <v>67</v>
      </c>
      <c r="G713" s="9" t="s">
        <v>3082</v>
      </c>
      <c r="H713" s="1">
        <v>70</v>
      </c>
      <c r="I713" s="1">
        <v>69</v>
      </c>
      <c r="J713" t="str">
        <f t="shared" si="11"/>
        <v>http://www.badatelna.eu/reprodukce/?fondId=1073&amp;zaznamId=1108958&amp;reproId=3779808</v>
      </c>
      <c r="K713">
        <f>IF(LEN(TRIM(E713))=0,"",VLOOKUP(E713,Sheet2!$B$1:$E$19,2,FALSE))</f>
        <v>1073</v>
      </c>
      <c r="L713">
        <f>IF(LEN(TRIM(E713))=0,"",VLOOKUP(E713,Sheet2!$B$1:$E$19,3,FALSE))</f>
        <v>1108958</v>
      </c>
      <c r="M713">
        <f>IF(LEN(TRIM(E713))=0,"",VLOOKUP(E713,Sheet2!$B$1:$E$19,4,FALSE))+(F713-1)</f>
        <v>3779808</v>
      </c>
    </row>
    <row r="714" spans="1:13" s="1" customFormat="1" ht="15" customHeight="1" x14ac:dyDescent="0.25">
      <c r="A714" s="27" t="s">
        <v>23</v>
      </c>
      <c r="B714" s="27" t="s">
        <v>472</v>
      </c>
      <c r="C714" s="5" t="s">
        <v>1136</v>
      </c>
      <c r="D714" s="3" t="s">
        <v>454</v>
      </c>
      <c r="E714" s="3">
        <v>2170</v>
      </c>
      <c r="F714" s="28">
        <v>17</v>
      </c>
      <c r="G714" s="10">
        <v>13</v>
      </c>
      <c r="H714" s="3">
        <v>62</v>
      </c>
      <c r="I714" s="3">
        <v>58</v>
      </c>
      <c r="J714" t="str">
        <f t="shared" si="11"/>
        <v>http://www.badatelna.eu/reprodukce/?fondId=1073&amp;zaznamId=1108956&amp;reproId=3779609</v>
      </c>
      <c r="K714">
        <f>IF(LEN(TRIM(E714))=0,"",VLOOKUP(E714,Sheet2!$B$1:$E$19,2,FALSE))</f>
        <v>1073</v>
      </c>
      <c r="L714">
        <f>IF(LEN(TRIM(E714))=0,"",VLOOKUP(E714,Sheet2!$B$1:$E$19,3,FALSE))</f>
        <v>1108956</v>
      </c>
      <c r="M714">
        <f>IF(LEN(TRIM(E714))=0,"",VLOOKUP(E714,Sheet2!$B$1:$E$19,4,FALSE))+(F714-1)</f>
        <v>3779609</v>
      </c>
    </row>
    <row r="715" spans="1:13" s="1" customFormat="1" ht="15" customHeight="1" x14ac:dyDescent="0.25">
      <c r="A715" s="28" t="s">
        <v>23</v>
      </c>
      <c r="B715" s="28" t="s">
        <v>40</v>
      </c>
      <c r="C715" s="6" t="s">
        <v>2533</v>
      </c>
      <c r="D715" s="1" t="s">
        <v>454</v>
      </c>
      <c r="E715" s="1">
        <v>2173</v>
      </c>
      <c r="F715" s="28">
        <v>207</v>
      </c>
      <c r="G715" s="1">
        <v>24</v>
      </c>
      <c r="H715" s="1" t="s">
        <v>3073</v>
      </c>
      <c r="I715" s="1" t="s">
        <v>3073</v>
      </c>
      <c r="J715" t="str">
        <f t="shared" si="11"/>
        <v>http://www.badatelna.eu/reprodukce/?fondId=1073&amp;zaznamId=1108959&amp;reproId=3780200</v>
      </c>
      <c r="K715">
        <f>IF(LEN(TRIM(E715))=0,"",VLOOKUP(E715,Sheet2!$B$1:$E$19,2,FALSE))</f>
        <v>1073</v>
      </c>
      <c r="L715">
        <f>IF(LEN(TRIM(E715))=0,"",VLOOKUP(E715,Sheet2!$B$1:$E$19,3,FALSE))</f>
        <v>1108959</v>
      </c>
      <c r="M715">
        <f>IF(LEN(TRIM(E715))=0,"",VLOOKUP(E715,Sheet2!$B$1:$E$19,4,FALSE))+(F715-1)</f>
        <v>3780200</v>
      </c>
    </row>
    <row r="716" spans="1:13" s="1" customFormat="1" ht="15" customHeight="1" x14ac:dyDescent="0.25">
      <c r="A716" s="28" t="s">
        <v>23</v>
      </c>
      <c r="B716" s="28" t="s">
        <v>40</v>
      </c>
      <c r="C716" s="6" t="s">
        <v>2711</v>
      </c>
      <c r="D716" s="1" t="s">
        <v>454</v>
      </c>
      <c r="E716" s="1">
        <v>2173</v>
      </c>
      <c r="F716" s="28">
        <v>225</v>
      </c>
      <c r="G716" s="9">
        <v>56</v>
      </c>
      <c r="H716" s="1" t="s">
        <v>3073</v>
      </c>
      <c r="I716" s="1" t="s">
        <v>3073</v>
      </c>
      <c r="J716" t="str">
        <f t="shared" si="11"/>
        <v>http://www.badatelna.eu/reprodukce/?fondId=1073&amp;zaznamId=1108959&amp;reproId=3780218</v>
      </c>
      <c r="K716">
        <f>IF(LEN(TRIM(E716))=0,"",VLOOKUP(E716,Sheet2!$B$1:$E$19,2,FALSE))</f>
        <v>1073</v>
      </c>
      <c r="L716">
        <f>IF(LEN(TRIM(E716))=0,"",VLOOKUP(E716,Sheet2!$B$1:$E$19,3,FALSE))</f>
        <v>1108959</v>
      </c>
      <c r="M716">
        <f>IF(LEN(TRIM(E716))=0,"",VLOOKUP(E716,Sheet2!$B$1:$E$19,4,FALSE))+(F716-1)</f>
        <v>3780218</v>
      </c>
    </row>
    <row r="717" spans="1:13" s="1" customFormat="1" ht="15" customHeight="1" x14ac:dyDescent="0.25">
      <c r="A717" s="27" t="s">
        <v>23</v>
      </c>
      <c r="B717" s="27" t="s">
        <v>515</v>
      </c>
      <c r="C717" s="5" t="s">
        <v>1137</v>
      </c>
      <c r="D717" s="3" t="s">
        <v>454</v>
      </c>
      <c r="E717" s="3">
        <v>2170</v>
      </c>
      <c r="F717" s="31">
        <v>26</v>
      </c>
      <c r="G717" s="10">
        <v>22</v>
      </c>
      <c r="H717" s="3">
        <v>62</v>
      </c>
      <c r="I717" s="3">
        <v>58</v>
      </c>
      <c r="J717" t="str">
        <f t="shared" si="11"/>
        <v>http://www.badatelna.eu/reprodukce/?fondId=1073&amp;zaznamId=1108956&amp;reproId=3779618</v>
      </c>
      <c r="K717">
        <f>IF(LEN(TRIM(E717))=0,"",VLOOKUP(E717,Sheet2!$B$1:$E$19,2,FALSE))</f>
        <v>1073</v>
      </c>
      <c r="L717">
        <f>IF(LEN(TRIM(E717))=0,"",VLOOKUP(E717,Sheet2!$B$1:$E$19,3,FALSE))</f>
        <v>1108956</v>
      </c>
      <c r="M717">
        <f>IF(LEN(TRIM(E717))=0,"",VLOOKUP(E717,Sheet2!$B$1:$E$19,4,FALSE))+(F717-1)</f>
        <v>3779618</v>
      </c>
    </row>
    <row r="718" spans="1:13" s="1" customFormat="1" ht="15" customHeight="1" x14ac:dyDescent="0.25">
      <c r="A718" s="28" t="s">
        <v>23</v>
      </c>
      <c r="B718" s="28" t="s">
        <v>562</v>
      </c>
      <c r="C718" s="15">
        <v>3055</v>
      </c>
      <c r="D718" s="1" t="s">
        <v>454</v>
      </c>
      <c r="E718" s="1">
        <v>2172</v>
      </c>
      <c r="F718" s="28">
        <v>173</v>
      </c>
      <c r="G718" s="9" t="s">
        <v>3094</v>
      </c>
      <c r="H718" s="1" t="s">
        <v>3073</v>
      </c>
      <c r="I718" s="1" t="s">
        <v>3073</v>
      </c>
      <c r="J718" t="str">
        <f t="shared" si="11"/>
        <v>http://www.badatelna.eu/reprodukce/?fondId=1073&amp;zaznamId=1108958&amp;reproId=3779914</v>
      </c>
      <c r="K718">
        <f>IF(LEN(TRIM(E718))=0,"",VLOOKUP(E718,Sheet2!$B$1:$E$19,2,FALSE))</f>
        <v>1073</v>
      </c>
      <c r="L718">
        <f>IF(LEN(TRIM(E718))=0,"",VLOOKUP(E718,Sheet2!$B$1:$E$19,3,FALSE))</f>
        <v>1108958</v>
      </c>
      <c r="M718">
        <f>IF(LEN(TRIM(E718))=0,"",VLOOKUP(E718,Sheet2!$B$1:$E$19,4,FALSE))+(F718-1)</f>
        <v>3779914</v>
      </c>
    </row>
    <row r="719" spans="1:13" s="1" customFormat="1" ht="15" customHeight="1" x14ac:dyDescent="0.25">
      <c r="A719" s="28" t="s">
        <v>23</v>
      </c>
      <c r="B719" s="28" t="s">
        <v>846</v>
      </c>
      <c r="C719" s="6" t="s">
        <v>1888</v>
      </c>
      <c r="D719" s="1" t="s">
        <v>454</v>
      </c>
      <c r="E719" s="1">
        <v>2172</v>
      </c>
      <c r="F719" s="28">
        <v>197</v>
      </c>
      <c r="G719" s="9" t="s">
        <v>3095</v>
      </c>
      <c r="H719" s="1" t="s">
        <v>3073</v>
      </c>
      <c r="I719" s="1" t="s">
        <v>3073</v>
      </c>
      <c r="J719" t="str">
        <f t="shared" si="11"/>
        <v>http://www.badatelna.eu/reprodukce/?fondId=1073&amp;zaznamId=1108958&amp;reproId=3779938</v>
      </c>
      <c r="K719">
        <f>IF(LEN(TRIM(E719))=0,"",VLOOKUP(E719,Sheet2!$B$1:$E$19,2,FALSE))</f>
        <v>1073</v>
      </c>
      <c r="L719">
        <f>IF(LEN(TRIM(E719))=0,"",VLOOKUP(E719,Sheet2!$B$1:$E$19,3,FALSE))</f>
        <v>1108958</v>
      </c>
      <c r="M719">
        <f>IF(LEN(TRIM(E719))=0,"",VLOOKUP(E719,Sheet2!$B$1:$E$19,4,FALSE))+(F719-1)</f>
        <v>3779938</v>
      </c>
    </row>
    <row r="720" spans="1:13" s="1" customFormat="1" ht="15" customHeight="1" x14ac:dyDescent="0.25">
      <c r="A720" s="28" t="s">
        <v>23</v>
      </c>
      <c r="B720" s="28" t="s">
        <v>447</v>
      </c>
      <c r="C720" s="6" t="s">
        <v>2727</v>
      </c>
      <c r="D720" s="1" t="s">
        <v>454</v>
      </c>
      <c r="E720" s="1">
        <v>2173</v>
      </c>
      <c r="F720" s="28">
        <v>226</v>
      </c>
      <c r="G720" s="9">
        <v>58</v>
      </c>
      <c r="H720" s="1" t="s">
        <v>3073</v>
      </c>
      <c r="I720" s="1" t="s">
        <v>3073</v>
      </c>
      <c r="J720" t="str">
        <f t="shared" si="11"/>
        <v>http://www.badatelna.eu/reprodukce/?fondId=1073&amp;zaznamId=1108959&amp;reproId=3780219</v>
      </c>
      <c r="K720">
        <f>IF(LEN(TRIM(E720))=0,"",VLOOKUP(E720,Sheet2!$B$1:$E$19,2,FALSE))</f>
        <v>1073</v>
      </c>
      <c r="L720">
        <f>IF(LEN(TRIM(E720))=0,"",VLOOKUP(E720,Sheet2!$B$1:$E$19,3,FALSE))</f>
        <v>1108959</v>
      </c>
      <c r="M720">
        <f>IF(LEN(TRIM(E720))=0,"",VLOOKUP(E720,Sheet2!$B$1:$E$19,4,FALSE))+(F720-1)</f>
        <v>3780219</v>
      </c>
    </row>
    <row r="721" spans="1:17" s="1" customFormat="1" ht="15" customHeight="1" x14ac:dyDescent="0.25">
      <c r="A721" s="28" t="s">
        <v>23</v>
      </c>
      <c r="B721" s="28" t="s">
        <v>847</v>
      </c>
      <c r="C721" s="1">
        <v>1889</v>
      </c>
      <c r="D721" s="1" t="s">
        <v>454</v>
      </c>
      <c r="E721" s="1">
        <v>2172</v>
      </c>
      <c r="F721" s="28">
        <v>67</v>
      </c>
      <c r="G721" s="9" t="s">
        <v>3082</v>
      </c>
      <c r="H721" s="1">
        <v>70</v>
      </c>
      <c r="I721" s="1">
        <v>69</v>
      </c>
      <c r="J721" t="str">
        <f t="shared" si="11"/>
        <v>http://www.badatelna.eu/reprodukce/?fondId=1073&amp;zaznamId=1108958&amp;reproId=3779808</v>
      </c>
      <c r="K721">
        <f>IF(LEN(TRIM(E721))=0,"",VLOOKUP(E721,Sheet2!$B$1:$E$19,2,FALSE))</f>
        <v>1073</v>
      </c>
      <c r="L721">
        <f>IF(LEN(TRIM(E721))=0,"",VLOOKUP(E721,Sheet2!$B$1:$E$19,3,FALSE))</f>
        <v>1108958</v>
      </c>
      <c r="M721">
        <f>IF(LEN(TRIM(E721))=0,"",VLOOKUP(E721,Sheet2!$B$1:$E$19,4,FALSE))+(F721-1)</f>
        <v>3779808</v>
      </c>
    </row>
    <row r="722" spans="1:17" s="1" customFormat="1" ht="15" customHeight="1" x14ac:dyDescent="0.25">
      <c r="A722" s="27" t="s">
        <v>23</v>
      </c>
      <c r="B722" s="27" t="s">
        <v>516</v>
      </c>
      <c r="C722" s="5" t="s">
        <v>1134</v>
      </c>
      <c r="D722" s="3" t="s">
        <v>454</v>
      </c>
      <c r="E722" s="3">
        <v>2170</v>
      </c>
      <c r="F722" s="28">
        <v>36</v>
      </c>
      <c r="G722" s="10">
        <v>32</v>
      </c>
      <c r="H722" s="3">
        <v>62</v>
      </c>
      <c r="I722" s="3">
        <v>58</v>
      </c>
      <c r="J722" t="str">
        <f t="shared" si="11"/>
        <v>http://www.badatelna.eu/reprodukce/?fondId=1073&amp;zaznamId=1108956&amp;reproId=3779628</v>
      </c>
      <c r="K722">
        <f>IF(LEN(TRIM(E722))=0,"",VLOOKUP(E722,Sheet2!$B$1:$E$19,2,FALSE))</f>
        <v>1073</v>
      </c>
      <c r="L722">
        <f>IF(LEN(TRIM(E722))=0,"",VLOOKUP(E722,Sheet2!$B$1:$E$19,3,FALSE))</f>
        <v>1108956</v>
      </c>
      <c r="M722">
        <f>IF(LEN(TRIM(E722))=0,"",VLOOKUP(E722,Sheet2!$B$1:$E$19,4,FALSE))+(F722-1)</f>
        <v>3779628</v>
      </c>
      <c r="N722"/>
      <c r="O722"/>
      <c r="P722"/>
      <c r="Q722"/>
    </row>
    <row r="723" spans="1:17" s="1" customFormat="1" ht="15" customHeight="1" x14ac:dyDescent="0.25">
      <c r="A723" s="27" t="s">
        <v>23</v>
      </c>
      <c r="B723" s="27" t="s">
        <v>340</v>
      </c>
      <c r="C723" s="5" t="s">
        <v>1141</v>
      </c>
      <c r="D723" s="3" t="s">
        <v>454</v>
      </c>
      <c r="E723" s="3">
        <v>2170</v>
      </c>
      <c r="F723" s="28">
        <v>45</v>
      </c>
      <c r="G723" s="10">
        <v>41</v>
      </c>
      <c r="H723" s="3">
        <v>62</v>
      </c>
      <c r="I723" s="3">
        <v>58</v>
      </c>
      <c r="J723" t="str">
        <f t="shared" si="11"/>
        <v>http://www.badatelna.eu/reprodukce/?fondId=1073&amp;zaznamId=1108956&amp;reproId=3779637</v>
      </c>
      <c r="K723">
        <f>IF(LEN(TRIM(E723))=0,"",VLOOKUP(E723,Sheet2!$B$1:$E$19,2,FALSE))</f>
        <v>1073</v>
      </c>
      <c r="L723">
        <f>IF(LEN(TRIM(E723))=0,"",VLOOKUP(E723,Sheet2!$B$1:$E$19,3,FALSE))</f>
        <v>1108956</v>
      </c>
      <c r="M723">
        <f>IF(LEN(TRIM(E723))=0,"",VLOOKUP(E723,Sheet2!$B$1:$E$19,4,FALSE))+(F723-1)</f>
        <v>3779637</v>
      </c>
    </row>
    <row r="724" spans="1:17" s="1" customFormat="1" ht="15" customHeight="1" x14ac:dyDescent="0.25">
      <c r="A724" s="28" t="s">
        <v>23</v>
      </c>
      <c r="B724" s="28" t="s">
        <v>198</v>
      </c>
      <c r="C724" s="15">
        <v>5180</v>
      </c>
      <c r="D724" s="1" t="s">
        <v>454</v>
      </c>
      <c r="E724" s="1">
        <v>2172</v>
      </c>
      <c r="F724" s="28">
        <v>184</v>
      </c>
      <c r="G724" s="9">
        <v>175</v>
      </c>
      <c r="H724" s="1" t="s">
        <v>3073</v>
      </c>
      <c r="I724" s="1" t="s">
        <v>3073</v>
      </c>
      <c r="J724" t="str">
        <f t="shared" si="11"/>
        <v>http://www.badatelna.eu/reprodukce/?fondId=1073&amp;zaznamId=1108958&amp;reproId=3779925</v>
      </c>
      <c r="K724">
        <f>IF(LEN(TRIM(E724))=0,"",VLOOKUP(E724,Sheet2!$B$1:$E$19,2,FALSE))</f>
        <v>1073</v>
      </c>
      <c r="L724">
        <f>IF(LEN(TRIM(E724))=0,"",VLOOKUP(E724,Sheet2!$B$1:$E$19,3,FALSE))</f>
        <v>1108958</v>
      </c>
      <c r="M724">
        <f>IF(LEN(TRIM(E724))=0,"",VLOOKUP(E724,Sheet2!$B$1:$E$19,4,FALSE))+(F724-1)</f>
        <v>3779925</v>
      </c>
    </row>
    <row r="725" spans="1:17" s="1" customFormat="1" ht="15" customHeight="1" x14ac:dyDescent="0.25">
      <c r="A725" s="28" t="s">
        <v>23</v>
      </c>
      <c r="B725" s="28" t="s">
        <v>263</v>
      </c>
      <c r="C725" s="1">
        <v>1853</v>
      </c>
      <c r="D725" s="1" t="s">
        <v>2919</v>
      </c>
      <c r="E725" s="1">
        <v>998</v>
      </c>
      <c r="F725" s="28">
        <v>36</v>
      </c>
      <c r="G725" s="1">
        <v>34</v>
      </c>
      <c r="H725" s="1">
        <v>67</v>
      </c>
      <c r="I725" s="1">
        <v>64</v>
      </c>
      <c r="J725" t="str">
        <f t="shared" si="11"/>
        <v>http://www.badatelna.eu/reprodukce/?fondId=241&amp;zaznamId=1133738&amp;reproId=3885682</v>
      </c>
      <c r="K725">
        <f>IF(LEN(TRIM(E725))=0,"",VLOOKUP(E725,Sheet2!$B$1:$E$19,2,FALSE))</f>
        <v>241</v>
      </c>
      <c r="L725">
        <f>IF(LEN(TRIM(E725))=0,"",VLOOKUP(E725,Sheet2!$B$1:$E$19,3,FALSE))</f>
        <v>1133738</v>
      </c>
      <c r="M725">
        <f>IF(LEN(TRIM(E725))=0,"",VLOOKUP(E725,Sheet2!$B$1:$E$19,4,FALSE))+(F725-1)</f>
        <v>3885682</v>
      </c>
    </row>
    <row r="726" spans="1:17" s="1" customFormat="1" ht="15" customHeight="1" x14ac:dyDescent="0.25">
      <c r="A726" s="28" t="s">
        <v>23</v>
      </c>
      <c r="B726" s="28" t="s">
        <v>778</v>
      </c>
      <c r="C726" s="1">
        <v>1866</v>
      </c>
      <c r="D726" s="1" t="s">
        <v>2919</v>
      </c>
      <c r="E726" s="1">
        <v>999</v>
      </c>
      <c r="F726" s="28">
        <v>90</v>
      </c>
      <c r="G726" s="1">
        <v>11</v>
      </c>
      <c r="H726" s="1">
        <v>98</v>
      </c>
      <c r="I726" s="1">
        <v>157</v>
      </c>
      <c r="J726" t="str">
        <f t="shared" si="11"/>
        <v>http://www.badatelna.eu/reprodukce/?fondId=241&amp;zaznamId=1133739&amp;reproId=3885819</v>
      </c>
      <c r="K726">
        <f>IF(LEN(TRIM(E726))=0,"",VLOOKUP(E726,Sheet2!$B$1:$E$19,2,FALSE))</f>
        <v>241</v>
      </c>
      <c r="L726">
        <f>IF(LEN(TRIM(E726))=0,"",VLOOKUP(E726,Sheet2!$B$1:$E$19,3,FALSE))</f>
        <v>1133739</v>
      </c>
      <c r="M726">
        <f>IF(LEN(TRIM(E726))=0,"",VLOOKUP(E726,Sheet2!$B$1:$E$19,4,FALSE))+(F726-1)</f>
        <v>3885819</v>
      </c>
    </row>
    <row r="727" spans="1:17" s="1" customFormat="1" ht="15" customHeight="1" x14ac:dyDescent="0.25">
      <c r="A727" s="28" t="s">
        <v>23</v>
      </c>
      <c r="B727" s="28" t="s">
        <v>272</v>
      </c>
      <c r="C727" s="6" t="s">
        <v>2045</v>
      </c>
      <c r="D727" s="1" t="s">
        <v>454</v>
      </c>
      <c r="E727" s="1">
        <v>2173</v>
      </c>
      <c r="F727" s="28">
        <v>182</v>
      </c>
      <c r="G727" s="9">
        <v>11</v>
      </c>
      <c r="H727" s="1">
        <v>187</v>
      </c>
      <c r="I727" s="1">
        <v>416</v>
      </c>
      <c r="J727" t="str">
        <f t="shared" si="11"/>
        <v>http://www.badatelna.eu/reprodukce/?fondId=1073&amp;zaznamId=1108959&amp;reproId=3780175</v>
      </c>
      <c r="K727">
        <f>IF(LEN(TRIM(E727))=0,"",VLOOKUP(E727,Sheet2!$B$1:$E$19,2,FALSE))</f>
        <v>1073</v>
      </c>
      <c r="L727">
        <f>IF(LEN(TRIM(E727))=0,"",VLOOKUP(E727,Sheet2!$B$1:$E$19,3,FALSE))</f>
        <v>1108959</v>
      </c>
      <c r="M727">
        <f>IF(LEN(TRIM(E727))=0,"",VLOOKUP(E727,Sheet2!$B$1:$E$19,4,FALSE))+(F727-1)</f>
        <v>3780175</v>
      </c>
    </row>
    <row r="728" spans="1:17" s="1" customFormat="1" ht="15" customHeight="1" x14ac:dyDescent="0.25">
      <c r="A728" s="28" t="s">
        <v>23</v>
      </c>
      <c r="B728" s="28" t="s">
        <v>2922</v>
      </c>
      <c r="C728" s="1">
        <v>1855</v>
      </c>
      <c r="D728" s="1" t="s">
        <v>2919</v>
      </c>
      <c r="E728" s="1">
        <v>998</v>
      </c>
      <c r="F728" s="28">
        <v>48</v>
      </c>
      <c r="G728" s="1">
        <v>46</v>
      </c>
      <c r="H728" s="1">
        <v>67</v>
      </c>
      <c r="I728" s="1">
        <v>64</v>
      </c>
      <c r="J728" t="str">
        <f t="shared" si="11"/>
        <v>http://www.badatelna.eu/reprodukce/?fondId=241&amp;zaznamId=1133738&amp;reproId=3885694</v>
      </c>
      <c r="K728">
        <f>IF(LEN(TRIM(E728))=0,"",VLOOKUP(E728,Sheet2!$B$1:$E$19,2,FALSE))</f>
        <v>241</v>
      </c>
      <c r="L728">
        <f>IF(LEN(TRIM(E728))=0,"",VLOOKUP(E728,Sheet2!$B$1:$E$19,3,FALSE))</f>
        <v>1133738</v>
      </c>
      <c r="M728">
        <f>IF(LEN(TRIM(E728))=0,"",VLOOKUP(E728,Sheet2!$B$1:$E$19,4,FALSE))+(F728-1)</f>
        <v>3885694</v>
      </c>
    </row>
    <row r="729" spans="1:17" s="1" customFormat="1" ht="15" customHeight="1" x14ac:dyDescent="0.25">
      <c r="A729" s="27" t="s">
        <v>23</v>
      </c>
      <c r="B729" s="27" t="s">
        <v>517</v>
      </c>
      <c r="C729" s="5" t="s">
        <v>1135</v>
      </c>
      <c r="D729" s="3" t="s">
        <v>454</v>
      </c>
      <c r="E729" s="3">
        <v>2170</v>
      </c>
      <c r="F729" s="28">
        <v>51</v>
      </c>
      <c r="G729" s="10">
        <v>47</v>
      </c>
      <c r="H729" s="3">
        <v>62</v>
      </c>
      <c r="I729" s="3">
        <v>58</v>
      </c>
      <c r="J729" t="str">
        <f t="shared" si="11"/>
        <v>http://www.badatelna.eu/reprodukce/?fondId=1073&amp;zaznamId=1108956&amp;reproId=3779643</v>
      </c>
      <c r="K729">
        <f>IF(LEN(TRIM(E729))=0,"",VLOOKUP(E729,Sheet2!$B$1:$E$19,2,FALSE))</f>
        <v>1073</v>
      </c>
      <c r="L729">
        <f>IF(LEN(TRIM(E729))=0,"",VLOOKUP(E729,Sheet2!$B$1:$E$19,3,FALSE))</f>
        <v>1108956</v>
      </c>
      <c r="M729">
        <f>IF(LEN(TRIM(E729))=0,"",VLOOKUP(E729,Sheet2!$B$1:$E$19,4,FALSE))+(F729-1)</f>
        <v>3779643</v>
      </c>
    </row>
    <row r="730" spans="1:17" s="1" customFormat="1" ht="15" customHeight="1" x14ac:dyDescent="0.25">
      <c r="A730" s="27" t="s">
        <v>23</v>
      </c>
      <c r="B730" s="27" t="s">
        <v>518</v>
      </c>
      <c r="C730" s="5" t="s">
        <v>1139</v>
      </c>
      <c r="D730" s="3" t="s">
        <v>454</v>
      </c>
      <c r="E730" s="3">
        <v>2170</v>
      </c>
      <c r="F730" s="28">
        <v>23</v>
      </c>
      <c r="G730" s="10">
        <v>19</v>
      </c>
      <c r="H730" s="3">
        <v>62</v>
      </c>
      <c r="I730" s="3">
        <v>58</v>
      </c>
      <c r="J730" t="str">
        <f t="shared" si="11"/>
        <v>http://www.badatelna.eu/reprodukce/?fondId=1073&amp;zaznamId=1108956&amp;reproId=3779615</v>
      </c>
      <c r="K730">
        <f>IF(LEN(TRIM(E730))=0,"",VLOOKUP(E730,Sheet2!$B$1:$E$19,2,FALSE))</f>
        <v>1073</v>
      </c>
      <c r="L730">
        <f>IF(LEN(TRIM(E730))=0,"",VLOOKUP(E730,Sheet2!$B$1:$E$19,3,FALSE))</f>
        <v>1108956</v>
      </c>
      <c r="M730">
        <f>IF(LEN(TRIM(E730))=0,"",VLOOKUP(E730,Sheet2!$B$1:$E$19,4,FALSE))+(F730-1)</f>
        <v>3779615</v>
      </c>
    </row>
    <row r="731" spans="1:17" s="1" customFormat="1" ht="15" customHeight="1" x14ac:dyDescent="0.25">
      <c r="A731" s="28" t="s">
        <v>23</v>
      </c>
      <c r="B731" s="28" t="s">
        <v>314</v>
      </c>
      <c r="C731" s="1">
        <v>1849</v>
      </c>
      <c r="D731" s="1" t="s">
        <v>2919</v>
      </c>
      <c r="E731" s="1">
        <v>998</v>
      </c>
      <c r="F731" s="28">
        <v>22</v>
      </c>
      <c r="G731" s="1">
        <v>20</v>
      </c>
      <c r="H731" s="1">
        <v>67</v>
      </c>
      <c r="I731" s="1">
        <v>64</v>
      </c>
      <c r="J731" t="str">
        <f t="shared" si="11"/>
        <v>http://www.badatelna.eu/reprodukce/?fondId=241&amp;zaznamId=1133738&amp;reproId=3885668</v>
      </c>
      <c r="K731">
        <f>IF(LEN(TRIM(E731))=0,"",VLOOKUP(E731,Sheet2!$B$1:$E$19,2,FALSE))</f>
        <v>241</v>
      </c>
      <c r="L731">
        <f>IF(LEN(TRIM(E731))=0,"",VLOOKUP(E731,Sheet2!$B$1:$E$19,3,FALSE))</f>
        <v>1133738</v>
      </c>
      <c r="M731">
        <f>IF(LEN(TRIM(E731))=0,"",VLOOKUP(E731,Sheet2!$B$1:$E$19,4,FALSE))+(F731-1)</f>
        <v>3885668</v>
      </c>
    </row>
    <row r="732" spans="1:17" s="1" customFormat="1" ht="15" customHeight="1" x14ac:dyDescent="0.25">
      <c r="A732" s="27" t="s">
        <v>23</v>
      </c>
      <c r="B732" s="27" t="s">
        <v>314</v>
      </c>
      <c r="C732" s="5" t="s">
        <v>1138</v>
      </c>
      <c r="D732" s="3" t="s">
        <v>454</v>
      </c>
      <c r="E732" s="3">
        <v>2170</v>
      </c>
      <c r="F732" s="31">
        <v>46</v>
      </c>
      <c r="G732" s="10">
        <v>42</v>
      </c>
      <c r="H732" s="3">
        <v>62</v>
      </c>
      <c r="I732" s="3">
        <v>58</v>
      </c>
      <c r="J732" t="str">
        <f t="shared" si="11"/>
        <v>http://www.badatelna.eu/reprodukce/?fondId=1073&amp;zaznamId=1108956&amp;reproId=3779638</v>
      </c>
      <c r="K732">
        <f>IF(LEN(TRIM(E732))=0,"",VLOOKUP(E732,Sheet2!$B$1:$E$19,2,FALSE))</f>
        <v>1073</v>
      </c>
      <c r="L732">
        <f>IF(LEN(TRIM(E732))=0,"",VLOOKUP(E732,Sheet2!$B$1:$E$19,3,FALSE))</f>
        <v>1108956</v>
      </c>
      <c r="M732">
        <f>IF(LEN(TRIM(E732))=0,"",VLOOKUP(E732,Sheet2!$B$1:$E$19,4,FALSE))+(F732-1)</f>
        <v>3779638</v>
      </c>
    </row>
    <row r="733" spans="1:17" s="1" customFormat="1" ht="15" customHeight="1" x14ac:dyDescent="0.25">
      <c r="A733" s="28" t="s">
        <v>23</v>
      </c>
      <c r="B733" s="28" t="s">
        <v>22</v>
      </c>
      <c r="C733" s="6" t="s">
        <v>2227</v>
      </c>
      <c r="D733" s="1" t="s">
        <v>454</v>
      </c>
      <c r="E733" s="1">
        <v>2173</v>
      </c>
      <c r="F733" s="28">
        <v>196</v>
      </c>
      <c r="G733" s="9">
        <v>1</v>
      </c>
      <c r="H733" s="1" t="s">
        <v>3073</v>
      </c>
      <c r="I733" s="1" t="s">
        <v>3073</v>
      </c>
      <c r="J733" t="str">
        <f t="shared" si="11"/>
        <v>http://www.badatelna.eu/reprodukce/?fondId=1073&amp;zaznamId=1108959&amp;reproId=3780189</v>
      </c>
      <c r="K733">
        <f>IF(LEN(TRIM(E733))=0,"",VLOOKUP(E733,Sheet2!$B$1:$E$19,2,FALSE))</f>
        <v>1073</v>
      </c>
      <c r="L733">
        <f>IF(LEN(TRIM(E733))=0,"",VLOOKUP(E733,Sheet2!$B$1:$E$19,3,FALSE))</f>
        <v>1108959</v>
      </c>
      <c r="M733">
        <f>IF(LEN(TRIM(E733))=0,"",VLOOKUP(E733,Sheet2!$B$1:$E$19,4,FALSE))+(F733-1)</f>
        <v>3780189</v>
      </c>
    </row>
    <row r="734" spans="1:17" s="1" customFormat="1" ht="15" customHeight="1" x14ac:dyDescent="0.25">
      <c r="A734" s="28" t="s">
        <v>23</v>
      </c>
      <c r="B734" s="28" t="s">
        <v>135</v>
      </c>
      <c r="C734" s="6" t="s">
        <v>1763</v>
      </c>
      <c r="D734" s="1" t="s">
        <v>454</v>
      </c>
      <c r="E734" s="1">
        <v>2172</v>
      </c>
      <c r="F734" s="28">
        <v>142</v>
      </c>
      <c r="G734" s="9">
        <v>139</v>
      </c>
      <c r="H734" s="1">
        <v>145</v>
      </c>
      <c r="I734" s="1">
        <v>142</v>
      </c>
      <c r="J734" t="str">
        <f t="shared" si="11"/>
        <v>http://www.badatelna.eu/reprodukce/?fondId=1073&amp;zaznamId=1108958&amp;reproId=3779883</v>
      </c>
      <c r="K734">
        <f>IF(LEN(TRIM(E734))=0,"",VLOOKUP(E734,Sheet2!$B$1:$E$19,2,FALSE))</f>
        <v>1073</v>
      </c>
      <c r="L734">
        <f>IF(LEN(TRIM(E734))=0,"",VLOOKUP(E734,Sheet2!$B$1:$E$19,3,FALSE))</f>
        <v>1108958</v>
      </c>
      <c r="M734">
        <f>IF(LEN(TRIM(E734))=0,"",VLOOKUP(E734,Sheet2!$B$1:$E$19,4,FALSE))+(F734-1)</f>
        <v>3779883</v>
      </c>
    </row>
    <row r="735" spans="1:17" s="1" customFormat="1" ht="15" customHeight="1" x14ac:dyDescent="0.25">
      <c r="A735" s="27" t="s">
        <v>23</v>
      </c>
      <c r="B735" s="27" t="s">
        <v>475</v>
      </c>
      <c r="C735" s="5" t="s">
        <v>1482</v>
      </c>
      <c r="D735" s="3" t="s">
        <v>454</v>
      </c>
      <c r="E735" s="3">
        <v>2171</v>
      </c>
      <c r="F735" s="28">
        <v>32</v>
      </c>
      <c r="G735" s="10">
        <v>29</v>
      </c>
      <c r="H735" s="3">
        <v>43</v>
      </c>
      <c r="I735" s="3">
        <v>32</v>
      </c>
      <c r="J735" t="str">
        <f t="shared" si="11"/>
        <v>http://www.badatelna.eu/reprodukce/?fondId=1073&amp;zaznamId=1108957&amp;reproId=3779699</v>
      </c>
      <c r="K735">
        <f>IF(LEN(TRIM(E735))=0,"",VLOOKUP(E735,Sheet2!$B$1:$E$19,2,FALSE))</f>
        <v>1073</v>
      </c>
      <c r="L735">
        <f>IF(LEN(TRIM(E735))=0,"",VLOOKUP(E735,Sheet2!$B$1:$E$19,3,FALSE))</f>
        <v>1108957</v>
      </c>
      <c r="M735">
        <f>IF(LEN(TRIM(E735))=0,"",VLOOKUP(E735,Sheet2!$B$1:$E$19,4,FALSE))+(F735-1)</f>
        <v>3779699</v>
      </c>
    </row>
    <row r="736" spans="1:17" s="1" customFormat="1" ht="15" customHeight="1" x14ac:dyDescent="0.25">
      <c r="A736" s="27" t="s">
        <v>23</v>
      </c>
      <c r="B736" s="27" t="s">
        <v>65</v>
      </c>
      <c r="C736" s="5" t="s">
        <v>1133</v>
      </c>
      <c r="D736" s="3" t="s">
        <v>454</v>
      </c>
      <c r="E736" s="3">
        <v>2170</v>
      </c>
      <c r="F736" s="28">
        <v>23</v>
      </c>
      <c r="G736" s="10">
        <v>19</v>
      </c>
      <c r="H736" s="3">
        <v>62</v>
      </c>
      <c r="I736" s="3">
        <v>58</v>
      </c>
      <c r="J736" t="str">
        <f t="shared" si="11"/>
        <v>http://www.badatelna.eu/reprodukce/?fondId=1073&amp;zaznamId=1108956&amp;reproId=3779615</v>
      </c>
      <c r="K736">
        <f>IF(LEN(TRIM(E736))=0,"",VLOOKUP(E736,Sheet2!$B$1:$E$19,2,FALSE))</f>
        <v>1073</v>
      </c>
      <c r="L736">
        <f>IF(LEN(TRIM(E736))=0,"",VLOOKUP(E736,Sheet2!$B$1:$E$19,3,FALSE))</f>
        <v>1108956</v>
      </c>
      <c r="M736">
        <f>IF(LEN(TRIM(E736))=0,"",VLOOKUP(E736,Sheet2!$B$1:$E$19,4,FALSE))+(F736-1)</f>
        <v>3779615</v>
      </c>
    </row>
    <row r="737" spans="1:17" s="1" customFormat="1" ht="15" customHeight="1" x14ac:dyDescent="0.25">
      <c r="A737" s="28" t="s">
        <v>23</v>
      </c>
      <c r="B737" s="28" t="s">
        <v>542</v>
      </c>
      <c r="C737" s="15">
        <v>6188</v>
      </c>
      <c r="D737" s="1" t="s">
        <v>454</v>
      </c>
      <c r="E737" s="1">
        <v>2172</v>
      </c>
      <c r="F737" s="28">
        <v>188</v>
      </c>
      <c r="G737" s="9">
        <v>178</v>
      </c>
      <c r="H737" s="1" t="s">
        <v>3073</v>
      </c>
      <c r="I737" s="1" t="s">
        <v>3073</v>
      </c>
      <c r="J737" t="str">
        <f t="shared" si="11"/>
        <v>http://www.badatelna.eu/reprodukce/?fondId=1073&amp;zaznamId=1108958&amp;reproId=3779929</v>
      </c>
      <c r="K737">
        <f>IF(LEN(TRIM(E737))=0,"",VLOOKUP(E737,Sheet2!$B$1:$E$19,2,FALSE))</f>
        <v>1073</v>
      </c>
      <c r="L737">
        <f>IF(LEN(TRIM(E737))=0,"",VLOOKUP(E737,Sheet2!$B$1:$E$19,3,FALSE))</f>
        <v>1108958</v>
      </c>
      <c r="M737">
        <f>IF(LEN(TRIM(E737))=0,"",VLOOKUP(E737,Sheet2!$B$1:$E$19,4,FALSE))+(F737-1)</f>
        <v>3779929</v>
      </c>
    </row>
    <row r="738" spans="1:17" s="1" customFormat="1" ht="15" customHeight="1" x14ac:dyDescent="0.25">
      <c r="A738" s="28" t="s">
        <v>23</v>
      </c>
      <c r="B738" s="28" t="s">
        <v>91</v>
      </c>
      <c r="C738" s="6" t="s">
        <v>1907</v>
      </c>
      <c r="D738" s="1" t="s">
        <v>454</v>
      </c>
      <c r="E738" s="1">
        <v>2172</v>
      </c>
      <c r="F738" s="28">
        <v>209</v>
      </c>
      <c r="G738" s="9">
        <v>193</v>
      </c>
      <c r="H738" s="1" t="s">
        <v>3073</v>
      </c>
      <c r="I738" s="1" t="s">
        <v>3073</v>
      </c>
      <c r="J738" t="str">
        <f t="shared" si="11"/>
        <v>http://www.badatelna.eu/reprodukce/?fondId=1073&amp;zaznamId=1108958&amp;reproId=3779950</v>
      </c>
      <c r="K738">
        <f>IF(LEN(TRIM(E738))=0,"",VLOOKUP(E738,Sheet2!$B$1:$E$19,2,FALSE))</f>
        <v>1073</v>
      </c>
      <c r="L738">
        <f>IF(LEN(TRIM(E738))=0,"",VLOOKUP(E738,Sheet2!$B$1:$E$19,3,FALSE))</f>
        <v>1108958</v>
      </c>
      <c r="M738">
        <f>IF(LEN(TRIM(E738))=0,"",VLOOKUP(E738,Sheet2!$B$1:$E$19,4,FALSE))+(F738-1)</f>
        <v>3779950</v>
      </c>
      <c r="N738"/>
      <c r="O738"/>
      <c r="P738"/>
      <c r="Q738"/>
    </row>
    <row r="739" spans="1:17" s="1" customFormat="1" ht="15" customHeight="1" x14ac:dyDescent="0.25">
      <c r="A739" s="28" t="s">
        <v>23</v>
      </c>
      <c r="B739" s="28" t="s">
        <v>848</v>
      </c>
      <c r="C739" s="6" t="s">
        <v>1861</v>
      </c>
      <c r="D739" s="1" t="s">
        <v>454</v>
      </c>
      <c r="E739" s="1">
        <v>2172</v>
      </c>
      <c r="F739" s="28">
        <v>187</v>
      </c>
      <c r="G739" s="9">
        <v>177</v>
      </c>
      <c r="H739" s="1" t="s">
        <v>3073</v>
      </c>
      <c r="I739" s="1" t="s">
        <v>3073</v>
      </c>
      <c r="J739" t="str">
        <f t="shared" si="11"/>
        <v>http://www.badatelna.eu/reprodukce/?fondId=1073&amp;zaznamId=1108958&amp;reproId=3779928</v>
      </c>
      <c r="K739">
        <f>IF(LEN(TRIM(E739))=0,"",VLOOKUP(E739,Sheet2!$B$1:$E$19,2,FALSE))</f>
        <v>1073</v>
      </c>
      <c r="L739">
        <f>IF(LEN(TRIM(E739))=0,"",VLOOKUP(E739,Sheet2!$B$1:$E$19,3,FALSE))</f>
        <v>1108958</v>
      </c>
      <c r="M739">
        <f>IF(LEN(TRIM(E739))=0,"",VLOOKUP(E739,Sheet2!$B$1:$E$19,4,FALSE))+(F739-1)</f>
        <v>3779928</v>
      </c>
    </row>
    <row r="740" spans="1:17" s="1" customFormat="1" ht="15" customHeight="1" x14ac:dyDescent="0.25">
      <c r="A740" s="28" t="s">
        <v>23</v>
      </c>
      <c r="B740" s="28" t="s">
        <v>289</v>
      </c>
      <c r="C740" s="1">
        <v>1887</v>
      </c>
      <c r="D740" s="1" t="s">
        <v>454</v>
      </c>
      <c r="E740" s="1">
        <v>2172</v>
      </c>
      <c r="F740" s="28">
        <v>58</v>
      </c>
      <c r="G740" s="9">
        <v>59</v>
      </c>
      <c r="H740" s="1">
        <v>60</v>
      </c>
      <c r="I740" s="1">
        <v>61</v>
      </c>
      <c r="J740" t="str">
        <f t="shared" si="11"/>
        <v>http://www.badatelna.eu/reprodukce/?fondId=1073&amp;zaznamId=1108958&amp;reproId=3779799</v>
      </c>
      <c r="K740">
        <f>IF(LEN(TRIM(E740))=0,"",VLOOKUP(E740,Sheet2!$B$1:$E$19,2,FALSE))</f>
        <v>1073</v>
      </c>
      <c r="L740">
        <f>IF(LEN(TRIM(E740))=0,"",VLOOKUP(E740,Sheet2!$B$1:$E$19,3,FALSE))</f>
        <v>1108958</v>
      </c>
      <c r="M740">
        <f>IF(LEN(TRIM(E740))=0,"",VLOOKUP(E740,Sheet2!$B$1:$E$19,4,FALSE))+(F740-1)</f>
        <v>3779799</v>
      </c>
    </row>
    <row r="741" spans="1:17" s="1" customFormat="1" ht="15" customHeight="1" x14ac:dyDescent="0.25">
      <c r="A741" s="27" t="s">
        <v>23</v>
      </c>
      <c r="B741" s="27" t="s">
        <v>289</v>
      </c>
      <c r="C741" s="5" t="s">
        <v>1140</v>
      </c>
      <c r="D741" s="3" t="s">
        <v>454</v>
      </c>
      <c r="E741" s="3">
        <v>2170</v>
      </c>
      <c r="F741" s="28">
        <v>20</v>
      </c>
      <c r="G741" s="10">
        <v>16</v>
      </c>
      <c r="H741" s="3">
        <v>62</v>
      </c>
      <c r="I741" s="3">
        <v>58</v>
      </c>
      <c r="J741" t="str">
        <f t="shared" si="11"/>
        <v>http://www.badatelna.eu/reprodukce/?fondId=1073&amp;zaznamId=1108956&amp;reproId=3779612</v>
      </c>
      <c r="K741">
        <f>IF(LEN(TRIM(E741))=0,"",VLOOKUP(E741,Sheet2!$B$1:$E$19,2,FALSE))</f>
        <v>1073</v>
      </c>
      <c r="L741">
        <f>IF(LEN(TRIM(E741))=0,"",VLOOKUP(E741,Sheet2!$B$1:$E$19,3,FALSE))</f>
        <v>1108956</v>
      </c>
      <c r="M741">
        <f>IF(LEN(TRIM(E741))=0,"",VLOOKUP(E741,Sheet2!$B$1:$E$19,4,FALSE))+(F741-1)</f>
        <v>3779612</v>
      </c>
    </row>
    <row r="742" spans="1:17" s="1" customFormat="1" ht="15" customHeight="1" x14ac:dyDescent="0.25">
      <c r="A742" s="28" t="s">
        <v>23</v>
      </c>
      <c r="B742" s="28" t="s">
        <v>3030</v>
      </c>
      <c r="C742" s="1">
        <v>1866</v>
      </c>
      <c r="D742" s="1" t="s">
        <v>2919</v>
      </c>
      <c r="E742" s="1">
        <v>999</v>
      </c>
      <c r="F742" s="28">
        <v>92</v>
      </c>
      <c r="G742" s="1">
        <v>13</v>
      </c>
      <c r="H742" s="1">
        <v>98</v>
      </c>
      <c r="I742" s="1">
        <v>157</v>
      </c>
      <c r="J742" t="str">
        <f t="shared" si="11"/>
        <v>http://www.badatelna.eu/reprodukce/?fondId=241&amp;zaznamId=1133739&amp;reproId=3885821</v>
      </c>
      <c r="K742">
        <f>IF(LEN(TRIM(E742))=0,"",VLOOKUP(E742,Sheet2!$B$1:$E$19,2,FALSE))</f>
        <v>241</v>
      </c>
      <c r="L742">
        <f>IF(LEN(TRIM(E742))=0,"",VLOOKUP(E742,Sheet2!$B$1:$E$19,3,FALSE))</f>
        <v>1133739</v>
      </c>
      <c r="M742">
        <f>IF(LEN(TRIM(E742))=0,"",VLOOKUP(E742,Sheet2!$B$1:$E$19,4,FALSE))+(F742-1)</f>
        <v>3885821</v>
      </c>
    </row>
    <row r="743" spans="1:17" s="1" customFormat="1" ht="15" customHeight="1" x14ac:dyDescent="0.25">
      <c r="A743" s="28" t="s">
        <v>23</v>
      </c>
      <c r="B743" s="29" t="s">
        <v>672</v>
      </c>
      <c r="C743" s="1">
        <v>1855</v>
      </c>
      <c r="D743" s="1" t="s">
        <v>2919</v>
      </c>
      <c r="E743" s="1">
        <v>998</v>
      </c>
      <c r="F743" s="28">
        <v>44</v>
      </c>
      <c r="G743" s="1">
        <v>42</v>
      </c>
      <c r="H743" s="1">
        <v>67</v>
      </c>
      <c r="I743" s="1">
        <v>64</v>
      </c>
      <c r="J743" t="str">
        <f t="shared" si="11"/>
        <v>http://www.badatelna.eu/reprodukce/?fondId=241&amp;zaznamId=1133738&amp;reproId=3885690</v>
      </c>
      <c r="K743">
        <f>IF(LEN(TRIM(E743))=0,"",VLOOKUP(E743,Sheet2!$B$1:$E$19,2,FALSE))</f>
        <v>241</v>
      </c>
      <c r="L743">
        <f>IF(LEN(TRIM(E743))=0,"",VLOOKUP(E743,Sheet2!$B$1:$E$19,3,FALSE))</f>
        <v>1133738</v>
      </c>
      <c r="M743">
        <f>IF(LEN(TRIM(E743))=0,"",VLOOKUP(E743,Sheet2!$B$1:$E$19,4,FALSE))+(F743-1)</f>
        <v>3885690</v>
      </c>
    </row>
    <row r="744" spans="1:17" s="1" customFormat="1" ht="15" customHeight="1" x14ac:dyDescent="0.25">
      <c r="A744" s="28" t="s">
        <v>23</v>
      </c>
      <c r="B744" s="28" t="s">
        <v>678</v>
      </c>
      <c r="C744" s="6" t="s">
        <v>1908</v>
      </c>
      <c r="D744" s="1" t="s">
        <v>454</v>
      </c>
      <c r="E744" s="1">
        <v>2172</v>
      </c>
      <c r="F744" s="28">
        <v>209</v>
      </c>
      <c r="G744" s="9">
        <v>193</v>
      </c>
      <c r="H744" s="1" t="s">
        <v>3073</v>
      </c>
      <c r="I744" s="1" t="s">
        <v>3073</v>
      </c>
      <c r="J744" t="str">
        <f t="shared" si="11"/>
        <v>http://www.badatelna.eu/reprodukce/?fondId=1073&amp;zaznamId=1108958&amp;reproId=3779950</v>
      </c>
      <c r="K744">
        <f>IF(LEN(TRIM(E744))=0,"",VLOOKUP(E744,Sheet2!$B$1:$E$19,2,FALSE))</f>
        <v>1073</v>
      </c>
      <c r="L744">
        <f>IF(LEN(TRIM(E744))=0,"",VLOOKUP(E744,Sheet2!$B$1:$E$19,3,FALSE))</f>
        <v>1108958</v>
      </c>
      <c r="M744">
        <f>IF(LEN(TRIM(E744))=0,"",VLOOKUP(E744,Sheet2!$B$1:$E$19,4,FALSE))+(F744-1)</f>
        <v>3779950</v>
      </c>
    </row>
    <row r="745" spans="1:17" s="1" customFormat="1" ht="15" customHeight="1" x14ac:dyDescent="0.25">
      <c r="A745" s="28" t="s">
        <v>849</v>
      </c>
      <c r="B745" s="28" t="s">
        <v>850</v>
      </c>
      <c r="C745" s="14" t="s">
        <v>1820</v>
      </c>
      <c r="D745" s="1" t="s">
        <v>454</v>
      </c>
      <c r="E745" s="1">
        <v>2172</v>
      </c>
      <c r="F745" s="28">
        <v>168</v>
      </c>
      <c r="G745" s="9">
        <v>161</v>
      </c>
      <c r="H745" s="1" t="s">
        <v>3073</v>
      </c>
      <c r="I745" s="1" t="s">
        <v>3073</v>
      </c>
      <c r="J745" t="str">
        <f t="shared" si="11"/>
        <v>http://www.badatelna.eu/reprodukce/?fondId=1073&amp;zaznamId=1108958&amp;reproId=3779909</v>
      </c>
      <c r="K745">
        <f>IF(LEN(TRIM(E745))=0,"",VLOOKUP(E745,Sheet2!$B$1:$E$19,2,FALSE))</f>
        <v>1073</v>
      </c>
      <c r="L745">
        <f>IF(LEN(TRIM(E745))=0,"",VLOOKUP(E745,Sheet2!$B$1:$E$19,3,FALSE))</f>
        <v>1108958</v>
      </c>
      <c r="M745">
        <f>IF(LEN(TRIM(E745))=0,"",VLOOKUP(E745,Sheet2!$B$1:$E$19,4,FALSE))+(F745-1)</f>
        <v>3779909</v>
      </c>
      <c r="N745"/>
      <c r="O745"/>
      <c r="P745"/>
      <c r="Q745"/>
    </row>
    <row r="746" spans="1:17" s="1" customFormat="1" ht="15" customHeight="1" x14ac:dyDescent="0.25">
      <c r="A746" s="28" t="s">
        <v>849</v>
      </c>
      <c r="B746" s="28" t="s">
        <v>851</v>
      </c>
      <c r="C746" s="15">
        <v>10686</v>
      </c>
      <c r="D746" s="1" t="s">
        <v>454</v>
      </c>
      <c r="E746" s="1">
        <v>2172</v>
      </c>
      <c r="F746" s="28">
        <v>216</v>
      </c>
      <c r="G746" s="9">
        <v>200</v>
      </c>
      <c r="H746" s="1" t="s">
        <v>3073</v>
      </c>
      <c r="I746" s="1" t="s">
        <v>3073</v>
      </c>
      <c r="J746" t="str">
        <f t="shared" si="11"/>
        <v>http://www.badatelna.eu/reprodukce/?fondId=1073&amp;zaznamId=1108958&amp;reproId=3779957</v>
      </c>
      <c r="K746">
        <f>IF(LEN(TRIM(E746))=0,"",VLOOKUP(E746,Sheet2!$B$1:$E$19,2,FALSE))</f>
        <v>1073</v>
      </c>
      <c r="L746">
        <f>IF(LEN(TRIM(E746))=0,"",VLOOKUP(E746,Sheet2!$B$1:$E$19,3,FALSE))</f>
        <v>1108958</v>
      </c>
      <c r="M746">
        <f>IF(LEN(TRIM(E746))=0,"",VLOOKUP(E746,Sheet2!$B$1:$E$19,4,FALSE))+(F746-1)</f>
        <v>3779957</v>
      </c>
      <c r="N746"/>
      <c r="O746"/>
      <c r="P746"/>
      <c r="Q746"/>
    </row>
    <row r="747" spans="1:17" s="1" customFormat="1" ht="15" customHeight="1" x14ac:dyDescent="0.25">
      <c r="A747" s="28" t="s">
        <v>849</v>
      </c>
      <c r="B747" s="28" t="s">
        <v>852</v>
      </c>
      <c r="C747" s="6" t="s">
        <v>1921</v>
      </c>
      <c r="D747" s="1" t="s">
        <v>454</v>
      </c>
      <c r="E747" s="1">
        <v>2172</v>
      </c>
      <c r="F747" s="28">
        <v>213</v>
      </c>
      <c r="G747" s="9">
        <v>197</v>
      </c>
      <c r="H747" s="1" t="s">
        <v>3073</v>
      </c>
      <c r="I747" s="1" t="s">
        <v>3073</v>
      </c>
      <c r="J747" t="str">
        <f t="shared" si="11"/>
        <v>http://www.badatelna.eu/reprodukce/?fondId=1073&amp;zaznamId=1108958&amp;reproId=3779954</v>
      </c>
      <c r="K747">
        <f>IF(LEN(TRIM(E747))=0,"",VLOOKUP(E747,Sheet2!$B$1:$E$19,2,FALSE))</f>
        <v>1073</v>
      </c>
      <c r="L747">
        <f>IF(LEN(TRIM(E747))=0,"",VLOOKUP(E747,Sheet2!$B$1:$E$19,3,FALSE))</f>
        <v>1108958</v>
      </c>
      <c r="M747">
        <f>IF(LEN(TRIM(E747))=0,"",VLOOKUP(E747,Sheet2!$B$1:$E$19,4,FALSE))+(F747-1)</f>
        <v>3779954</v>
      </c>
      <c r="N747"/>
      <c r="O747"/>
      <c r="P747"/>
      <c r="Q747"/>
    </row>
    <row r="748" spans="1:17" s="1" customFormat="1" ht="15" customHeight="1" x14ac:dyDescent="0.25">
      <c r="A748" s="28" t="s">
        <v>849</v>
      </c>
      <c r="B748" s="28" t="s">
        <v>718</v>
      </c>
      <c r="C748" s="6" t="s">
        <v>1914</v>
      </c>
      <c r="D748" s="1" t="s">
        <v>454</v>
      </c>
      <c r="E748" s="1">
        <v>2172</v>
      </c>
      <c r="F748" s="28">
        <v>211</v>
      </c>
      <c r="G748" s="9">
        <v>195</v>
      </c>
      <c r="H748" s="1" t="s">
        <v>3073</v>
      </c>
      <c r="I748" s="1" t="s">
        <v>3073</v>
      </c>
      <c r="J748" t="str">
        <f t="shared" si="11"/>
        <v>http://www.badatelna.eu/reprodukce/?fondId=1073&amp;zaznamId=1108958&amp;reproId=3779952</v>
      </c>
      <c r="K748">
        <f>IF(LEN(TRIM(E748))=0,"",VLOOKUP(E748,Sheet2!$B$1:$E$19,2,FALSE))</f>
        <v>1073</v>
      </c>
      <c r="L748">
        <f>IF(LEN(TRIM(E748))=0,"",VLOOKUP(E748,Sheet2!$B$1:$E$19,3,FALSE))</f>
        <v>1108958</v>
      </c>
      <c r="M748">
        <f>IF(LEN(TRIM(E748))=0,"",VLOOKUP(E748,Sheet2!$B$1:$E$19,4,FALSE))+(F748-1)</f>
        <v>3779952</v>
      </c>
      <c r="N748"/>
      <c r="O748"/>
      <c r="P748"/>
      <c r="Q748"/>
    </row>
    <row r="749" spans="1:17" s="1" customFormat="1" ht="15" customHeight="1" x14ac:dyDescent="0.25">
      <c r="A749" s="28" t="s">
        <v>138</v>
      </c>
      <c r="B749" s="28" t="s">
        <v>33</v>
      </c>
      <c r="C749" s="6" t="s">
        <v>2344</v>
      </c>
      <c r="D749" s="1" t="s">
        <v>454</v>
      </c>
      <c r="E749" s="1">
        <v>2173</v>
      </c>
      <c r="F749" s="28">
        <v>200</v>
      </c>
      <c r="G749" s="9">
        <v>10</v>
      </c>
      <c r="H749" s="1" t="s">
        <v>3073</v>
      </c>
      <c r="I749" s="1" t="s">
        <v>3073</v>
      </c>
      <c r="J749" t="str">
        <f t="shared" si="11"/>
        <v>http://www.badatelna.eu/reprodukce/?fondId=1073&amp;zaznamId=1108959&amp;reproId=3780193</v>
      </c>
      <c r="K749">
        <f>IF(LEN(TRIM(E749))=0,"",VLOOKUP(E749,Sheet2!$B$1:$E$19,2,FALSE))</f>
        <v>1073</v>
      </c>
      <c r="L749">
        <f>IF(LEN(TRIM(E749))=0,"",VLOOKUP(E749,Sheet2!$B$1:$E$19,3,FALSE))</f>
        <v>1108959</v>
      </c>
      <c r="M749">
        <f>IF(LEN(TRIM(E749))=0,"",VLOOKUP(E749,Sheet2!$B$1:$E$19,4,FALSE))+(F749-1)</f>
        <v>3780193</v>
      </c>
    </row>
    <row r="750" spans="1:17" s="1" customFormat="1" ht="15" customHeight="1" x14ac:dyDescent="0.25">
      <c r="A750" s="28" t="s">
        <v>138</v>
      </c>
      <c r="B750" s="28" t="s">
        <v>33</v>
      </c>
      <c r="C750" s="6" t="s">
        <v>2046</v>
      </c>
      <c r="D750" s="1" t="s">
        <v>454</v>
      </c>
      <c r="E750" s="1">
        <v>2173</v>
      </c>
      <c r="F750" s="28">
        <v>182</v>
      </c>
      <c r="G750" s="9">
        <v>11</v>
      </c>
      <c r="H750" s="1">
        <v>187</v>
      </c>
      <c r="I750" s="1">
        <v>416</v>
      </c>
      <c r="J750" t="str">
        <f t="shared" si="11"/>
        <v>http://www.badatelna.eu/reprodukce/?fondId=1073&amp;zaznamId=1108959&amp;reproId=3780175</v>
      </c>
      <c r="K750">
        <f>IF(LEN(TRIM(E750))=0,"",VLOOKUP(E750,Sheet2!$B$1:$E$19,2,FALSE))</f>
        <v>1073</v>
      </c>
      <c r="L750">
        <f>IF(LEN(TRIM(E750))=0,"",VLOOKUP(E750,Sheet2!$B$1:$E$19,3,FALSE))</f>
        <v>1108959</v>
      </c>
      <c r="M750">
        <f>IF(LEN(TRIM(E750))=0,"",VLOOKUP(E750,Sheet2!$B$1:$E$19,4,FALSE))+(F750-1)</f>
        <v>3780175</v>
      </c>
    </row>
    <row r="751" spans="1:17" s="1" customFormat="1" ht="15" customHeight="1" x14ac:dyDescent="0.25">
      <c r="A751" s="28" t="s">
        <v>138</v>
      </c>
      <c r="B751" s="28" t="s">
        <v>33</v>
      </c>
      <c r="C751" s="6" t="s">
        <v>2046</v>
      </c>
      <c r="D751" s="1" t="s">
        <v>454</v>
      </c>
      <c r="E751" s="1">
        <v>2173</v>
      </c>
      <c r="F751" s="28">
        <v>212</v>
      </c>
      <c r="G751" s="9" t="s">
        <v>2911</v>
      </c>
      <c r="H751" s="1" t="s">
        <v>3073</v>
      </c>
      <c r="I751" s="1" t="s">
        <v>3073</v>
      </c>
      <c r="J751" t="str">
        <f t="shared" si="11"/>
        <v>http://www.badatelna.eu/reprodukce/?fondId=1073&amp;zaznamId=1108959&amp;reproId=3780205</v>
      </c>
      <c r="K751">
        <f>IF(LEN(TRIM(E751))=0,"",VLOOKUP(E751,Sheet2!$B$1:$E$19,2,FALSE))</f>
        <v>1073</v>
      </c>
      <c r="L751">
        <f>IF(LEN(TRIM(E751))=0,"",VLOOKUP(E751,Sheet2!$B$1:$E$19,3,FALSE))</f>
        <v>1108959</v>
      </c>
      <c r="M751">
        <f>IF(LEN(TRIM(E751))=0,"",VLOOKUP(E751,Sheet2!$B$1:$E$19,4,FALSE))+(F751-1)</f>
        <v>3780205</v>
      </c>
    </row>
    <row r="752" spans="1:17" s="1" customFormat="1" ht="15" customHeight="1" x14ac:dyDescent="0.25">
      <c r="A752" s="28" t="s">
        <v>138</v>
      </c>
      <c r="B752" s="28" t="s">
        <v>263</v>
      </c>
      <c r="C752" s="1">
        <v>1847</v>
      </c>
      <c r="D752" s="1" t="s">
        <v>2919</v>
      </c>
      <c r="E752" s="1">
        <v>998</v>
      </c>
      <c r="F752" s="28">
        <v>3</v>
      </c>
      <c r="G752" s="1">
        <v>1</v>
      </c>
      <c r="H752" s="1">
        <v>67</v>
      </c>
      <c r="I752" s="1">
        <v>64</v>
      </c>
      <c r="J752" t="str">
        <f t="shared" si="11"/>
        <v>http://www.badatelna.eu/reprodukce/?fondId=241&amp;zaznamId=1133738&amp;reproId=3885649</v>
      </c>
      <c r="K752">
        <f>IF(LEN(TRIM(E752))=0,"",VLOOKUP(E752,Sheet2!$B$1:$E$19,2,FALSE))</f>
        <v>241</v>
      </c>
      <c r="L752">
        <f>IF(LEN(TRIM(E752))=0,"",VLOOKUP(E752,Sheet2!$B$1:$E$19,3,FALSE))</f>
        <v>1133738</v>
      </c>
      <c r="M752">
        <f>IF(LEN(TRIM(E752))=0,"",VLOOKUP(E752,Sheet2!$B$1:$E$19,4,FALSE))+(F752-1)</f>
        <v>3885649</v>
      </c>
    </row>
    <row r="753" spans="1:17" s="1" customFormat="1" ht="15" customHeight="1" x14ac:dyDescent="0.25">
      <c r="A753" s="28" t="s">
        <v>138</v>
      </c>
      <c r="B753" s="28" t="s">
        <v>39</v>
      </c>
      <c r="C753" s="6" t="s">
        <v>2591</v>
      </c>
      <c r="D753" s="1" t="s">
        <v>454</v>
      </c>
      <c r="E753" s="1">
        <v>2173</v>
      </c>
      <c r="F753" s="28">
        <v>216</v>
      </c>
      <c r="G753" s="9">
        <v>42</v>
      </c>
      <c r="H753" s="1" t="s">
        <v>3073</v>
      </c>
      <c r="I753" s="1" t="s">
        <v>3073</v>
      </c>
      <c r="J753" t="str">
        <f t="shared" si="11"/>
        <v>http://www.badatelna.eu/reprodukce/?fondId=1073&amp;zaznamId=1108959&amp;reproId=3780209</v>
      </c>
      <c r="K753">
        <f>IF(LEN(TRIM(E753))=0,"",VLOOKUP(E753,Sheet2!$B$1:$E$19,2,FALSE))</f>
        <v>1073</v>
      </c>
      <c r="L753">
        <f>IF(LEN(TRIM(E753))=0,"",VLOOKUP(E753,Sheet2!$B$1:$E$19,3,FALSE))</f>
        <v>1108959</v>
      </c>
      <c r="M753">
        <f>IF(LEN(TRIM(E753))=0,"",VLOOKUP(E753,Sheet2!$B$1:$E$19,4,FALSE))+(F753-1)</f>
        <v>3780209</v>
      </c>
    </row>
    <row r="754" spans="1:17" s="1" customFormat="1" ht="15" customHeight="1" x14ac:dyDescent="0.25">
      <c r="A754" s="28" t="s">
        <v>138</v>
      </c>
      <c r="B754" s="28" t="s">
        <v>2953</v>
      </c>
      <c r="C754" s="1">
        <v>1852</v>
      </c>
      <c r="D754" s="1" t="s">
        <v>2919</v>
      </c>
      <c r="E754" s="1">
        <v>998</v>
      </c>
      <c r="F754" s="28">
        <v>35</v>
      </c>
      <c r="G754" s="1">
        <v>33</v>
      </c>
      <c r="H754" s="1">
        <v>67</v>
      </c>
      <c r="I754" s="1">
        <v>64</v>
      </c>
      <c r="J754" t="str">
        <f t="shared" si="11"/>
        <v>http://www.badatelna.eu/reprodukce/?fondId=241&amp;zaznamId=1133738&amp;reproId=3885681</v>
      </c>
      <c r="K754">
        <f>IF(LEN(TRIM(E754))=0,"",VLOOKUP(E754,Sheet2!$B$1:$E$19,2,FALSE))</f>
        <v>241</v>
      </c>
      <c r="L754">
        <f>IF(LEN(TRIM(E754))=0,"",VLOOKUP(E754,Sheet2!$B$1:$E$19,3,FALSE))</f>
        <v>1133738</v>
      </c>
      <c r="M754">
        <f>IF(LEN(TRIM(E754))=0,"",VLOOKUP(E754,Sheet2!$B$1:$E$19,4,FALSE))+(F754-1)</f>
        <v>3885681</v>
      </c>
    </row>
    <row r="755" spans="1:17" s="1" customFormat="1" ht="15" customHeight="1" x14ac:dyDescent="0.25">
      <c r="A755" s="28" t="s">
        <v>138</v>
      </c>
      <c r="B755" s="28" t="s">
        <v>283</v>
      </c>
      <c r="C755" s="6" t="s">
        <v>2913</v>
      </c>
      <c r="D755" s="1" t="s">
        <v>454</v>
      </c>
      <c r="E755" s="1">
        <v>2173</v>
      </c>
      <c r="F755" s="28">
        <v>212</v>
      </c>
      <c r="G755" s="9" t="s">
        <v>2911</v>
      </c>
      <c r="H755" s="1" t="s">
        <v>3073</v>
      </c>
      <c r="I755" s="1" t="s">
        <v>3073</v>
      </c>
      <c r="J755" t="str">
        <f t="shared" si="11"/>
        <v>http://www.badatelna.eu/reprodukce/?fondId=1073&amp;zaznamId=1108959&amp;reproId=3780205</v>
      </c>
      <c r="K755">
        <f>IF(LEN(TRIM(E755))=0,"",VLOOKUP(E755,Sheet2!$B$1:$E$19,2,FALSE))</f>
        <v>1073</v>
      </c>
      <c r="L755">
        <f>IF(LEN(TRIM(E755))=0,"",VLOOKUP(E755,Sheet2!$B$1:$E$19,3,FALSE))</f>
        <v>1108959</v>
      </c>
      <c r="M755">
        <f>IF(LEN(TRIM(E755))=0,"",VLOOKUP(E755,Sheet2!$B$1:$E$19,4,FALSE))+(F755-1)</f>
        <v>3780205</v>
      </c>
    </row>
    <row r="756" spans="1:17" s="1" customFormat="1" ht="15" customHeight="1" x14ac:dyDescent="0.25">
      <c r="A756" s="28" t="s">
        <v>138</v>
      </c>
      <c r="B756" s="28" t="s">
        <v>13</v>
      </c>
      <c r="C756" s="1">
        <v>1847</v>
      </c>
      <c r="D756" s="1" t="s">
        <v>2919</v>
      </c>
      <c r="E756" s="1">
        <v>998</v>
      </c>
      <c r="F756" s="28">
        <v>9</v>
      </c>
      <c r="G756" s="1">
        <v>7</v>
      </c>
      <c r="H756" s="1">
        <v>67</v>
      </c>
      <c r="I756" s="1">
        <v>64</v>
      </c>
      <c r="J756" t="str">
        <f t="shared" si="11"/>
        <v>http://www.badatelna.eu/reprodukce/?fondId=241&amp;zaznamId=1133738&amp;reproId=3885655</v>
      </c>
      <c r="K756">
        <f>IF(LEN(TRIM(E756))=0,"",VLOOKUP(E756,Sheet2!$B$1:$E$19,2,FALSE))</f>
        <v>241</v>
      </c>
      <c r="L756">
        <f>IF(LEN(TRIM(E756))=0,"",VLOOKUP(E756,Sheet2!$B$1:$E$19,3,FALSE))</f>
        <v>1133738</v>
      </c>
      <c r="M756">
        <f>IF(LEN(TRIM(E756))=0,"",VLOOKUP(E756,Sheet2!$B$1:$E$19,4,FALSE))+(F756-1)</f>
        <v>3885655</v>
      </c>
    </row>
    <row r="757" spans="1:17" s="1" customFormat="1" ht="15" customHeight="1" x14ac:dyDescent="0.25">
      <c r="A757" s="28"/>
      <c r="B757" s="28"/>
      <c r="C757" s="38" t="s">
        <v>3116</v>
      </c>
      <c r="F757" s="28"/>
      <c r="G757" s="9"/>
      <c r="J757" t="str">
        <f t="shared" si="11"/>
        <v/>
      </c>
      <c r="K757" t="str">
        <f>IF(LEN(TRIM(E757))=0,"",VLOOKUP(E757,Sheet2!$B$1:$E$19,2,FALSE))</f>
        <v/>
      </c>
      <c r="L757" t="str">
        <f>IF(LEN(TRIM(E757))=0,"",VLOOKUP(E757,Sheet2!$B$1:$E$19,3,FALSE))</f>
        <v/>
      </c>
      <c r="M757" t="e">
        <f>IF(LEN(TRIM(E757))=0,"",VLOOKUP(E757,Sheet2!$B$1:$E$19,4,FALSE))+(F757-1)</f>
        <v>#VALUE!</v>
      </c>
    </row>
    <row r="758" spans="1:17" s="1" customFormat="1" ht="15" customHeight="1" x14ac:dyDescent="0.25">
      <c r="A758" s="28" t="s">
        <v>206</v>
      </c>
      <c r="B758" s="28" t="s">
        <v>465</v>
      </c>
      <c r="C758" s="6" t="s">
        <v>1692</v>
      </c>
      <c r="D758" s="1" t="s">
        <v>454</v>
      </c>
      <c r="E758" s="1">
        <v>2172</v>
      </c>
      <c r="F758" s="28">
        <v>114</v>
      </c>
      <c r="G758" s="9" t="s">
        <v>2770</v>
      </c>
      <c r="H758" s="1">
        <v>116</v>
      </c>
      <c r="I758" s="1">
        <v>115</v>
      </c>
      <c r="J758" t="str">
        <f t="shared" si="11"/>
        <v>http://www.badatelna.eu/reprodukce/?fondId=1073&amp;zaznamId=1108958&amp;reproId=3779855</v>
      </c>
      <c r="K758">
        <f>IF(LEN(TRIM(E758))=0,"",VLOOKUP(E758,Sheet2!$B$1:$E$19,2,FALSE))</f>
        <v>1073</v>
      </c>
      <c r="L758">
        <f>IF(LEN(TRIM(E758))=0,"",VLOOKUP(E758,Sheet2!$B$1:$E$19,3,FALSE))</f>
        <v>1108958</v>
      </c>
      <c r="M758">
        <f>IF(LEN(TRIM(E758))=0,"",VLOOKUP(E758,Sheet2!$B$1:$E$19,4,FALSE))+(F758-1)</f>
        <v>3779855</v>
      </c>
    </row>
    <row r="759" spans="1:17" s="1" customFormat="1" ht="15" customHeight="1" x14ac:dyDescent="0.25">
      <c r="A759" s="28" t="s">
        <v>206</v>
      </c>
      <c r="B759" s="28" t="s">
        <v>465</v>
      </c>
      <c r="C759" s="6" t="s">
        <v>1524</v>
      </c>
      <c r="D759" s="1" t="s">
        <v>454</v>
      </c>
      <c r="E759" s="1">
        <v>2172</v>
      </c>
      <c r="F759" s="28">
        <v>13</v>
      </c>
      <c r="G759" s="9">
        <v>12</v>
      </c>
      <c r="H759" s="1" t="s">
        <v>3073</v>
      </c>
      <c r="I759" s="1" t="s">
        <v>3073</v>
      </c>
      <c r="J759" t="str">
        <f t="shared" si="11"/>
        <v>http://www.badatelna.eu/reprodukce/?fondId=1073&amp;zaznamId=1108958&amp;reproId=3779754</v>
      </c>
      <c r="K759">
        <f>IF(LEN(TRIM(E759))=0,"",VLOOKUP(E759,Sheet2!$B$1:$E$19,2,FALSE))</f>
        <v>1073</v>
      </c>
      <c r="L759">
        <f>IF(LEN(TRIM(E759))=0,"",VLOOKUP(E759,Sheet2!$B$1:$E$19,3,FALSE))</f>
        <v>1108958</v>
      </c>
      <c r="M759">
        <f>IF(LEN(TRIM(E759))=0,"",VLOOKUP(E759,Sheet2!$B$1:$E$19,4,FALSE))+(F759-1)</f>
        <v>3779754</v>
      </c>
    </row>
    <row r="760" spans="1:17" s="1" customFormat="1" ht="15" customHeight="1" x14ac:dyDescent="0.25">
      <c r="A760" s="28" t="s">
        <v>206</v>
      </c>
      <c r="B760" s="28" t="s">
        <v>737</v>
      </c>
      <c r="C760" s="1">
        <v>1863</v>
      </c>
      <c r="D760" s="1" t="s">
        <v>2919</v>
      </c>
      <c r="E760" s="1">
        <v>999</v>
      </c>
      <c r="F760" s="28">
        <v>84</v>
      </c>
      <c r="G760" s="1">
        <v>5</v>
      </c>
      <c r="H760" s="1">
        <v>99</v>
      </c>
      <c r="I760" s="1">
        <v>158</v>
      </c>
      <c r="J760" t="str">
        <f t="shared" si="11"/>
        <v>http://www.badatelna.eu/reprodukce/?fondId=241&amp;zaznamId=1133739&amp;reproId=3885813</v>
      </c>
      <c r="K760">
        <f>IF(LEN(TRIM(E760))=0,"",VLOOKUP(E760,Sheet2!$B$1:$E$19,2,FALSE))</f>
        <v>241</v>
      </c>
      <c r="L760">
        <f>IF(LEN(TRIM(E760))=0,"",VLOOKUP(E760,Sheet2!$B$1:$E$19,3,FALSE))</f>
        <v>1133739</v>
      </c>
      <c r="M760">
        <f>IF(LEN(TRIM(E760))=0,"",VLOOKUP(E760,Sheet2!$B$1:$E$19,4,FALSE))+(F760-1)</f>
        <v>3885813</v>
      </c>
    </row>
    <row r="761" spans="1:17" s="1" customFormat="1" ht="15" customHeight="1" x14ac:dyDescent="0.25">
      <c r="A761" s="27" t="s">
        <v>206</v>
      </c>
      <c r="B761" s="27" t="s">
        <v>519</v>
      </c>
      <c r="C761" s="5" t="s">
        <v>1143</v>
      </c>
      <c r="D761" s="3" t="s">
        <v>454</v>
      </c>
      <c r="E761" s="3">
        <v>2170</v>
      </c>
      <c r="F761" s="28">
        <v>9</v>
      </c>
      <c r="G761" s="10">
        <v>5</v>
      </c>
      <c r="H761" s="3">
        <v>62</v>
      </c>
      <c r="I761" s="3">
        <v>58</v>
      </c>
      <c r="J761" t="str">
        <f t="shared" si="11"/>
        <v>http://www.badatelna.eu/reprodukce/?fondId=1073&amp;zaznamId=1108956&amp;reproId=3779601</v>
      </c>
      <c r="K761">
        <f>IF(LEN(TRIM(E761))=0,"",VLOOKUP(E761,Sheet2!$B$1:$E$19,2,FALSE))</f>
        <v>1073</v>
      </c>
      <c r="L761">
        <f>IF(LEN(TRIM(E761))=0,"",VLOOKUP(E761,Sheet2!$B$1:$E$19,3,FALSE))</f>
        <v>1108956</v>
      </c>
      <c r="M761">
        <f>IF(LEN(TRIM(E761))=0,"",VLOOKUP(E761,Sheet2!$B$1:$E$19,4,FALSE))+(F761-1)</f>
        <v>3779601</v>
      </c>
    </row>
    <row r="762" spans="1:17" s="1" customFormat="1" ht="15" customHeight="1" x14ac:dyDescent="0.25">
      <c r="A762" s="27" t="s">
        <v>206</v>
      </c>
      <c r="B762" s="27" t="s">
        <v>520</v>
      </c>
      <c r="C762" s="5" t="s">
        <v>1147</v>
      </c>
      <c r="D762" s="3" t="s">
        <v>454</v>
      </c>
      <c r="E762" s="3">
        <v>2170</v>
      </c>
      <c r="F762" s="28">
        <v>36</v>
      </c>
      <c r="G762" s="10">
        <v>32</v>
      </c>
      <c r="H762" s="3">
        <v>62</v>
      </c>
      <c r="I762" s="3">
        <v>58</v>
      </c>
      <c r="J762" t="str">
        <f t="shared" si="11"/>
        <v>http://www.badatelna.eu/reprodukce/?fondId=1073&amp;zaznamId=1108956&amp;reproId=3779628</v>
      </c>
      <c r="K762">
        <f>IF(LEN(TRIM(E762))=0,"",VLOOKUP(E762,Sheet2!$B$1:$E$19,2,FALSE))</f>
        <v>1073</v>
      </c>
      <c r="L762">
        <f>IF(LEN(TRIM(E762))=0,"",VLOOKUP(E762,Sheet2!$B$1:$E$19,3,FALSE))</f>
        <v>1108956</v>
      </c>
      <c r="M762">
        <f>IF(LEN(TRIM(E762))=0,"",VLOOKUP(E762,Sheet2!$B$1:$E$19,4,FALSE))+(F762-1)</f>
        <v>3779628</v>
      </c>
    </row>
    <row r="763" spans="1:17" s="1" customFormat="1" ht="15" customHeight="1" x14ac:dyDescent="0.25">
      <c r="A763" s="28" t="s">
        <v>206</v>
      </c>
      <c r="B763" s="28" t="s">
        <v>361</v>
      </c>
      <c r="C763" s="6" t="s">
        <v>1194</v>
      </c>
      <c r="D763" s="1" t="s">
        <v>454</v>
      </c>
      <c r="E763" s="1">
        <v>2172</v>
      </c>
      <c r="F763" s="28">
        <v>4</v>
      </c>
      <c r="G763" s="9">
        <v>1</v>
      </c>
      <c r="H763" s="1">
        <v>8</v>
      </c>
      <c r="I763" s="1">
        <v>1</v>
      </c>
      <c r="J763" t="str">
        <f t="shared" si="11"/>
        <v>http://www.badatelna.eu/reprodukce/?fondId=1073&amp;zaznamId=1108958&amp;reproId=3779745</v>
      </c>
      <c r="K763">
        <f>IF(LEN(TRIM(E763))=0,"",VLOOKUP(E763,Sheet2!$B$1:$E$19,2,FALSE))</f>
        <v>1073</v>
      </c>
      <c r="L763">
        <f>IF(LEN(TRIM(E763))=0,"",VLOOKUP(E763,Sheet2!$B$1:$E$19,3,FALSE))</f>
        <v>1108958</v>
      </c>
      <c r="M763">
        <f>IF(LEN(TRIM(E763))=0,"",VLOOKUP(E763,Sheet2!$B$1:$E$19,4,FALSE))+(F763-1)</f>
        <v>3779745</v>
      </c>
    </row>
    <row r="764" spans="1:17" s="1" customFormat="1" ht="15" customHeight="1" x14ac:dyDescent="0.25">
      <c r="A764" s="27" t="s">
        <v>206</v>
      </c>
      <c r="B764" s="27" t="s">
        <v>361</v>
      </c>
      <c r="C764" s="5" t="s">
        <v>1194</v>
      </c>
      <c r="D764" s="3" t="s">
        <v>454</v>
      </c>
      <c r="E764" s="3">
        <v>2170</v>
      </c>
      <c r="F764" s="28">
        <v>59</v>
      </c>
      <c r="G764" s="10">
        <v>55</v>
      </c>
      <c r="H764" s="3">
        <v>63</v>
      </c>
      <c r="I764" s="3">
        <v>59</v>
      </c>
      <c r="J764" t="str">
        <f t="shared" si="11"/>
        <v>http://www.badatelna.eu/reprodukce/?fondId=1073&amp;zaznamId=1108956&amp;reproId=3779651</v>
      </c>
      <c r="K764">
        <f>IF(LEN(TRIM(E764))=0,"",VLOOKUP(E764,Sheet2!$B$1:$E$19,2,FALSE))</f>
        <v>1073</v>
      </c>
      <c r="L764">
        <f>IF(LEN(TRIM(E764))=0,"",VLOOKUP(E764,Sheet2!$B$1:$E$19,3,FALSE))</f>
        <v>1108956</v>
      </c>
      <c r="M764">
        <f>IF(LEN(TRIM(E764))=0,"",VLOOKUP(E764,Sheet2!$B$1:$E$19,4,FALSE))+(F764-1)</f>
        <v>3779651</v>
      </c>
    </row>
    <row r="765" spans="1:17" s="1" customFormat="1" ht="15" customHeight="1" x14ac:dyDescent="0.25">
      <c r="A765" s="28" t="s">
        <v>206</v>
      </c>
      <c r="B765" s="28" t="s">
        <v>418</v>
      </c>
      <c r="C765" s="6" t="s">
        <v>2671</v>
      </c>
      <c r="D765" s="1" t="s">
        <v>454</v>
      </c>
      <c r="E765" s="1">
        <v>2173</v>
      </c>
      <c r="F765" s="28">
        <v>223</v>
      </c>
      <c r="G765" s="9">
        <v>51</v>
      </c>
      <c r="H765" s="1" t="s">
        <v>3073</v>
      </c>
      <c r="I765" s="1" t="s">
        <v>3073</v>
      </c>
      <c r="J765" t="str">
        <f t="shared" si="11"/>
        <v>http://www.badatelna.eu/reprodukce/?fondId=1073&amp;zaznamId=1108959&amp;reproId=3780216</v>
      </c>
      <c r="K765">
        <f>IF(LEN(TRIM(E765))=0,"",VLOOKUP(E765,Sheet2!$B$1:$E$19,2,FALSE))</f>
        <v>1073</v>
      </c>
      <c r="L765">
        <f>IF(LEN(TRIM(E765))=0,"",VLOOKUP(E765,Sheet2!$B$1:$E$19,3,FALSE))</f>
        <v>1108959</v>
      </c>
      <c r="M765">
        <f>IF(LEN(TRIM(E765))=0,"",VLOOKUP(E765,Sheet2!$B$1:$E$19,4,FALSE))+(F765-1)</f>
        <v>3780216</v>
      </c>
    </row>
    <row r="766" spans="1:17" s="1" customFormat="1" ht="15" customHeight="1" x14ac:dyDescent="0.25">
      <c r="A766" s="27" t="s">
        <v>206</v>
      </c>
      <c r="B766" s="27" t="s">
        <v>521</v>
      </c>
      <c r="C766" s="5" t="s">
        <v>1145</v>
      </c>
      <c r="D766" s="3" t="s">
        <v>454</v>
      </c>
      <c r="E766" s="3">
        <v>2171</v>
      </c>
      <c r="F766" s="37">
        <v>12</v>
      </c>
      <c r="G766" s="10">
        <v>10</v>
      </c>
      <c r="H766" s="3">
        <v>44</v>
      </c>
      <c r="I766" s="3">
        <v>32</v>
      </c>
      <c r="J766" t="str">
        <f t="shared" si="11"/>
        <v>http://www.badatelna.eu/reprodukce/?fondId=1073&amp;zaznamId=1108957&amp;reproId=3779679</v>
      </c>
      <c r="K766">
        <f>IF(LEN(TRIM(E766))=0,"",VLOOKUP(E766,Sheet2!$B$1:$E$19,2,FALSE))</f>
        <v>1073</v>
      </c>
      <c r="L766">
        <f>IF(LEN(TRIM(E766))=0,"",VLOOKUP(E766,Sheet2!$B$1:$E$19,3,FALSE))</f>
        <v>1108957</v>
      </c>
      <c r="M766">
        <f>IF(LEN(TRIM(E766))=0,"",VLOOKUP(E766,Sheet2!$B$1:$E$19,4,FALSE))+(F766-1)</f>
        <v>3779679</v>
      </c>
    </row>
    <row r="767" spans="1:17" s="1" customFormat="1" ht="15" customHeight="1" x14ac:dyDescent="0.25">
      <c r="A767" s="28" t="s">
        <v>206</v>
      </c>
      <c r="B767" s="28" t="s">
        <v>2959</v>
      </c>
      <c r="C767" s="1">
        <v>1854</v>
      </c>
      <c r="D767" s="1" t="s">
        <v>2919</v>
      </c>
      <c r="E767" s="1">
        <v>998</v>
      </c>
      <c r="F767" s="28">
        <v>40</v>
      </c>
      <c r="G767" s="1">
        <v>38</v>
      </c>
      <c r="H767" s="1">
        <v>68</v>
      </c>
      <c r="I767" s="1">
        <v>65</v>
      </c>
      <c r="J767" t="str">
        <f t="shared" si="11"/>
        <v>http://www.badatelna.eu/reprodukce/?fondId=241&amp;zaznamId=1133738&amp;reproId=3885686</v>
      </c>
      <c r="K767">
        <f>IF(LEN(TRIM(E767))=0,"",VLOOKUP(E767,Sheet2!$B$1:$E$19,2,FALSE))</f>
        <v>241</v>
      </c>
      <c r="L767">
        <f>IF(LEN(TRIM(E767))=0,"",VLOOKUP(E767,Sheet2!$B$1:$E$19,3,FALSE))</f>
        <v>1133738</v>
      </c>
      <c r="M767">
        <f>IF(LEN(TRIM(E767))=0,"",VLOOKUP(E767,Sheet2!$B$1:$E$19,4,FALSE))+(F767-1)</f>
        <v>3885686</v>
      </c>
      <c r="N767"/>
      <c r="O767"/>
      <c r="P767"/>
      <c r="Q767"/>
    </row>
    <row r="768" spans="1:17" s="1" customFormat="1" ht="15" customHeight="1" x14ac:dyDescent="0.25">
      <c r="A768" s="27" t="s">
        <v>206</v>
      </c>
      <c r="B768" s="27" t="s">
        <v>274</v>
      </c>
      <c r="C768" s="5" t="s">
        <v>1145</v>
      </c>
      <c r="D768" s="3" t="s">
        <v>454</v>
      </c>
      <c r="E768" s="3">
        <v>2170</v>
      </c>
      <c r="F768" s="28">
        <v>22</v>
      </c>
      <c r="G768" s="10">
        <v>18</v>
      </c>
      <c r="H768" s="3">
        <v>62</v>
      </c>
      <c r="I768" s="3">
        <v>58</v>
      </c>
      <c r="J768" t="str">
        <f t="shared" si="11"/>
        <v>http://www.badatelna.eu/reprodukce/?fondId=1073&amp;zaznamId=1108956&amp;reproId=3779614</v>
      </c>
      <c r="K768">
        <f>IF(LEN(TRIM(E768))=0,"",VLOOKUP(E768,Sheet2!$B$1:$E$19,2,FALSE))</f>
        <v>1073</v>
      </c>
      <c r="L768">
        <f>IF(LEN(TRIM(E768))=0,"",VLOOKUP(E768,Sheet2!$B$1:$E$19,3,FALSE))</f>
        <v>1108956</v>
      </c>
      <c r="M768">
        <f>IF(LEN(TRIM(E768))=0,"",VLOOKUP(E768,Sheet2!$B$1:$E$19,4,FALSE))+(F768-1)</f>
        <v>3779614</v>
      </c>
      <c r="N768"/>
      <c r="O768"/>
      <c r="P768"/>
      <c r="Q768"/>
    </row>
    <row r="769" spans="1:17" s="1" customFormat="1" ht="15" customHeight="1" x14ac:dyDescent="0.25">
      <c r="A769" s="27" t="s">
        <v>206</v>
      </c>
      <c r="B769" s="27" t="s">
        <v>522</v>
      </c>
      <c r="C769" s="5" t="s">
        <v>1146</v>
      </c>
      <c r="D769" s="3" t="s">
        <v>454</v>
      </c>
      <c r="E769" s="3">
        <v>2170</v>
      </c>
      <c r="F769" s="28">
        <v>32</v>
      </c>
      <c r="G769" s="10">
        <v>28</v>
      </c>
      <c r="H769" s="3">
        <v>62</v>
      </c>
      <c r="I769" s="3">
        <v>58</v>
      </c>
      <c r="J769" t="str">
        <f t="shared" si="11"/>
        <v>http://www.badatelna.eu/reprodukce/?fondId=1073&amp;zaznamId=1108956&amp;reproId=3779624</v>
      </c>
      <c r="K769">
        <f>IF(LEN(TRIM(E769))=0,"",VLOOKUP(E769,Sheet2!$B$1:$E$19,2,FALSE))</f>
        <v>1073</v>
      </c>
      <c r="L769">
        <f>IF(LEN(TRIM(E769))=0,"",VLOOKUP(E769,Sheet2!$B$1:$E$19,3,FALSE))</f>
        <v>1108956</v>
      </c>
      <c r="M769">
        <f>IF(LEN(TRIM(E769))=0,"",VLOOKUP(E769,Sheet2!$B$1:$E$19,4,FALSE))+(F769-1)</f>
        <v>3779624</v>
      </c>
      <c r="N769"/>
      <c r="O769"/>
      <c r="P769"/>
      <c r="Q769"/>
    </row>
    <row r="770" spans="1:17" s="1" customFormat="1" ht="15" customHeight="1" x14ac:dyDescent="0.25">
      <c r="A770" s="28" t="s">
        <v>206</v>
      </c>
      <c r="B770" s="28" t="s">
        <v>853</v>
      </c>
      <c r="C770" s="6" t="s">
        <v>1517</v>
      </c>
      <c r="D770" s="1" t="s">
        <v>454</v>
      </c>
      <c r="E770" s="1">
        <v>2172</v>
      </c>
      <c r="F770" s="28">
        <v>12</v>
      </c>
      <c r="G770" s="9">
        <v>11</v>
      </c>
      <c r="H770" s="1" t="s">
        <v>3073</v>
      </c>
      <c r="I770" s="1" t="s">
        <v>3073</v>
      </c>
      <c r="J770" t="str">
        <f t="shared" si="11"/>
        <v>http://www.badatelna.eu/reprodukce/?fondId=1073&amp;zaznamId=1108958&amp;reproId=3779753</v>
      </c>
      <c r="K770">
        <f>IF(LEN(TRIM(E770))=0,"",VLOOKUP(E770,Sheet2!$B$1:$E$19,2,FALSE))</f>
        <v>1073</v>
      </c>
      <c r="L770">
        <f>IF(LEN(TRIM(E770))=0,"",VLOOKUP(E770,Sheet2!$B$1:$E$19,3,FALSE))</f>
        <v>1108958</v>
      </c>
      <c r="M770">
        <f>IF(LEN(TRIM(E770))=0,"",VLOOKUP(E770,Sheet2!$B$1:$E$19,4,FALSE))+(F770-1)</f>
        <v>3779753</v>
      </c>
      <c r="N770"/>
      <c r="O770"/>
      <c r="P770"/>
      <c r="Q770"/>
    </row>
    <row r="771" spans="1:17" s="1" customFormat="1" ht="15" customHeight="1" x14ac:dyDescent="0.25">
      <c r="A771" s="28" t="s">
        <v>206</v>
      </c>
      <c r="B771" s="28" t="s">
        <v>511</v>
      </c>
      <c r="C771" s="6" t="s">
        <v>1525</v>
      </c>
      <c r="D771" s="1" t="s">
        <v>454</v>
      </c>
      <c r="E771" s="1">
        <v>2172</v>
      </c>
      <c r="F771" s="28">
        <v>13</v>
      </c>
      <c r="G771" s="9">
        <v>12</v>
      </c>
      <c r="H771" s="1" t="s">
        <v>3073</v>
      </c>
      <c r="I771" s="1" t="s">
        <v>3073</v>
      </c>
      <c r="J771" t="str">
        <f t="shared" ref="J771:J834" si="12">IF(LEN(TRIM(E771))=0,"","http://www.badatelna.eu/reprodukce/?fondId="&amp;K771&amp;"&amp;zaznamId="&amp;L771&amp;"&amp;reproId="&amp;M771)</f>
        <v>http://www.badatelna.eu/reprodukce/?fondId=1073&amp;zaznamId=1108958&amp;reproId=3779754</v>
      </c>
      <c r="K771">
        <f>IF(LEN(TRIM(E771))=0,"",VLOOKUP(E771,Sheet2!$B$1:$E$19,2,FALSE))</f>
        <v>1073</v>
      </c>
      <c r="L771">
        <f>IF(LEN(TRIM(E771))=0,"",VLOOKUP(E771,Sheet2!$B$1:$E$19,3,FALSE))</f>
        <v>1108958</v>
      </c>
      <c r="M771">
        <f>IF(LEN(TRIM(E771))=0,"",VLOOKUP(E771,Sheet2!$B$1:$E$19,4,FALSE))+(F771-1)</f>
        <v>3779754</v>
      </c>
    </row>
    <row r="772" spans="1:17" s="1" customFormat="1" ht="15" customHeight="1" x14ac:dyDescent="0.25">
      <c r="A772" s="28" t="s">
        <v>206</v>
      </c>
      <c r="B772" s="28" t="s">
        <v>314</v>
      </c>
      <c r="C772" s="1">
        <v>1855</v>
      </c>
      <c r="D772" s="1" t="s">
        <v>2919</v>
      </c>
      <c r="E772" s="1">
        <v>998</v>
      </c>
      <c r="F772" s="28">
        <v>45</v>
      </c>
      <c r="G772" s="1">
        <v>43</v>
      </c>
      <c r="H772" s="1">
        <v>68</v>
      </c>
      <c r="I772" s="1">
        <v>65</v>
      </c>
      <c r="J772" t="str">
        <f t="shared" si="12"/>
        <v>http://www.badatelna.eu/reprodukce/?fondId=241&amp;zaznamId=1133738&amp;reproId=3885691</v>
      </c>
      <c r="K772">
        <f>IF(LEN(TRIM(E772))=0,"",VLOOKUP(E772,Sheet2!$B$1:$E$19,2,FALSE))</f>
        <v>241</v>
      </c>
      <c r="L772">
        <f>IF(LEN(TRIM(E772))=0,"",VLOOKUP(E772,Sheet2!$B$1:$E$19,3,FALSE))</f>
        <v>1133738</v>
      </c>
      <c r="M772">
        <f>IF(LEN(TRIM(E772))=0,"",VLOOKUP(E772,Sheet2!$B$1:$E$19,4,FALSE))+(F772-1)</f>
        <v>3885691</v>
      </c>
    </row>
    <row r="773" spans="1:17" s="1" customFormat="1" ht="15" customHeight="1" x14ac:dyDescent="0.25">
      <c r="A773" s="28" t="s">
        <v>206</v>
      </c>
      <c r="B773" s="28" t="s">
        <v>39</v>
      </c>
      <c r="C773" s="18" t="s">
        <v>2480</v>
      </c>
      <c r="D773" s="1" t="s">
        <v>454</v>
      </c>
      <c r="E773" s="1">
        <v>2173</v>
      </c>
      <c r="F773" s="28">
        <v>205</v>
      </c>
      <c r="G773" s="1">
        <v>19</v>
      </c>
      <c r="H773" s="1" t="s">
        <v>3073</v>
      </c>
      <c r="I773" s="1" t="s">
        <v>3073</v>
      </c>
      <c r="J773" t="str">
        <f t="shared" si="12"/>
        <v>http://www.badatelna.eu/reprodukce/?fondId=1073&amp;zaznamId=1108959&amp;reproId=3780198</v>
      </c>
      <c r="K773">
        <f>IF(LEN(TRIM(E773))=0,"",VLOOKUP(E773,Sheet2!$B$1:$E$19,2,FALSE))</f>
        <v>1073</v>
      </c>
      <c r="L773">
        <f>IF(LEN(TRIM(E773))=0,"",VLOOKUP(E773,Sheet2!$B$1:$E$19,3,FALSE))</f>
        <v>1108959</v>
      </c>
      <c r="M773">
        <f>IF(LEN(TRIM(E773))=0,"",VLOOKUP(E773,Sheet2!$B$1:$E$19,4,FALSE))+(F773-1)</f>
        <v>3780198</v>
      </c>
    </row>
    <row r="774" spans="1:17" s="1" customFormat="1" ht="15" customHeight="1" x14ac:dyDescent="0.25">
      <c r="A774" s="28" t="s">
        <v>206</v>
      </c>
      <c r="B774" s="28" t="s">
        <v>625</v>
      </c>
      <c r="C774" s="1">
        <v>1852</v>
      </c>
      <c r="D774" s="1" t="s">
        <v>2919</v>
      </c>
      <c r="E774" s="1">
        <v>998</v>
      </c>
      <c r="F774" s="28">
        <v>35</v>
      </c>
      <c r="G774" s="1">
        <v>33</v>
      </c>
      <c r="H774" s="1">
        <v>68</v>
      </c>
      <c r="I774" s="1">
        <v>65</v>
      </c>
      <c r="J774" t="str">
        <f t="shared" si="12"/>
        <v>http://www.badatelna.eu/reprodukce/?fondId=241&amp;zaznamId=1133738&amp;reproId=3885681</v>
      </c>
      <c r="K774">
        <f>IF(LEN(TRIM(E774))=0,"",VLOOKUP(E774,Sheet2!$B$1:$E$19,2,FALSE))</f>
        <v>241</v>
      </c>
      <c r="L774">
        <f>IF(LEN(TRIM(E774))=0,"",VLOOKUP(E774,Sheet2!$B$1:$E$19,3,FALSE))</f>
        <v>1133738</v>
      </c>
      <c r="M774">
        <f>IF(LEN(TRIM(E774))=0,"",VLOOKUP(E774,Sheet2!$B$1:$E$19,4,FALSE))+(F774-1)</f>
        <v>3885681</v>
      </c>
      <c r="N774"/>
      <c r="O774"/>
      <c r="P774"/>
      <c r="Q774"/>
    </row>
    <row r="775" spans="1:17" s="1" customFormat="1" ht="15" customHeight="1" x14ac:dyDescent="0.25">
      <c r="A775" s="28" t="s">
        <v>206</v>
      </c>
      <c r="B775" s="28" t="s">
        <v>483</v>
      </c>
      <c r="C775" s="1">
        <v>1865</v>
      </c>
      <c r="D775" s="1" t="s">
        <v>2919</v>
      </c>
      <c r="E775" s="1">
        <v>999</v>
      </c>
      <c r="F775" s="28">
        <v>89</v>
      </c>
      <c r="G775" s="1">
        <v>10</v>
      </c>
      <c r="H775" s="1">
        <v>99</v>
      </c>
      <c r="I775" s="1">
        <v>158</v>
      </c>
      <c r="J775" t="str">
        <f t="shared" si="12"/>
        <v>http://www.badatelna.eu/reprodukce/?fondId=241&amp;zaznamId=1133739&amp;reproId=3885818</v>
      </c>
      <c r="K775">
        <f>IF(LEN(TRIM(E775))=0,"",VLOOKUP(E775,Sheet2!$B$1:$E$19,2,FALSE))</f>
        <v>241</v>
      </c>
      <c r="L775">
        <f>IF(LEN(TRIM(E775))=0,"",VLOOKUP(E775,Sheet2!$B$1:$E$19,3,FALSE))</f>
        <v>1133739</v>
      </c>
      <c r="M775">
        <f>IF(LEN(TRIM(E775))=0,"",VLOOKUP(E775,Sheet2!$B$1:$E$19,4,FALSE))+(F775-1)</f>
        <v>3885818</v>
      </c>
    </row>
    <row r="776" spans="1:17" s="1" customFormat="1" ht="15" customHeight="1" x14ac:dyDescent="0.25">
      <c r="A776" s="28" t="s">
        <v>206</v>
      </c>
      <c r="B776" s="28" t="s">
        <v>587</v>
      </c>
      <c r="C776" s="1">
        <v>1885</v>
      </c>
      <c r="D776" s="1" t="s">
        <v>454</v>
      </c>
      <c r="E776" s="1">
        <v>2172</v>
      </c>
      <c r="F776" s="28">
        <v>46</v>
      </c>
      <c r="G776" s="9">
        <v>45</v>
      </c>
      <c r="H776" s="1">
        <v>48</v>
      </c>
      <c r="I776" s="1">
        <v>49</v>
      </c>
      <c r="J776" t="str">
        <f t="shared" si="12"/>
        <v>http://www.badatelna.eu/reprodukce/?fondId=1073&amp;zaznamId=1108958&amp;reproId=3779787</v>
      </c>
      <c r="K776">
        <f>IF(LEN(TRIM(E776))=0,"",VLOOKUP(E776,Sheet2!$B$1:$E$19,2,FALSE))</f>
        <v>1073</v>
      </c>
      <c r="L776">
        <f>IF(LEN(TRIM(E776))=0,"",VLOOKUP(E776,Sheet2!$B$1:$E$19,3,FALSE))</f>
        <v>1108958</v>
      </c>
      <c r="M776">
        <f>IF(LEN(TRIM(E776))=0,"",VLOOKUP(E776,Sheet2!$B$1:$E$19,4,FALSE))+(F776-1)</f>
        <v>3779787</v>
      </c>
    </row>
    <row r="777" spans="1:17" s="1" customFormat="1" ht="15" customHeight="1" x14ac:dyDescent="0.25">
      <c r="A777" s="28" t="s">
        <v>206</v>
      </c>
      <c r="B777" s="28" t="s">
        <v>7</v>
      </c>
      <c r="C777" s="6" t="s">
        <v>2655</v>
      </c>
      <c r="D777" s="1" t="s">
        <v>454</v>
      </c>
      <c r="E777" s="1">
        <v>2173</v>
      </c>
      <c r="F777" s="28">
        <v>222</v>
      </c>
      <c r="G777" s="9">
        <v>49</v>
      </c>
      <c r="H777" s="1" t="s">
        <v>3073</v>
      </c>
      <c r="I777" s="1" t="s">
        <v>3073</v>
      </c>
      <c r="J777" t="str">
        <f t="shared" si="12"/>
        <v>http://www.badatelna.eu/reprodukce/?fondId=1073&amp;zaznamId=1108959&amp;reproId=3780215</v>
      </c>
      <c r="K777">
        <f>IF(LEN(TRIM(E777))=0,"",VLOOKUP(E777,Sheet2!$B$1:$E$19,2,FALSE))</f>
        <v>1073</v>
      </c>
      <c r="L777">
        <f>IF(LEN(TRIM(E777))=0,"",VLOOKUP(E777,Sheet2!$B$1:$E$19,3,FALSE))</f>
        <v>1108959</v>
      </c>
      <c r="M777">
        <f>IF(LEN(TRIM(E777))=0,"",VLOOKUP(E777,Sheet2!$B$1:$E$19,4,FALSE))+(F777-1)</f>
        <v>3780215</v>
      </c>
      <c r="N777"/>
      <c r="O777"/>
      <c r="P777"/>
      <c r="Q777"/>
    </row>
    <row r="778" spans="1:17" s="1" customFormat="1" ht="15" customHeight="1" x14ac:dyDescent="0.25">
      <c r="A778" s="28" t="s">
        <v>206</v>
      </c>
      <c r="B778" s="28" t="s">
        <v>7</v>
      </c>
      <c r="C778" s="6" t="s">
        <v>2916</v>
      </c>
      <c r="D778" s="1" t="s">
        <v>454</v>
      </c>
      <c r="E778" s="1">
        <v>2173</v>
      </c>
      <c r="F778" s="28">
        <v>213</v>
      </c>
      <c r="G778" s="9" t="s">
        <v>2915</v>
      </c>
      <c r="H778" s="1" t="s">
        <v>3073</v>
      </c>
      <c r="I778" s="1" t="s">
        <v>3073</v>
      </c>
      <c r="J778" t="str">
        <f t="shared" si="12"/>
        <v>http://www.badatelna.eu/reprodukce/?fondId=1073&amp;zaznamId=1108959&amp;reproId=3780206</v>
      </c>
      <c r="K778">
        <f>IF(LEN(TRIM(E778))=0,"",VLOOKUP(E778,Sheet2!$B$1:$E$19,2,FALSE))</f>
        <v>1073</v>
      </c>
      <c r="L778">
        <f>IF(LEN(TRIM(E778))=0,"",VLOOKUP(E778,Sheet2!$B$1:$E$19,3,FALSE))</f>
        <v>1108959</v>
      </c>
      <c r="M778">
        <f>IF(LEN(TRIM(E778))=0,"",VLOOKUP(E778,Sheet2!$B$1:$E$19,4,FALSE))+(F778-1)</f>
        <v>3780206</v>
      </c>
    </row>
    <row r="779" spans="1:17" s="1" customFormat="1" ht="15" customHeight="1" x14ac:dyDescent="0.25">
      <c r="A779" s="28" t="s">
        <v>206</v>
      </c>
      <c r="B779" s="28" t="s">
        <v>475</v>
      </c>
      <c r="C779" s="1">
        <v>1859</v>
      </c>
      <c r="D779" s="1" t="s">
        <v>2919</v>
      </c>
      <c r="E779" s="1">
        <v>998</v>
      </c>
      <c r="F779" s="28">
        <v>56</v>
      </c>
      <c r="G779" s="1" t="s">
        <v>2941</v>
      </c>
      <c r="H779" s="1">
        <v>68</v>
      </c>
      <c r="I779" s="1">
        <v>65</v>
      </c>
      <c r="J779" t="str">
        <f t="shared" si="12"/>
        <v>http://www.badatelna.eu/reprodukce/?fondId=241&amp;zaznamId=1133738&amp;reproId=3885702</v>
      </c>
      <c r="K779">
        <f>IF(LEN(TRIM(E779))=0,"",VLOOKUP(E779,Sheet2!$B$1:$E$19,2,FALSE))</f>
        <v>241</v>
      </c>
      <c r="L779">
        <f>IF(LEN(TRIM(E779))=0,"",VLOOKUP(E779,Sheet2!$B$1:$E$19,3,FALSE))</f>
        <v>1133738</v>
      </c>
      <c r="M779">
        <f>IF(LEN(TRIM(E779))=0,"",VLOOKUP(E779,Sheet2!$B$1:$E$19,4,FALSE))+(F779-1)</f>
        <v>3885702</v>
      </c>
    </row>
    <row r="780" spans="1:17" s="1" customFormat="1" ht="15" customHeight="1" x14ac:dyDescent="0.25">
      <c r="A780" s="28" t="s">
        <v>206</v>
      </c>
      <c r="B780" s="28" t="s">
        <v>666</v>
      </c>
      <c r="C780" s="1">
        <v>1889</v>
      </c>
      <c r="D780" s="1" t="s">
        <v>454</v>
      </c>
      <c r="E780" s="1">
        <v>2172</v>
      </c>
      <c r="F780" s="28">
        <v>67</v>
      </c>
      <c r="G780" s="9" t="s">
        <v>3082</v>
      </c>
      <c r="H780" s="1">
        <v>70</v>
      </c>
      <c r="I780" s="1">
        <v>69</v>
      </c>
      <c r="J780" t="str">
        <f t="shared" si="12"/>
        <v>http://www.badatelna.eu/reprodukce/?fondId=1073&amp;zaznamId=1108958&amp;reproId=3779808</v>
      </c>
      <c r="K780">
        <f>IF(LEN(TRIM(E780))=0,"",VLOOKUP(E780,Sheet2!$B$1:$E$19,2,FALSE))</f>
        <v>1073</v>
      </c>
      <c r="L780">
        <f>IF(LEN(TRIM(E780))=0,"",VLOOKUP(E780,Sheet2!$B$1:$E$19,3,FALSE))</f>
        <v>1108958</v>
      </c>
      <c r="M780">
        <f>IF(LEN(TRIM(E780))=0,"",VLOOKUP(E780,Sheet2!$B$1:$E$19,4,FALSE))+(F780-1)</f>
        <v>3779808</v>
      </c>
    </row>
    <row r="781" spans="1:17" s="1" customFormat="1" ht="15" customHeight="1" x14ac:dyDescent="0.25">
      <c r="A781" s="28" t="s">
        <v>206</v>
      </c>
      <c r="B781" s="28" t="s">
        <v>44</v>
      </c>
      <c r="C781" s="6" t="s">
        <v>2635</v>
      </c>
      <c r="D781" s="1" t="s">
        <v>454</v>
      </c>
      <c r="E781" s="1">
        <v>2173</v>
      </c>
      <c r="F781" s="28">
        <v>221</v>
      </c>
      <c r="G781" s="9">
        <v>49</v>
      </c>
      <c r="H781" s="1" t="s">
        <v>3073</v>
      </c>
      <c r="I781" s="1" t="s">
        <v>3073</v>
      </c>
      <c r="J781" t="str">
        <f t="shared" si="12"/>
        <v>http://www.badatelna.eu/reprodukce/?fondId=1073&amp;zaznamId=1108959&amp;reproId=3780214</v>
      </c>
      <c r="K781">
        <f>IF(LEN(TRIM(E781))=0,"",VLOOKUP(E781,Sheet2!$B$1:$E$19,2,FALSE))</f>
        <v>1073</v>
      </c>
      <c r="L781">
        <f>IF(LEN(TRIM(E781))=0,"",VLOOKUP(E781,Sheet2!$B$1:$E$19,3,FALSE))</f>
        <v>1108959</v>
      </c>
      <c r="M781">
        <f>IF(LEN(TRIM(E781))=0,"",VLOOKUP(E781,Sheet2!$B$1:$E$19,4,FALSE))+(F781-1)</f>
        <v>3780214</v>
      </c>
    </row>
    <row r="782" spans="1:17" s="1" customFormat="1" ht="15" customHeight="1" x14ac:dyDescent="0.25">
      <c r="A782" s="28" t="s">
        <v>206</v>
      </c>
      <c r="B782" s="28" t="s">
        <v>854</v>
      </c>
      <c r="C782" s="6" t="s">
        <v>1532</v>
      </c>
      <c r="D782" s="1" t="s">
        <v>454</v>
      </c>
      <c r="E782" s="1">
        <v>2172</v>
      </c>
      <c r="F782" s="28">
        <v>14</v>
      </c>
      <c r="G782" s="9">
        <v>13</v>
      </c>
      <c r="H782" s="1" t="s">
        <v>3073</v>
      </c>
      <c r="I782" s="1" t="s">
        <v>3073</v>
      </c>
      <c r="J782" t="str">
        <f t="shared" si="12"/>
        <v>http://www.badatelna.eu/reprodukce/?fondId=1073&amp;zaznamId=1108958&amp;reproId=3779755</v>
      </c>
      <c r="K782">
        <f>IF(LEN(TRIM(E782))=0,"",VLOOKUP(E782,Sheet2!$B$1:$E$19,2,FALSE))</f>
        <v>1073</v>
      </c>
      <c r="L782">
        <f>IF(LEN(TRIM(E782))=0,"",VLOOKUP(E782,Sheet2!$B$1:$E$19,3,FALSE))</f>
        <v>1108958</v>
      </c>
      <c r="M782">
        <f>IF(LEN(TRIM(E782))=0,"",VLOOKUP(E782,Sheet2!$B$1:$E$19,4,FALSE))+(F782-1)</f>
        <v>3779755</v>
      </c>
    </row>
    <row r="783" spans="1:17" s="1" customFormat="1" ht="15" customHeight="1" x14ac:dyDescent="0.25">
      <c r="A783" s="28" t="s">
        <v>206</v>
      </c>
      <c r="B783" s="28" t="s">
        <v>716</v>
      </c>
      <c r="C783" s="6" t="s">
        <v>1552</v>
      </c>
      <c r="D783" s="1" t="s">
        <v>454</v>
      </c>
      <c r="E783" s="1">
        <v>2172</v>
      </c>
      <c r="F783" s="28">
        <v>18</v>
      </c>
      <c r="G783" s="9">
        <v>17</v>
      </c>
      <c r="H783" s="1" t="s">
        <v>3073</v>
      </c>
      <c r="I783" s="1" t="s">
        <v>3073</v>
      </c>
      <c r="J783" t="str">
        <f t="shared" si="12"/>
        <v>http://www.badatelna.eu/reprodukce/?fondId=1073&amp;zaznamId=1108958&amp;reproId=3779759</v>
      </c>
      <c r="K783">
        <f>IF(LEN(TRIM(E783))=0,"",VLOOKUP(E783,Sheet2!$B$1:$E$19,2,FALSE))</f>
        <v>1073</v>
      </c>
      <c r="L783">
        <f>IF(LEN(TRIM(E783))=0,"",VLOOKUP(E783,Sheet2!$B$1:$E$19,3,FALSE))</f>
        <v>1108958</v>
      </c>
      <c r="M783">
        <f>IF(LEN(TRIM(E783))=0,"",VLOOKUP(E783,Sheet2!$B$1:$E$19,4,FALSE))+(F783-1)</f>
        <v>3779759</v>
      </c>
    </row>
    <row r="784" spans="1:17" s="1" customFormat="1" ht="15" customHeight="1" x14ac:dyDescent="0.25">
      <c r="A784" s="27" t="s">
        <v>206</v>
      </c>
      <c r="B784" s="27" t="s">
        <v>91</v>
      </c>
      <c r="C784" s="5" t="s">
        <v>1144</v>
      </c>
      <c r="D784" s="3" t="s">
        <v>454</v>
      </c>
      <c r="E784" s="3">
        <v>2170</v>
      </c>
      <c r="F784" s="28">
        <v>30</v>
      </c>
      <c r="G784" s="10">
        <v>26</v>
      </c>
      <c r="H784" s="3">
        <v>62</v>
      </c>
      <c r="I784" s="3">
        <v>58</v>
      </c>
      <c r="J784" t="str">
        <f t="shared" si="12"/>
        <v>http://www.badatelna.eu/reprodukce/?fondId=1073&amp;zaznamId=1108956&amp;reproId=3779622</v>
      </c>
      <c r="K784">
        <f>IF(LEN(TRIM(E784))=0,"",VLOOKUP(E784,Sheet2!$B$1:$E$19,2,FALSE))</f>
        <v>1073</v>
      </c>
      <c r="L784">
        <f>IF(LEN(TRIM(E784))=0,"",VLOOKUP(E784,Sheet2!$B$1:$E$19,3,FALSE))</f>
        <v>1108956</v>
      </c>
      <c r="M784">
        <f>IF(LEN(TRIM(E784))=0,"",VLOOKUP(E784,Sheet2!$B$1:$E$19,4,FALSE))+(F784-1)</f>
        <v>3779622</v>
      </c>
    </row>
    <row r="785" spans="1:17" s="1" customFormat="1" ht="15" customHeight="1" x14ac:dyDescent="0.25">
      <c r="A785" s="29" t="s">
        <v>855</v>
      </c>
      <c r="B785" s="29" t="s">
        <v>529</v>
      </c>
      <c r="C785" s="17">
        <v>1882</v>
      </c>
      <c r="D785" s="17" t="s">
        <v>454</v>
      </c>
      <c r="E785" s="17">
        <v>2172</v>
      </c>
      <c r="F785" s="29">
        <v>29</v>
      </c>
      <c r="G785" s="20" t="s">
        <v>2758</v>
      </c>
      <c r="H785" s="17">
        <v>30</v>
      </c>
      <c r="I785" s="17">
        <v>29</v>
      </c>
      <c r="J785" t="str">
        <f t="shared" si="12"/>
        <v>http://www.badatelna.eu/reprodukce/?fondId=1073&amp;zaznamId=1108958&amp;reproId=3779770</v>
      </c>
      <c r="K785">
        <f>IF(LEN(TRIM(E785))=0,"",VLOOKUP(E785,Sheet2!$B$1:$E$19,2,FALSE))</f>
        <v>1073</v>
      </c>
      <c r="L785">
        <f>IF(LEN(TRIM(E785))=0,"",VLOOKUP(E785,Sheet2!$B$1:$E$19,3,FALSE))</f>
        <v>1108958</v>
      </c>
      <c r="M785">
        <f>IF(LEN(TRIM(E785))=0,"",VLOOKUP(E785,Sheet2!$B$1:$E$19,4,FALSE))+(F785-1)</f>
        <v>3779770</v>
      </c>
      <c r="N785"/>
      <c r="O785"/>
      <c r="P785"/>
      <c r="Q785"/>
    </row>
    <row r="786" spans="1:17" s="1" customFormat="1" ht="15" customHeight="1" x14ac:dyDescent="0.2">
      <c r="A786" s="32" t="s">
        <v>3117</v>
      </c>
      <c r="B786" s="31" t="s">
        <v>0</v>
      </c>
      <c r="C786" s="7" t="s">
        <v>2254</v>
      </c>
      <c r="D786" s="1" t="s">
        <v>454</v>
      </c>
      <c r="E786" s="1">
        <v>2173</v>
      </c>
      <c r="F786" s="31">
        <v>197</v>
      </c>
      <c r="G786" s="12">
        <v>3</v>
      </c>
      <c r="H786" s="1" t="s">
        <v>3073</v>
      </c>
      <c r="I786" s="1" t="s">
        <v>3073</v>
      </c>
      <c r="J786" t="str">
        <f t="shared" si="12"/>
        <v>http://www.badatelna.eu/reprodukce/?fondId=1073&amp;zaznamId=1108959&amp;reproId=3780190</v>
      </c>
      <c r="K786">
        <f>IF(LEN(TRIM(E786))=0,"",VLOOKUP(E786,Sheet2!$B$1:$E$19,2,FALSE))</f>
        <v>1073</v>
      </c>
      <c r="L786">
        <f>IF(LEN(TRIM(E786))=0,"",VLOOKUP(E786,Sheet2!$B$1:$E$19,3,FALSE))</f>
        <v>1108959</v>
      </c>
      <c r="M786">
        <f>IF(LEN(TRIM(E786))=0,"",VLOOKUP(E786,Sheet2!$B$1:$E$19,4,FALSE))+(F786-1)</f>
        <v>3780190</v>
      </c>
    </row>
    <row r="787" spans="1:17" s="1" customFormat="1" ht="15" customHeight="1" x14ac:dyDescent="0.25">
      <c r="A787" s="28" t="s">
        <v>3043</v>
      </c>
      <c r="B787" s="28" t="s">
        <v>493</v>
      </c>
      <c r="C787" s="1">
        <v>1865</v>
      </c>
      <c r="D787" s="1" t="s">
        <v>2919</v>
      </c>
      <c r="E787" s="1">
        <v>999</v>
      </c>
      <c r="F787" s="28">
        <v>87</v>
      </c>
      <c r="G787" s="1">
        <v>8</v>
      </c>
      <c r="H787" s="1">
        <v>99</v>
      </c>
      <c r="I787" s="1">
        <v>158</v>
      </c>
      <c r="J787" t="str">
        <f t="shared" si="12"/>
        <v>http://www.badatelna.eu/reprodukce/?fondId=241&amp;zaznamId=1133739&amp;reproId=3885816</v>
      </c>
      <c r="K787">
        <f>IF(LEN(TRIM(E787))=0,"",VLOOKUP(E787,Sheet2!$B$1:$E$19,2,FALSE))</f>
        <v>241</v>
      </c>
      <c r="L787">
        <f>IF(LEN(TRIM(E787))=0,"",VLOOKUP(E787,Sheet2!$B$1:$E$19,3,FALSE))</f>
        <v>1133739</v>
      </c>
      <c r="M787">
        <f>IF(LEN(TRIM(E787))=0,"",VLOOKUP(E787,Sheet2!$B$1:$E$19,4,FALSE))+(F787-1)</f>
        <v>3885816</v>
      </c>
    </row>
    <row r="788" spans="1:17" s="1" customFormat="1" ht="15" customHeight="1" x14ac:dyDescent="0.25">
      <c r="A788" s="29" t="s">
        <v>2817</v>
      </c>
      <c r="B788" s="28" t="s">
        <v>184</v>
      </c>
      <c r="C788" s="6" t="s">
        <v>2816</v>
      </c>
      <c r="D788" s="1" t="s">
        <v>454</v>
      </c>
      <c r="E788" s="1">
        <v>2173</v>
      </c>
      <c r="F788" s="28">
        <v>203</v>
      </c>
      <c r="G788" s="1">
        <v>16</v>
      </c>
      <c r="H788" s="1" t="s">
        <v>3073</v>
      </c>
      <c r="I788" s="1" t="s">
        <v>3073</v>
      </c>
      <c r="J788" t="str">
        <f t="shared" si="12"/>
        <v>http://www.badatelna.eu/reprodukce/?fondId=1073&amp;zaznamId=1108959&amp;reproId=3780196</v>
      </c>
      <c r="K788">
        <f>IF(LEN(TRIM(E788))=0,"",VLOOKUP(E788,Sheet2!$B$1:$E$19,2,FALSE))</f>
        <v>1073</v>
      </c>
      <c r="L788">
        <f>IF(LEN(TRIM(E788))=0,"",VLOOKUP(E788,Sheet2!$B$1:$E$19,3,FALSE))</f>
        <v>1108959</v>
      </c>
      <c r="M788">
        <f>IF(LEN(TRIM(E788))=0,"",VLOOKUP(E788,Sheet2!$B$1:$E$19,4,FALSE))+(F788-1)</f>
        <v>3780196</v>
      </c>
    </row>
    <row r="789" spans="1:17" s="1" customFormat="1" ht="15" customHeight="1" x14ac:dyDescent="0.25">
      <c r="A789" s="28" t="s">
        <v>856</v>
      </c>
      <c r="B789" s="28" t="s">
        <v>373</v>
      </c>
      <c r="C789" s="6" t="s">
        <v>1930</v>
      </c>
      <c r="D789" s="1" t="s">
        <v>454</v>
      </c>
      <c r="E789" s="1">
        <v>2172</v>
      </c>
      <c r="F789" s="28">
        <v>217</v>
      </c>
      <c r="G789" s="9">
        <v>201</v>
      </c>
      <c r="H789" s="1" t="s">
        <v>3073</v>
      </c>
      <c r="I789" s="1" t="s">
        <v>3073</v>
      </c>
      <c r="J789" t="str">
        <f t="shared" si="12"/>
        <v>http://www.badatelna.eu/reprodukce/?fondId=1073&amp;zaznamId=1108958&amp;reproId=3779958</v>
      </c>
      <c r="K789">
        <f>IF(LEN(TRIM(E789))=0,"",VLOOKUP(E789,Sheet2!$B$1:$E$19,2,FALSE))</f>
        <v>1073</v>
      </c>
      <c r="L789">
        <f>IF(LEN(TRIM(E789))=0,"",VLOOKUP(E789,Sheet2!$B$1:$E$19,3,FALSE))</f>
        <v>1108958</v>
      </c>
      <c r="M789">
        <f>IF(LEN(TRIM(E789))=0,"",VLOOKUP(E789,Sheet2!$B$1:$E$19,4,FALSE))+(F789-1)</f>
        <v>3779958</v>
      </c>
    </row>
    <row r="790" spans="1:17" s="1" customFormat="1" ht="15" customHeight="1" x14ac:dyDescent="0.25">
      <c r="A790" s="28" t="s">
        <v>856</v>
      </c>
      <c r="B790" s="28" t="s">
        <v>359</v>
      </c>
      <c r="C790" s="6" t="s">
        <v>1896</v>
      </c>
      <c r="D790" s="1" t="s">
        <v>454</v>
      </c>
      <c r="E790" s="1">
        <v>2172</v>
      </c>
      <c r="F790" s="28">
        <v>201</v>
      </c>
      <c r="G790" s="9">
        <v>188</v>
      </c>
      <c r="H790" s="1" t="s">
        <v>3073</v>
      </c>
      <c r="I790" s="1" t="s">
        <v>3073</v>
      </c>
      <c r="J790" t="str">
        <f t="shared" si="12"/>
        <v>http://www.badatelna.eu/reprodukce/?fondId=1073&amp;zaznamId=1108958&amp;reproId=3779942</v>
      </c>
      <c r="K790">
        <f>IF(LEN(TRIM(E790))=0,"",VLOOKUP(E790,Sheet2!$B$1:$E$19,2,FALSE))</f>
        <v>1073</v>
      </c>
      <c r="L790">
        <f>IF(LEN(TRIM(E790))=0,"",VLOOKUP(E790,Sheet2!$B$1:$E$19,3,FALSE))</f>
        <v>1108958</v>
      </c>
      <c r="M790">
        <f>IF(LEN(TRIM(E790))=0,"",VLOOKUP(E790,Sheet2!$B$1:$E$19,4,FALSE))+(F790-1)</f>
        <v>3779942</v>
      </c>
    </row>
    <row r="791" spans="1:17" s="1" customFormat="1" ht="15" customHeight="1" x14ac:dyDescent="0.25">
      <c r="A791" s="28" t="s">
        <v>3046</v>
      </c>
      <c r="B791" s="28" t="s">
        <v>466</v>
      </c>
      <c r="C791" s="1">
        <v>1866</v>
      </c>
      <c r="D791" s="1" t="s">
        <v>2919</v>
      </c>
      <c r="E791" s="1">
        <v>999</v>
      </c>
      <c r="F791" s="28">
        <v>90</v>
      </c>
      <c r="G791" s="1">
        <v>11</v>
      </c>
      <c r="H791" s="1">
        <v>99</v>
      </c>
      <c r="I791" s="1">
        <v>158</v>
      </c>
      <c r="J791" t="str">
        <f t="shared" si="12"/>
        <v>http://www.badatelna.eu/reprodukce/?fondId=241&amp;zaznamId=1133739&amp;reproId=3885819</v>
      </c>
      <c r="K791">
        <f>IF(LEN(TRIM(E791))=0,"",VLOOKUP(E791,Sheet2!$B$1:$E$19,2,FALSE))</f>
        <v>241</v>
      </c>
      <c r="L791">
        <f>IF(LEN(TRIM(E791))=0,"",VLOOKUP(E791,Sheet2!$B$1:$E$19,3,FALSE))</f>
        <v>1133739</v>
      </c>
      <c r="M791">
        <f>IF(LEN(TRIM(E791))=0,"",VLOOKUP(E791,Sheet2!$B$1:$E$19,4,FALSE))+(F791-1)</f>
        <v>3885819</v>
      </c>
      <c r="N791"/>
      <c r="O791"/>
      <c r="P791"/>
      <c r="Q791"/>
    </row>
    <row r="792" spans="1:17" s="1" customFormat="1" ht="15" customHeight="1" x14ac:dyDescent="0.25">
      <c r="A792" s="27" t="s">
        <v>93</v>
      </c>
      <c r="B792" s="27" t="s">
        <v>493</v>
      </c>
      <c r="C792" s="5" t="s">
        <v>1149</v>
      </c>
      <c r="D792" s="3" t="s">
        <v>454</v>
      </c>
      <c r="E792" s="3">
        <v>2170</v>
      </c>
      <c r="F792" s="28">
        <v>13</v>
      </c>
      <c r="G792" s="10">
        <v>9</v>
      </c>
      <c r="H792" s="3">
        <v>62</v>
      </c>
      <c r="I792" s="3">
        <v>58</v>
      </c>
      <c r="J792" t="str">
        <f t="shared" si="12"/>
        <v>http://www.badatelna.eu/reprodukce/?fondId=1073&amp;zaznamId=1108956&amp;reproId=3779605</v>
      </c>
      <c r="K792">
        <f>IF(LEN(TRIM(E792))=0,"",VLOOKUP(E792,Sheet2!$B$1:$E$19,2,FALSE))</f>
        <v>1073</v>
      </c>
      <c r="L792">
        <f>IF(LEN(TRIM(E792))=0,"",VLOOKUP(E792,Sheet2!$B$1:$E$19,3,FALSE))</f>
        <v>1108956</v>
      </c>
      <c r="M792">
        <f>IF(LEN(TRIM(E792))=0,"",VLOOKUP(E792,Sheet2!$B$1:$E$19,4,FALSE))+(F792-1)</f>
        <v>3779605</v>
      </c>
    </row>
    <row r="793" spans="1:17" s="1" customFormat="1" ht="15" customHeight="1" x14ac:dyDescent="0.25">
      <c r="A793" s="28" t="s">
        <v>93</v>
      </c>
      <c r="B793" s="28" t="s">
        <v>84</v>
      </c>
      <c r="C793" s="15">
        <v>8220</v>
      </c>
      <c r="D793" s="1" t="s">
        <v>454</v>
      </c>
      <c r="E793" s="1">
        <v>2172</v>
      </c>
      <c r="F793" s="28">
        <v>202</v>
      </c>
      <c r="G793" s="9">
        <v>189</v>
      </c>
      <c r="H793" s="1" t="s">
        <v>3073</v>
      </c>
      <c r="I793" s="1" t="s">
        <v>3073</v>
      </c>
      <c r="J793" t="str">
        <f t="shared" si="12"/>
        <v>http://www.badatelna.eu/reprodukce/?fondId=1073&amp;zaznamId=1108958&amp;reproId=3779943</v>
      </c>
      <c r="K793">
        <f>IF(LEN(TRIM(E793))=0,"",VLOOKUP(E793,Sheet2!$B$1:$E$19,2,FALSE))</f>
        <v>1073</v>
      </c>
      <c r="L793">
        <f>IF(LEN(TRIM(E793))=0,"",VLOOKUP(E793,Sheet2!$B$1:$E$19,3,FALSE))</f>
        <v>1108958</v>
      </c>
      <c r="M793">
        <f>IF(LEN(TRIM(E793))=0,"",VLOOKUP(E793,Sheet2!$B$1:$E$19,4,FALSE))+(F793-1)</f>
        <v>3779943</v>
      </c>
    </row>
    <row r="794" spans="1:17" s="1" customFormat="1" ht="15" customHeight="1" x14ac:dyDescent="0.25">
      <c r="A794" s="28" t="s">
        <v>93</v>
      </c>
      <c r="B794" s="28" t="s">
        <v>410</v>
      </c>
      <c r="C794" s="6" t="s">
        <v>2656</v>
      </c>
      <c r="D794" s="1" t="s">
        <v>454</v>
      </c>
      <c r="E794" s="1">
        <v>2173</v>
      </c>
      <c r="F794" s="28">
        <v>222</v>
      </c>
      <c r="G794" s="9">
        <v>50</v>
      </c>
      <c r="H794" s="1" t="s">
        <v>3073</v>
      </c>
      <c r="I794" s="1" t="s">
        <v>3073</v>
      </c>
      <c r="J794" t="str">
        <f t="shared" si="12"/>
        <v>http://www.badatelna.eu/reprodukce/?fondId=1073&amp;zaznamId=1108959&amp;reproId=3780215</v>
      </c>
      <c r="K794">
        <f>IF(LEN(TRIM(E794))=0,"",VLOOKUP(E794,Sheet2!$B$1:$E$19,2,FALSE))</f>
        <v>1073</v>
      </c>
      <c r="L794">
        <f>IF(LEN(TRIM(E794))=0,"",VLOOKUP(E794,Sheet2!$B$1:$E$19,3,FALSE))</f>
        <v>1108959</v>
      </c>
      <c r="M794">
        <f>IF(LEN(TRIM(E794))=0,"",VLOOKUP(E794,Sheet2!$B$1:$E$19,4,FALSE))+(F794-1)</f>
        <v>3780215</v>
      </c>
    </row>
    <row r="795" spans="1:17" s="1" customFormat="1" ht="15" customHeight="1" x14ac:dyDescent="0.25">
      <c r="A795" s="28" t="s">
        <v>93</v>
      </c>
      <c r="B795" s="28" t="s">
        <v>80</v>
      </c>
      <c r="C795" s="6" t="s">
        <v>2345</v>
      </c>
      <c r="D795" s="1" t="s">
        <v>454</v>
      </c>
      <c r="E795" s="1">
        <v>2173</v>
      </c>
      <c r="F795" s="28">
        <v>200</v>
      </c>
      <c r="G795" s="9">
        <v>10</v>
      </c>
      <c r="H795" s="1" t="s">
        <v>3073</v>
      </c>
      <c r="I795" s="1" t="s">
        <v>3073</v>
      </c>
      <c r="J795" t="str">
        <f t="shared" si="12"/>
        <v>http://www.badatelna.eu/reprodukce/?fondId=1073&amp;zaznamId=1108959&amp;reproId=3780193</v>
      </c>
      <c r="K795">
        <f>IF(LEN(TRIM(E795))=0,"",VLOOKUP(E795,Sheet2!$B$1:$E$19,2,FALSE))</f>
        <v>1073</v>
      </c>
      <c r="L795">
        <f>IF(LEN(TRIM(E795))=0,"",VLOOKUP(E795,Sheet2!$B$1:$E$19,3,FALSE))</f>
        <v>1108959</v>
      </c>
      <c r="M795">
        <f>IF(LEN(TRIM(E795))=0,"",VLOOKUP(E795,Sheet2!$B$1:$E$19,4,FALSE))+(F795-1)</f>
        <v>3780193</v>
      </c>
      <c r="N795"/>
      <c r="O795"/>
      <c r="P795"/>
      <c r="Q795"/>
    </row>
    <row r="796" spans="1:17" s="1" customFormat="1" ht="15" customHeight="1" x14ac:dyDescent="0.25">
      <c r="A796" s="28" t="s">
        <v>93</v>
      </c>
      <c r="B796" s="28" t="s">
        <v>2878</v>
      </c>
      <c r="C796" s="6" t="s">
        <v>2879</v>
      </c>
      <c r="D796" s="1" t="s">
        <v>454</v>
      </c>
      <c r="E796" s="1">
        <v>2173</v>
      </c>
      <c r="F796" s="28">
        <v>210</v>
      </c>
      <c r="G796" s="9" t="s">
        <v>2874</v>
      </c>
      <c r="H796" s="1" t="s">
        <v>3073</v>
      </c>
      <c r="I796" s="1" t="s">
        <v>3073</v>
      </c>
      <c r="J796" t="str">
        <f t="shared" si="12"/>
        <v>http://www.badatelna.eu/reprodukce/?fondId=1073&amp;zaznamId=1108959&amp;reproId=3780203</v>
      </c>
      <c r="K796">
        <f>IF(LEN(TRIM(E796))=0,"",VLOOKUP(E796,Sheet2!$B$1:$E$19,2,FALSE))</f>
        <v>1073</v>
      </c>
      <c r="L796">
        <f>IF(LEN(TRIM(E796))=0,"",VLOOKUP(E796,Sheet2!$B$1:$E$19,3,FALSE))</f>
        <v>1108959</v>
      </c>
      <c r="M796">
        <f>IF(LEN(TRIM(E796))=0,"",VLOOKUP(E796,Sheet2!$B$1:$E$19,4,FALSE))+(F796-1)</f>
        <v>3780203</v>
      </c>
    </row>
    <row r="797" spans="1:17" s="1" customFormat="1" ht="15" customHeight="1" x14ac:dyDescent="0.25">
      <c r="A797" s="28" t="s">
        <v>93</v>
      </c>
      <c r="B797" s="28" t="s">
        <v>49</v>
      </c>
      <c r="C797" s="6" t="s">
        <v>2287</v>
      </c>
      <c r="D797" s="1" t="s">
        <v>454</v>
      </c>
      <c r="E797" s="1">
        <v>2173</v>
      </c>
      <c r="F797" s="28">
        <v>198</v>
      </c>
      <c r="G797" s="9">
        <v>5</v>
      </c>
      <c r="H797" s="1" t="s">
        <v>3073</v>
      </c>
      <c r="I797" s="1" t="s">
        <v>3073</v>
      </c>
      <c r="J797" t="str">
        <f t="shared" si="12"/>
        <v>http://www.badatelna.eu/reprodukce/?fondId=1073&amp;zaznamId=1108959&amp;reproId=3780191</v>
      </c>
      <c r="K797">
        <f>IF(LEN(TRIM(E797))=0,"",VLOOKUP(E797,Sheet2!$B$1:$E$19,2,FALSE))</f>
        <v>1073</v>
      </c>
      <c r="L797">
        <f>IF(LEN(TRIM(E797))=0,"",VLOOKUP(E797,Sheet2!$B$1:$E$19,3,FALSE))</f>
        <v>1108959</v>
      </c>
      <c r="M797">
        <f>IF(LEN(TRIM(E797))=0,"",VLOOKUP(E797,Sheet2!$B$1:$E$19,4,FALSE))+(F797-1)</f>
        <v>3780191</v>
      </c>
    </row>
    <row r="798" spans="1:17" s="1" customFormat="1" ht="15" customHeight="1" x14ac:dyDescent="0.25">
      <c r="A798" s="28" t="s">
        <v>93</v>
      </c>
      <c r="B798" s="28" t="s">
        <v>49</v>
      </c>
      <c r="C798" s="6" t="s">
        <v>2047</v>
      </c>
      <c r="D798" s="1" t="s">
        <v>454</v>
      </c>
      <c r="E798" s="1">
        <v>2173</v>
      </c>
      <c r="F798" s="28">
        <v>181</v>
      </c>
      <c r="G798" s="9">
        <v>9</v>
      </c>
      <c r="H798" s="1">
        <v>187</v>
      </c>
      <c r="I798" s="1">
        <v>417</v>
      </c>
      <c r="J798" t="str">
        <f t="shared" si="12"/>
        <v>http://www.badatelna.eu/reprodukce/?fondId=1073&amp;zaznamId=1108959&amp;reproId=3780174</v>
      </c>
      <c r="K798">
        <f>IF(LEN(TRIM(E798))=0,"",VLOOKUP(E798,Sheet2!$B$1:$E$19,2,FALSE))</f>
        <v>1073</v>
      </c>
      <c r="L798">
        <f>IF(LEN(TRIM(E798))=0,"",VLOOKUP(E798,Sheet2!$B$1:$E$19,3,FALSE))</f>
        <v>1108959</v>
      </c>
      <c r="M798">
        <f>IF(LEN(TRIM(E798))=0,"",VLOOKUP(E798,Sheet2!$B$1:$E$19,4,FALSE))+(F798-1)</f>
        <v>3780174</v>
      </c>
    </row>
    <row r="799" spans="1:17" s="1" customFormat="1" ht="15" customHeight="1" x14ac:dyDescent="0.25">
      <c r="A799" s="28" t="s">
        <v>93</v>
      </c>
      <c r="B799" s="28" t="s">
        <v>49</v>
      </c>
      <c r="C799" s="6" t="s">
        <v>2047</v>
      </c>
      <c r="D799" s="1" t="s">
        <v>454</v>
      </c>
      <c r="E799" s="1">
        <v>2173</v>
      </c>
      <c r="F799" s="28">
        <v>211</v>
      </c>
      <c r="G799" s="9" t="s">
        <v>2881</v>
      </c>
      <c r="H799" s="1" t="s">
        <v>3073</v>
      </c>
      <c r="I799" s="1" t="s">
        <v>3073</v>
      </c>
      <c r="J799" t="str">
        <f t="shared" si="12"/>
        <v>http://www.badatelna.eu/reprodukce/?fondId=1073&amp;zaznamId=1108959&amp;reproId=3780204</v>
      </c>
      <c r="K799">
        <f>IF(LEN(TRIM(E799))=0,"",VLOOKUP(E799,Sheet2!$B$1:$E$19,2,FALSE))</f>
        <v>1073</v>
      </c>
      <c r="L799">
        <f>IF(LEN(TRIM(E799))=0,"",VLOOKUP(E799,Sheet2!$B$1:$E$19,3,FALSE))</f>
        <v>1108959</v>
      </c>
      <c r="M799">
        <f>IF(LEN(TRIM(E799))=0,"",VLOOKUP(E799,Sheet2!$B$1:$E$19,4,FALSE))+(F799-1)</f>
        <v>3780204</v>
      </c>
    </row>
    <row r="800" spans="1:17" s="1" customFormat="1" ht="15" customHeight="1" x14ac:dyDescent="0.25">
      <c r="A800" s="28" t="s">
        <v>93</v>
      </c>
      <c r="B800" s="28" t="s">
        <v>263</v>
      </c>
      <c r="C800" s="1">
        <v>1858</v>
      </c>
      <c r="D800" s="1" t="s">
        <v>2919</v>
      </c>
      <c r="E800" s="1">
        <v>998</v>
      </c>
      <c r="F800" s="28">
        <v>53</v>
      </c>
      <c r="G800" s="1">
        <v>51</v>
      </c>
      <c r="H800" s="1">
        <v>68</v>
      </c>
      <c r="I800" s="1">
        <v>65</v>
      </c>
      <c r="J800" t="str">
        <f t="shared" si="12"/>
        <v>http://www.badatelna.eu/reprodukce/?fondId=241&amp;zaznamId=1133738&amp;reproId=3885699</v>
      </c>
      <c r="K800">
        <f>IF(LEN(TRIM(E800))=0,"",VLOOKUP(E800,Sheet2!$B$1:$E$19,2,FALSE))</f>
        <v>241</v>
      </c>
      <c r="L800">
        <f>IF(LEN(TRIM(E800))=0,"",VLOOKUP(E800,Sheet2!$B$1:$E$19,3,FALSE))</f>
        <v>1133738</v>
      </c>
      <c r="M800">
        <f>IF(LEN(TRIM(E800))=0,"",VLOOKUP(E800,Sheet2!$B$1:$E$19,4,FALSE))+(F800-1)</f>
        <v>3885699</v>
      </c>
    </row>
    <row r="801" spans="1:17" s="1" customFormat="1" ht="15" customHeight="1" x14ac:dyDescent="0.25">
      <c r="A801" s="28" t="s">
        <v>93</v>
      </c>
      <c r="B801" s="28" t="s">
        <v>535</v>
      </c>
      <c r="C801" s="1">
        <v>1866</v>
      </c>
      <c r="D801" s="1" t="s">
        <v>2919</v>
      </c>
      <c r="E801" s="1">
        <v>999</v>
      </c>
      <c r="F801" s="28">
        <v>93</v>
      </c>
      <c r="G801" s="1">
        <v>14</v>
      </c>
      <c r="H801" s="1">
        <v>99</v>
      </c>
      <c r="I801" s="1">
        <v>158</v>
      </c>
      <c r="J801" t="str">
        <f t="shared" si="12"/>
        <v>http://www.badatelna.eu/reprodukce/?fondId=241&amp;zaznamId=1133739&amp;reproId=3885822</v>
      </c>
      <c r="K801">
        <f>IF(LEN(TRIM(E801))=0,"",VLOOKUP(E801,Sheet2!$B$1:$E$19,2,FALSE))</f>
        <v>241</v>
      </c>
      <c r="L801">
        <f>IF(LEN(TRIM(E801))=0,"",VLOOKUP(E801,Sheet2!$B$1:$E$19,3,FALSE))</f>
        <v>1133739</v>
      </c>
      <c r="M801">
        <f>IF(LEN(TRIM(E801))=0,"",VLOOKUP(E801,Sheet2!$B$1:$E$19,4,FALSE))+(F801-1)</f>
        <v>3885822</v>
      </c>
    </row>
    <row r="802" spans="1:17" s="1" customFormat="1" ht="15" customHeight="1" x14ac:dyDescent="0.25">
      <c r="A802" s="28" t="s">
        <v>93</v>
      </c>
      <c r="B802" s="28" t="s">
        <v>285</v>
      </c>
      <c r="C802" s="6" t="s">
        <v>2048</v>
      </c>
      <c r="D802" s="1" t="s">
        <v>454</v>
      </c>
      <c r="E802" s="1">
        <v>2173</v>
      </c>
      <c r="F802" s="28">
        <v>178</v>
      </c>
      <c r="G802" s="9">
        <v>3</v>
      </c>
      <c r="H802" s="1">
        <v>187</v>
      </c>
      <c r="I802" s="1">
        <v>417</v>
      </c>
      <c r="J802" t="str">
        <f t="shared" si="12"/>
        <v>http://www.badatelna.eu/reprodukce/?fondId=1073&amp;zaznamId=1108959&amp;reproId=3780171</v>
      </c>
      <c r="K802">
        <f>IF(LEN(TRIM(E802))=0,"",VLOOKUP(E802,Sheet2!$B$1:$E$19,2,FALSE))</f>
        <v>1073</v>
      </c>
      <c r="L802">
        <f>IF(LEN(TRIM(E802))=0,"",VLOOKUP(E802,Sheet2!$B$1:$E$19,3,FALSE))</f>
        <v>1108959</v>
      </c>
      <c r="M802">
        <f>IF(LEN(TRIM(E802))=0,"",VLOOKUP(E802,Sheet2!$B$1:$E$19,4,FALSE))+(F802-1)</f>
        <v>3780171</v>
      </c>
    </row>
    <row r="803" spans="1:17" s="1" customFormat="1" ht="15" customHeight="1" x14ac:dyDescent="0.25">
      <c r="A803" s="28" t="s">
        <v>93</v>
      </c>
      <c r="B803" s="28" t="s">
        <v>22</v>
      </c>
      <c r="C803" s="1">
        <v>1865</v>
      </c>
      <c r="D803" s="1" t="s">
        <v>2919</v>
      </c>
      <c r="E803" s="1">
        <v>999</v>
      </c>
      <c r="F803" s="28">
        <v>89</v>
      </c>
      <c r="G803" s="1">
        <v>10</v>
      </c>
      <c r="H803" s="1">
        <v>99</v>
      </c>
      <c r="I803" s="1">
        <v>158</v>
      </c>
      <c r="J803" t="str">
        <f t="shared" si="12"/>
        <v>http://www.badatelna.eu/reprodukce/?fondId=241&amp;zaznamId=1133739&amp;reproId=3885818</v>
      </c>
      <c r="K803">
        <f>IF(LEN(TRIM(E803))=0,"",VLOOKUP(E803,Sheet2!$B$1:$E$19,2,FALSE))</f>
        <v>241</v>
      </c>
      <c r="L803">
        <f>IF(LEN(TRIM(E803))=0,"",VLOOKUP(E803,Sheet2!$B$1:$E$19,3,FALSE))</f>
        <v>1133739</v>
      </c>
      <c r="M803">
        <f>IF(LEN(TRIM(E803))=0,"",VLOOKUP(E803,Sheet2!$B$1:$E$19,4,FALSE))+(F803-1)</f>
        <v>3885818</v>
      </c>
    </row>
    <row r="804" spans="1:17" s="1" customFormat="1" ht="15" customHeight="1" x14ac:dyDescent="0.25">
      <c r="A804" s="28" t="s">
        <v>93</v>
      </c>
      <c r="B804" s="28" t="s">
        <v>22</v>
      </c>
      <c r="C804" s="6" t="s">
        <v>2421</v>
      </c>
      <c r="D804" s="1" t="s">
        <v>454</v>
      </c>
      <c r="E804" s="1">
        <v>2173</v>
      </c>
      <c r="F804" s="28">
        <v>203</v>
      </c>
      <c r="G804" s="1">
        <v>16</v>
      </c>
      <c r="H804" s="1" t="s">
        <v>3073</v>
      </c>
      <c r="I804" s="1" t="s">
        <v>3073</v>
      </c>
      <c r="J804" t="str">
        <f t="shared" si="12"/>
        <v>http://www.badatelna.eu/reprodukce/?fondId=1073&amp;zaznamId=1108959&amp;reproId=3780196</v>
      </c>
      <c r="K804">
        <f>IF(LEN(TRIM(E804))=0,"",VLOOKUP(E804,Sheet2!$B$1:$E$19,2,FALSE))</f>
        <v>1073</v>
      </c>
      <c r="L804">
        <f>IF(LEN(TRIM(E804))=0,"",VLOOKUP(E804,Sheet2!$B$1:$E$19,3,FALSE))</f>
        <v>1108959</v>
      </c>
      <c r="M804">
        <f>IF(LEN(TRIM(E804))=0,"",VLOOKUP(E804,Sheet2!$B$1:$E$19,4,FALSE))+(F804-1)</f>
        <v>3780196</v>
      </c>
      <c r="N804"/>
      <c r="O804"/>
      <c r="P804"/>
      <c r="Q804"/>
    </row>
    <row r="805" spans="1:17" s="1" customFormat="1" ht="15" customHeight="1" x14ac:dyDescent="0.25">
      <c r="A805" s="27" t="s">
        <v>93</v>
      </c>
      <c r="B805" s="27" t="s">
        <v>22</v>
      </c>
      <c r="C805" s="5" t="s">
        <v>1150</v>
      </c>
      <c r="D805" s="3" t="s">
        <v>454</v>
      </c>
      <c r="E805" s="3">
        <v>2170</v>
      </c>
      <c r="F805" s="28">
        <v>15</v>
      </c>
      <c r="G805" s="10">
        <v>11</v>
      </c>
      <c r="H805" s="3">
        <v>62</v>
      </c>
      <c r="I805" s="3">
        <v>58</v>
      </c>
      <c r="J805" t="str">
        <f t="shared" si="12"/>
        <v>http://www.badatelna.eu/reprodukce/?fondId=1073&amp;zaznamId=1108956&amp;reproId=3779607</v>
      </c>
      <c r="K805">
        <f>IF(LEN(TRIM(E805))=0,"",VLOOKUP(E805,Sheet2!$B$1:$E$19,2,FALSE))</f>
        <v>1073</v>
      </c>
      <c r="L805">
        <f>IF(LEN(TRIM(E805))=0,"",VLOOKUP(E805,Sheet2!$B$1:$E$19,3,FALSE))</f>
        <v>1108956</v>
      </c>
      <c r="M805">
        <f>IF(LEN(TRIM(E805))=0,"",VLOOKUP(E805,Sheet2!$B$1:$E$19,4,FALSE))+(F805-1)</f>
        <v>3779607</v>
      </c>
      <c r="N805"/>
      <c r="O805"/>
      <c r="P805"/>
      <c r="Q805"/>
    </row>
    <row r="806" spans="1:17" s="1" customFormat="1" ht="15" customHeight="1" x14ac:dyDescent="0.25">
      <c r="A806" s="28" t="s">
        <v>93</v>
      </c>
      <c r="B806" s="28" t="s">
        <v>2963</v>
      </c>
      <c r="C806" s="1">
        <v>1856</v>
      </c>
      <c r="D806" s="1" t="s">
        <v>2919</v>
      </c>
      <c r="E806" s="1">
        <v>998</v>
      </c>
      <c r="F806" s="28">
        <v>51</v>
      </c>
      <c r="G806" s="1">
        <v>49</v>
      </c>
      <c r="H806" s="1">
        <v>68</v>
      </c>
      <c r="I806" s="1">
        <v>65</v>
      </c>
      <c r="J806" t="str">
        <f t="shared" si="12"/>
        <v>http://www.badatelna.eu/reprodukce/?fondId=241&amp;zaznamId=1133738&amp;reproId=3885697</v>
      </c>
      <c r="K806">
        <f>IF(LEN(TRIM(E806))=0,"",VLOOKUP(E806,Sheet2!$B$1:$E$19,2,FALSE))</f>
        <v>241</v>
      </c>
      <c r="L806">
        <f>IF(LEN(TRIM(E806))=0,"",VLOOKUP(E806,Sheet2!$B$1:$E$19,3,FALSE))</f>
        <v>1133738</v>
      </c>
      <c r="M806">
        <f>IF(LEN(TRIM(E806))=0,"",VLOOKUP(E806,Sheet2!$B$1:$E$19,4,FALSE))+(F806-1)</f>
        <v>3885697</v>
      </c>
    </row>
    <row r="807" spans="1:17" s="1" customFormat="1" ht="15" customHeight="1" x14ac:dyDescent="0.25">
      <c r="A807" s="27" t="s">
        <v>93</v>
      </c>
      <c r="B807" s="27" t="s">
        <v>494</v>
      </c>
      <c r="C807" s="5" t="s">
        <v>1151</v>
      </c>
      <c r="D807" s="3" t="s">
        <v>454</v>
      </c>
      <c r="E807" s="3">
        <v>2170</v>
      </c>
      <c r="F807" s="28">
        <v>40</v>
      </c>
      <c r="G807" s="10">
        <v>36</v>
      </c>
      <c r="H807" s="3">
        <v>62</v>
      </c>
      <c r="I807" s="3">
        <v>58</v>
      </c>
      <c r="J807" t="str">
        <f t="shared" si="12"/>
        <v>http://www.badatelna.eu/reprodukce/?fondId=1073&amp;zaznamId=1108956&amp;reproId=3779632</v>
      </c>
      <c r="K807">
        <f>IF(LEN(TRIM(E807))=0,"",VLOOKUP(E807,Sheet2!$B$1:$E$19,2,FALSE))</f>
        <v>1073</v>
      </c>
      <c r="L807">
        <f>IF(LEN(TRIM(E807))=0,"",VLOOKUP(E807,Sheet2!$B$1:$E$19,3,FALSE))</f>
        <v>1108956</v>
      </c>
      <c r="M807">
        <f>IF(LEN(TRIM(E807))=0,"",VLOOKUP(E807,Sheet2!$B$1:$E$19,4,FALSE))+(F807-1)</f>
        <v>3779632</v>
      </c>
    </row>
    <row r="808" spans="1:17" s="1" customFormat="1" ht="15" customHeight="1" x14ac:dyDescent="0.25">
      <c r="A808" s="28" t="s">
        <v>93</v>
      </c>
      <c r="B808" s="29" t="s">
        <v>289</v>
      </c>
      <c r="C808" s="1">
        <v>1854</v>
      </c>
      <c r="D808" s="1" t="s">
        <v>2919</v>
      </c>
      <c r="E808" s="1">
        <v>998</v>
      </c>
      <c r="F808" s="28">
        <v>43</v>
      </c>
      <c r="G808" s="1">
        <v>41</v>
      </c>
      <c r="H808" s="1">
        <v>68</v>
      </c>
      <c r="I808" s="1">
        <v>65</v>
      </c>
      <c r="J808" t="str">
        <f t="shared" si="12"/>
        <v>http://www.badatelna.eu/reprodukce/?fondId=241&amp;zaznamId=1133738&amp;reproId=3885689</v>
      </c>
      <c r="K808">
        <f>IF(LEN(TRIM(E808))=0,"",VLOOKUP(E808,Sheet2!$B$1:$E$19,2,FALSE))</f>
        <v>241</v>
      </c>
      <c r="L808">
        <f>IF(LEN(TRIM(E808))=0,"",VLOOKUP(E808,Sheet2!$B$1:$E$19,3,FALSE))</f>
        <v>1133738</v>
      </c>
      <c r="M808">
        <f>IF(LEN(TRIM(E808))=0,"",VLOOKUP(E808,Sheet2!$B$1:$E$19,4,FALSE))+(F808-1)</f>
        <v>3885689</v>
      </c>
    </row>
    <row r="809" spans="1:17" s="1" customFormat="1" ht="15" customHeight="1" x14ac:dyDescent="0.25">
      <c r="A809" s="27" t="s">
        <v>524</v>
      </c>
      <c r="B809" s="27" t="s">
        <v>466</v>
      </c>
      <c r="C809" s="5" t="s">
        <v>1154</v>
      </c>
      <c r="D809" s="3" t="s">
        <v>454</v>
      </c>
      <c r="E809" s="3">
        <v>2170</v>
      </c>
      <c r="F809" s="28">
        <v>17</v>
      </c>
      <c r="G809" s="10">
        <v>13</v>
      </c>
      <c r="H809" s="3">
        <v>62</v>
      </c>
      <c r="I809" s="3">
        <v>58</v>
      </c>
      <c r="J809" t="str">
        <f t="shared" si="12"/>
        <v>http://www.badatelna.eu/reprodukce/?fondId=1073&amp;zaznamId=1108956&amp;reproId=3779609</v>
      </c>
      <c r="K809">
        <f>IF(LEN(TRIM(E809))=0,"",VLOOKUP(E809,Sheet2!$B$1:$E$19,2,FALSE))</f>
        <v>1073</v>
      </c>
      <c r="L809">
        <f>IF(LEN(TRIM(E809))=0,"",VLOOKUP(E809,Sheet2!$B$1:$E$19,3,FALSE))</f>
        <v>1108956</v>
      </c>
      <c r="M809">
        <f>IF(LEN(TRIM(E809))=0,"",VLOOKUP(E809,Sheet2!$B$1:$E$19,4,FALSE))+(F809-1)</f>
        <v>3779609</v>
      </c>
    </row>
    <row r="810" spans="1:17" s="1" customFormat="1" ht="15" customHeight="1" x14ac:dyDescent="0.25">
      <c r="A810" s="28" t="s">
        <v>524</v>
      </c>
      <c r="B810" s="28" t="s">
        <v>240</v>
      </c>
      <c r="C810" s="15">
        <v>7740</v>
      </c>
      <c r="D810" s="1" t="s">
        <v>454</v>
      </c>
      <c r="E810" s="1">
        <v>2172</v>
      </c>
      <c r="F810" s="28">
        <v>201</v>
      </c>
      <c r="G810" s="9">
        <v>188</v>
      </c>
      <c r="H810" s="1" t="s">
        <v>3073</v>
      </c>
      <c r="I810" s="1" t="s">
        <v>3073</v>
      </c>
      <c r="J810" t="str">
        <f t="shared" si="12"/>
        <v>http://www.badatelna.eu/reprodukce/?fondId=1073&amp;zaznamId=1108958&amp;reproId=3779942</v>
      </c>
      <c r="K810">
        <f>IF(LEN(TRIM(E810))=0,"",VLOOKUP(E810,Sheet2!$B$1:$E$19,2,FALSE))</f>
        <v>1073</v>
      </c>
      <c r="L810">
        <f>IF(LEN(TRIM(E810))=0,"",VLOOKUP(E810,Sheet2!$B$1:$E$19,3,FALSE))</f>
        <v>1108958</v>
      </c>
      <c r="M810">
        <f>IF(LEN(TRIM(E810))=0,"",VLOOKUP(E810,Sheet2!$B$1:$E$19,4,FALSE))+(F810-1)</f>
        <v>3779942</v>
      </c>
    </row>
    <row r="811" spans="1:17" s="1" customFormat="1" ht="15" customHeight="1" x14ac:dyDescent="0.25">
      <c r="A811" s="27" t="s">
        <v>524</v>
      </c>
      <c r="B811" s="27" t="s">
        <v>240</v>
      </c>
      <c r="C811" s="5" t="s">
        <v>1153</v>
      </c>
      <c r="D811" s="3" t="s">
        <v>454</v>
      </c>
      <c r="E811" s="3">
        <v>2170</v>
      </c>
      <c r="F811" s="28">
        <v>55</v>
      </c>
      <c r="G811" s="10">
        <v>51</v>
      </c>
      <c r="H811" s="3">
        <v>62</v>
      </c>
      <c r="I811" s="3">
        <v>58</v>
      </c>
      <c r="J811" t="str">
        <f t="shared" si="12"/>
        <v>http://www.badatelna.eu/reprodukce/?fondId=1073&amp;zaznamId=1108956&amp;reproId=3779647</v>
      </c>
      <c r="K811">
        <f>IF(LEN(TRIM(E811))=0,"",VLOOKUP(E811,Sheet2!$B$1:$E$19,2,FALSE))</f>
        <v>1073</v>
      </c>
      <c r="L811">
        <f>IF(LEN(TRIM(E811))=0,"",VLOOKUP(E811,Sheet2!$B$1:$E$19,3,FALSE))</f>
        <v>1108956</v>
      </c>
      <c r="M811">
        <f>IF(LEN(TRIM(E811))=0,"",VLOOKUP(E811,Sheet2!$B$1:$E$19,4,FALSE))+(F811-1)</f>
        <v>3779647</v>
      </c>
    </row>
    <row r="812" spans="1:17" s="1" customFormat="1" ht="15" customHeight="1" x14ac:dyDescent="0.25">
      <c r="A812" s="27" t="s">
        <v>524</v>
      </c>
      <c r="B812" s="27" t="s">
        <v>25</v>
      </c>
      <c r="C812" s="5" t="s">
        <v>1152</v>
      </c>
      <c r="D812" s="3" t="s">
        <v>454</v>
      </c>
      <c r="E812" s="3">
        <v>2170</v>
      </c>
      <c r="F812" s="31">
        <v>38</v>
      </c>
      <c r="G812" s="10">
        <v>34</v>
      </c>
      <c r="H812" s="3">
        <v>62</v>
      </c>
      <c r="I812" s="3">
        <v>58</v>
      </c>
      <c r="J812" t="str">
        <f t="shared" si="12"/>
        <v>http://www.badatelna.eu/reprodukce/?fondId=1073&amp;zaznamId=1108956&amp;reproId=3779630</v>
      </c>
      <c r="K812">
        <f>IF(LEN(TRIM(E812))=0,"",VLOOKUP(E812,Sheet2!$B$1:$E$19,2,FALSE))</f>
        <v>1073</v>
      </c>
      <c r="L812">
        <f>IF(LEN(TRIM(E812))=0,"",VLOOKUP(E812,Sheet2!$B$1:$E$19,3,FALSE))</f>
        <v>1108956</v>
      </c>
      <c r="M812">
        <f>IF(LEN(TRIM(E812))=0,"",VLOOKUP(E812,Sheet2!$B$1:$E$19,4,FALSE))+(F812-1)</f>
        <v>3779630</v>
      </c>
    </row>
    <row r="813" spans="1:17" s="1" customFormat="1" ht="15" customHeight="1" x14ac:dyDescent="0.25">
      <c r="A813" s="28" t="s">
        <v>524</v>
      </c>
      <c r="B813" s="28" t="s">
        <v>778</v>
      </c>
      <c r="C813" s="1">
        <v>1847</v>
      </c>
      <c r="D813" s="1" t="s">
        <v>2919</v>
      </c>
      <c r="E813" s="1">
        <v>998</v>
      </c>
      <c r="F813" s="28">
        <v>3</v>
      </c>
      <c r="G813" s="1">
        <v>1</v>
      </c>
      <c r="H813" s="1">
        <v>68</v>
      </c>
      <c r="I813" s="1">
        <v>65</v>
      </c>
      <c r="J813" t="str">
        <f t="shared" si="12"/>
        <v>http://www.badatelna.eu/reprodukce/?fondId=241&amp;zaznamId=1133738&amp;reproId=3885649</v>
      </c>
      <c r="K813">
        <f>IF(LEN(TRIM(E813))=0,"",VLOOKUP(E813,Sheet2!$B$1:$E$19,2,FALSE))</f>
        <v>241</v>
      </c>
      <c r="L813">
        <f>IF(LEN(TRIM(E813))=0,"",VLOOKUP(E813,Sheet2!$B$1:$E$19,3,FALSE))</f>
        <v>1133738</v>
      </c>
      <c r="M813">
        <f>IF(LEN(TRIM(E813))=0,"",VLOOKUP(E813,Sheet2!$B$1:$E$19,4,FALSE))+(F813-1)</f>
        <v>3885649</v>
      </c>
    </row>
    <row r="814" spans="1:17" s="1" customFormat="1" ht="15" customHeight="1" x14ac:dyDescent="0.25">
      <c r="A814" s="28" t="s">
        <v>857</v>
      </c>
      <c r="B814" s="28" t="s">
        <v>858</v>
      </c>
      <c r="C814" s="15">
        <v>10746</v>
      </c>
      <c r="D814" s="1" t="s">
        <v>454</v>
      </c>
      <c r="E814" s="1">
        <v>2172</v>
      </c>
      <c r="F814" s="28">
        <v>216</v>
      </c>
      <c r="G814" s="9">
        <v>200</v>
      </c>
      <c r="H814" s="1" t="s">
        <v>3073</v>
      </c>
      <c r="I814" s="1" t="s">
        <v>3073</v>
      </c>
      <c r="J814" t="str">
        <f t="shared" si="12"/>
        <v>http://www.badatelna.eu/reprodukce/?fondId=1073&amp;zaznamId=1108958&amp;reproId=3779957</v>
      </c>
      <c r="K814">
        <f>IF(LEN(TRIM(E814))=0,"",VLOOKUP(E814,Sheet2!$B$1:$E$19,2,FALSE))</f>
        <v>1073</v>
      </c>
      <c r="L814">
        <f>IF(LEN(TRIM(E814))=0,"",VLOOKUP(E814,Sheet2!$B$1:$E$19,3,FALSE))</f>
        <v>1108958</v>
      </c>
      <c r="M814">
        <f>IF(LEN(TRIM(E814))=0,"",VLOOKUP(E814,Sheet2!$B$1:$E$19,4,FALSE))+(F814-1)</f>
        <v>3779957</v>
      </c>
    </row>
    <row r="815" spans="1:17" s="1" customFormat="1" ht="15" customHeight="1" x14ac:dyDescent="0.25">
      <c r="A815" s="28" t="s">
        <v>857</v>
      </c>
      <c r="B815" s="28" t="s">
        <v>859</v>
      </c>
      <c r="C815" s="6" t="s">
        <v>1938</v>
      </c>
      <c r="D815" s="1" t="s">
        <v>454</v>
      </c>
      <c r="E815" s="1">
        <v>2172</v>
      </c>
      <c r="F815" s="28">
        <v>221</v>
      </c>
      <c r="G815" s="9">
        <v>203</v>
      </c>
      <c r="H815" s="1" t="s">
        <v>3073</v>
      </c>
      <c r="I815" s="1" t="s">
        <v>3073</v>
      </c>
      <c r="J815" t="str">
        <f t="shared" si="12"/>
        <v>http://www.badatelna.eu/reprodukce/?fondId=1073&amp;zaznamId=1108958&amp;reproId=3779962</v>
      </c>
      <c r="K815">
        <f>IF(LEN(TRIM(E815))=0,"",VLOOKUP(E815,Sheet2!$B$1:$E$19,2,FALSE))</f>
        <v>1073</v>
      </c>
      <c r="L815">
        <f>IF(LEN(TRIM(E815))=0,"",VLOOKUP(E815,Sheet2!$B$1:$E$19,3,FALSE))</f>
        <v>1108958</v>
      </c>
      <c r="M815">
        <f>IF(LEN(TRIM(E815))=0,"",VLOOKUP(E815,Sheet2!$B$1:$E$19,4,FALSE))+(F815-1)</f>
        <v>3779962</v>
      </c>
    </row>
    <row r="816" spans="1:17" s="1" customFormat="1" ht="15" customHeight="1" x14ac:dyDescent="0.25">
      <c r="A816" s="27" t="s">
        <v>525</v>
      </c>
      <c r="B816" s="27" t="s">
        <v>415</v>
      </c>
      <c r="C816" s="5" t="s">
        <v>1155</v>
      </c>
      <c r="D816" s="3" t="s">
        <v>454</v>
      </c>
      <c r="E816" s="3">
        <v>2170</v>
      </c>
      <c r="F816" s="28">
        <v>42</v>
      </c>
      <c r="G816" s="10">
        <v>38</v>
      </c>
      <c r="H816" s="3">
        <v>62</v>
      </c>
      <c r="I816" s="3">
        <v>58</v>
      </c>
      <c r="J816" t="str">
        <f t="shared" si="12"/>
        <v>http://www.badatelna.eu/reprodukce/?fondId=1073&amp;zaznamId=1108956&amp;reproId=3779634</v>
      </c>
      <c r="K816">
        <f>IF(LEN(TRIM(E816))=0,"",VLOOKUP(E816,Sheet2!$B$1:$E$19,2,FALSE))</f>
        <v>1073</v>
      </c>
      <c r="L816">
        <f>IF(LEN(TRIM(E816))=0,"",VLOOKUP(E816,Sheet2!$B$1:$E$19,3,FALSE))</f>
        <v>1108956</v>
      </c>
      <c r="M816">
        <f>IF(LEN(TRIM(E816))=0,"",VLOOKUP(E816,Sheet2!$B$1:$E$19,4,FALSE))+(F816-1)</f>
        <v>3779634</v>
      </c>
    </row>
    <row r="817" spans="1:17" s="1" customFormat="1" ht="15" customHeight="1" x14ac:dyDescent="0.25">
      <c r="A817" s="28" t="s">
        <v>860</v>
      </c>
      <c r="B817" s="28" t="s">
        <v>861</v>
      </c>
      <c r="C817" s="6" t="s">
        <v>1675</v>
      </c>
      <c r="D817" s="1" t="s">
        <v>454</v>
      </c>
      <c r="E817" s="1">
        <v>2172</v>
      </c>
      <c r="F817" s="28">
        <v>107</v>
      </c>
      <c r="G817" s="9">
        <v>106</v>
      </c>
      <c r="H817" s="1">
        <v>109</v>
      </c>
      <c r="I817" s="1">
        <v>108</v>
      </c>
      <c r="J817" t="str">
        <f t="shared" si="12"/>
        <v>http://www.badatelna.eu/reprodukce/?fondId=1073&amp;zaznamId=1108958&amp;reproId=3779848</v>
      </c>
      <c r="K817">
        <f>IF(LEN(TRIM(E817))=0,"",VLOOKUP(E817,Sheet2!$B$1:$E$19,2,FALSE))</f>
        <v>1073</v>
      </c>
      <c r="L817">
        <f>IF(LEN(TRIM(E817))=0,"",VLOOKUP(E817,Sheet2!$B$1:$E$19,3,FALSE))</f>
        <v>1108958</v>
      </c>
      <c r="M817">
        <f>IF(LEN(TRIM(E817))=0,"",VLOOKUP(E817,Sheet2!$B$1:$E$19,4,FALSE))+(F817-1)</f>
        <v>3779848</v>
      </c>
    </row>
    <row r="818" spans="1:17" s="1" customFormat="1" ht="15" customHeight="1" x14ac:dyDescent="0.25">
      <c r="A818" s="28" t="s">
        <v>860</v>
      </c>
      <c r="B818" s="28" t="s">
        <v>254</v>
      </c>
      <c r="C818" s="6" t="s">
        <v>1710</v>
      </c>
      <c r="D818" s="1" t="s">
        <v>454</v>
      </c>
      <c r="E818" s="1">
        <v>2172</v>
      </c>
      <c r="F818" s="28">
        <v>121</v>
      </c>
      <c r="G818" s="9">
        <v>120</v>
      </c>
      <c r="H818" s="1">
        <v>123</v>
      </c>
      <c r="I818" s="1">
        <v>122</v>
      </c>
      <c r="J818" t="str">
        <f t="shared" si="12"/>
        <v>http://www.badatelna.eu/reprodukce/?fondId=1073&amp;zaznamId=1108958&amp;reproId=3779862</v>
      </c>
      <c r="K818">
        <f>IF(LEN(TRIM(E818))=0,"",VLOOKUP(E818,Sheet2!$B$1:$E$19,2,FALSE))</f>
        <v>1073</v>
      </c>
      <c r="L818">
        <f>IF(LEN(TRIM(E818))=0,"",VLOOKUP(E818,Sheet2!$B$1:$E$19,3,FALSE))</f>
        <v>1108958</v>
      </c>
      <c r="M818">
        <f>IF(LEN(TRIM(E818))=0,"",VLOOKUP(E818,Sheet2!$B$1:$E$19,4,FALSE))+(F818-1)</f>
        <v>3779862</v>
      </c>
    </row>
    <row r="819" spans="1:17" s="1" customFormat="1" ht="15" customHeight="1" x14ac:dyDescent="0.25">
      <c r="A819" s="27" t="s">
        <v>526</v>
      </c>
      <c r="B819" s="27" t="s">
        <v>527</v>
      </c>
      <c r="C819" s="5" t="s">
        <v>1156</v>
      </c>
      <c r="D819" s="3" t="s">
        <v>454</v>
      </c>
      <c r="E819" s="3">
        <v>2170</v>
      </c>
      <c r="F819" s="28">
        <v>57</v>
      </c>
      <c r="G819" s="10">
        <v>53</v>
      </c>
      <c r="H819" s="3">
        <v>62</v>
      </c>
      <c r="I819" s="3">
        <v>58</v>
      </c>
      <c r="J819" t="str">
        <f t="shared" si="12"/>
        <v>http://www.badatelna.eu/reprodukce/?fondId=1073&amp;zaznamId=1108956&amp;reproId=3779649</v>
      </c>
      <c r="K819">
        <f>IF(LEN(TRIM(E819))=0,"",VLOOKUP(E819,Sheet2!$B$1:$E$19,2,FALSE))</f>
        <v>1073</v>
      </c>
      <c r="L819">
        <f>IF(LEN(TRIM(E819))=0,"",VLOOKUP(E819,Sheet2!$B$1:$E$19,3,FALSE))</f>
        <v>1108956</v>
      </c>
      <c r="M819">
        <f>IF(LEN(TRIM(E819))=0,"",VLOOKUP(E819,Sheet2!$B$1:$E$19,4,FALSE))+(F819-1)</f>
        <v>3779649</v>
      </c>
    </row>
    <row r="820" spans="1:17" s="1" customFormat="1" ht="15" customHeight="1" x14ac:dyDescent="0.25">
      <c r="A820" s="28" t="s">
        <v>412</v>
      </c>
      <c r="B820" s="28" t="s">
        <v>155</v>
      </c>
      <c r="C820" s="6" t="s">
        <v>2369</v>
      </c>
      <c r="D820" s="1" t="s">
        <v>454</v>
      </c>
      <c r="E820" s="1">
        <v>2173</v>
      </c>
      <c r="F820" s="28">
        <v>201</v>
      </c>
      <c r="G820" s="9">
        <v>12</v>
      </c>
      <c r="H820" s="1" t="s">
        <v>3073</v>
      </c>
      <c r="I820" s="1" t="s">
        <v>3073</v>
      </c>
      <c r="J820" t="str">
        <f t="shared" si="12"/>
        <v>http://www.badatelna.eu/reprodukce/?fondId=1073&amp;zaznamId=1108959&amp;reproId=3780194</v>
      </c>
      <c r="K820">
        <f>IF(LEN(TRIM(E820))=0,"",VLOOKUP(E820,Sheet2!$B$1:$E$19,2,FALSE))</f>
        <v>1073</v>
      </c>
      <c r="L820">
        <f>IF(LEN(TRIM(E820))=0,"",VLOOKUP(E820,Sheet2!$B$1:$E$19,3,FALSE))</f>
        <v>1108959</v>
      </c>
      <c r="M820">
        <f>IF(LEN(TRIM(E820))=0,"",VLOOKUP(E820,Sheet2!$B$1:$E$19,4,FALSE))+(F820-1)</f>
        <v>3780194</v>
      </c>
    </row>
    <row r="821" spans="1:17" s="1" customFormat="1" ht="15" customHeight="1" x14ac:dyDescent="0.25">
      <c r="A821" s="28" t="s">
        <v>412</v>
      </c>
      <c r="B821" s="28" t="s">
        <v>39</v>
      </c>
      <c r="C821" s="18" t="s">
        <v>2657</v>
      </c>
      <c r="D821" s="1" t="s">
        <v>454</v>
      </c>
      <c r="E821" s="1">
        <v>2173</v>
      </c>
      <c r="F821" s="28">
        <v>222</v>
      </c>
      <c r="G821" s="9">
        <v>50</v>
      </c>
      <c r="H821" s="1" t="s">
        <v>3073</v>
      </c>
      <c r="I821" s="1" t="s">
        <v>3073</v>
      </c>
      <c r="J821" t="str">
        <f t="shared" si="12"/>
        <v>http://www.badatelna.eu/reprodukce/?fondId=1073&amp;zaznamId=1108959&amp;reproId=3780215</v>
      </c>
      <c r="K821">
        <f>IF(LEN(TRIM(E821))=0,"",VLOOKUP(E821,Sheet2!$B$1:$E$19,2,FALSE))</f>
        <v>1073</v>
      </c>
      <c r="L821">
        <f>IF(LEN(TRIM(E821))=0,"",VLOOKUP(E821,Sheet2!$B$1:$E$19,3,FALSE))</f>
        <v>1108959</v>
      </c>
      <c r="M821">
        <f>IF(LEN(TRIM(E821))=0,"",VLOOKUP(E821,Sheet2!$B$1:$E$19,4,FALSE))+(F821-1)</f>
        <v>3780215</v>
      </c>
    </row>
    <row r="822" spans="1:17" s="1" customFormat="1" ht="15" customHeight="1" x14ac:dyDescent="0.25">
      <c r="A822" s="28" t="s">
        <v>196</v>
      </c>
      <c r="B822" s="28" t="s">
        <v>33</v>
      </c>
      <c r="C822" s="6" t="s">
        <v>2574</v>
      </c>
      <c r="D822" s="1" t="s">
        <v>454</v>
      </c>
      <c r="E822" s="1">
        <v>2173</v>
      </c>
      <c r="F822" s="28">
        <v>213</v>
      </c>
      <c r="G822" s="9">
        <v>35</v>
      </c>
      <c r="H822" s="1" t="s">
        <v>3073</v>
      </c>
      <c r="I822" s="1" t="s">
        <v>3073</v>
      </c>
      <c r="J822" t="str">
        <f t="shared" si="12"/>
        <v>http://www.badatelna.eu/reprodukce/?fondId=1073&amp;zaznamId=1108959&amp;reproId=3780206</v>
      </c>
      <c r="K822">
        <f>IF(LEN(TRIM(E822))=0,"",VLOOKUP(E822,Sheet2!$B$1:$E$19,2,FALSE))</f>
        <v>1073</v>
      </c>
      <c r="L822">
        <f>IF(LEN(TRIM(E822))=0,"",VLOOKUP(E822,Sheet2!$B$1:$E$19,3,FALSE))</f>
        <v>1108959</v>
      </c>
      <c r="M822">
        <f>IF(LEN(TRIM(E822))=0,"",VLOOKUP(E822,Sheet2!$B$1:$E$19,4,FALSE))+(F822-1)</f>
        <v>3780206</v>
      </c>
    </row>
    <row r="823" spans="1:17" s="1" customFormat="1" ht="15" customHeight="1" x14ac:dyDescent="0.25">
      <c r="A823" s="28" t="s">
        <v>196</v>
      </c>
      <c r="B823" s="28" t="s">
        <v>33</v>
      </c>
      <c r="C823" s="6" t="s">
        <v>2447</v>
      </c>
      <c r="D823" s="1" t="s">
        <v>454</v>
      </c>
      <c r="E823" s="1">
        <v>2173</v>
      </c>
      <c r="F823" s="28">
        <v>204</v>
      </c>
      <c r="G823" s="1">
        <v>17</v>
      </c>
      <c r="H823" s="1" t="s">
        <v>3073</v>
      </c>
      <c r="I823" s="1" t="s">
        <v>3073</v>
      </c>
      <c r="J823" t="str">
        <f t="shared" si="12"/>
        <v>http://www.badatelna.eu/reprodukce/?fondId=1073&amp;zaznamId=1108959&amp;reproId=3780197</v>
      </c>
      <c r="K823">
        <f>IF(LEN(TRIM(E823))=0,"",VLOOKUP(E823,Sheet2!$B$1:$E$19,2,FALSE))</f>
        <v>1073</v>
      </c>
      <c r="L823">
        <f>IF(LEN(TRIM(E823))=0,"",VLOOKUP(E823,Sheet2!$B$1:$E$19,3,FALSE))</f>
        <v>1108959</v>
      </c>
      <c r="M823">
        <f>IF(LEN(TRIM(E823))=0,"",VLOOKUP(E823,Sheet2!$B$1:$E$19,4,FALSE))+(F823-1)</f>
        <v>3780197</v>
      </c>
    </row>
    <row r="824" spans="1:17" s="1" customFormat="1" ht="15" customHeight="1" x14ac:dyDescent="0.25">
      <c r="A824" s="28" t="s">
        <v>196</v>
      </c>
      <c r="B824" s="28" t="s">
        <v>74</v>
      </c>
      <c r="C824" s="6" t="s">
        <v>2049</v>
      </c>
      <c r="D824" s="1" t="s">
        <v>454</v>
      </c>
      <c r="E824" s="1">
        <v>2173</v>
      </c>
      <c r="F824" s="28">
        <v>181</v>
      </c>
      <c r="G824" s="9">
        <v>9</v>
      </c>
      <c r="H824" s="1">
        <v>187</v>
      </c>
      <c r="I824" s="1">
        <v>417</v>
      </c>
      <c r="J824" t="str">
        <f t="shared" si="12"/>
        <v>http://www.badatelna.eu/reprodukce/?fondId=1073&amp;zaznamId=1108959&amp;reproId=3780174</v>
      </c>
      <c r="K824">
        <f>IF(LEN(TRIM(E824))=0,"",VLOOKUP(E824,Sheet2!$B$1:$E$19,2,FALSE))</f>
        <v>1073</v>
      </c>
      <c r="L824">
        <f>IF(LEN(TRIM(E824))=0,"",VLOOKUP(E824,Sheet2!$B$1:$E$19,3,FALSE))</f>
        <v>1108959</v>
      </c>
      <c r="M824">
        <f>IF(LEN(TRIM(E824))=0,"",VLOOKUP(E824,Sheet2!$B$1:$E$19,4,FALSE))+(F824-1)</f>
        <v>3780174</v>
      </c>
    </row>
    <row r="825" spans="1:17" s="1" customFormat="1" ht="15" customHeight="1" x14ac:dyDescent="0.25">
      <c r="A825" s="28" t="s">
        <v>196</v>
      </c>
      <c r="B825" s="28" t="s">
        <v>74</v>
      </c>
      <c r="C825" s="6" t="s">
        <v>2049</v>
      </c>
      <c r="D825" s="1" t="s">
        <v>454</v>
      </c>
      <c r="E825" s="1">
        <v>2173</v>
      </c>
      <c r="F825" s="28">
        <v>210</v>
      </c>
      <c r="G825" s="9" t="s">
        <v>2874</v>
      </c>
      <c r="H825" s="1" t="s">
        <v>3073</v>
      </c>
      <c r="I825" s="1" t="s">
        <v>3073</v>
      </c>
      <c r="J825" t="str">
        <f t="shared" si="12"/>
        <v>http://www.badatelna.eu/reprodukce/?fondId=1073&amp;zaznamId=1108959&amp;reproId=3780203</v>
      </c>
      <c r="K825">
        <f>IF(LEN(TRIM(E825))=0,"",VLOOKUP(E825,Sheet2!$B$1:$E$19,2,FALSE))</f>
        <v>1073</v>
      </c>
      <c r="L825">
        <f>IF(LEN(TRIM(E825))=0,"",VLOOKUP(E825,Sheet2!$B$1:$E$19,3,FALSE))</f>
        <v>1108959</v>
      </c>
      <c r="M825">
        <f>IF(LEN(TRIM(E825))=0,"",VLOOKUP(E825,Sheet2!$B$1:$E$19,4,FALSE))+(F825-1)</f>
        <v>3780203</v>
      </c>
    </row>
    <row r="826" spans="1:17" s="1" customFormat="1" ht="15" customHeight="1" x14ac:dyDescent="0.25">
      <c r="A826" s="29" t="s">
        <v>196</v>
      </c>
      <c r="B826" s="29" t="s">
        <v>74</v>
      </c>
      <c r="C826" s="6" t="s">
        <v>2223</v>
      </c>
      <c r="D826" s="1" t="s">
        <v>454</v>
      </c>
      <c r="E826" s="1">
        <v>2173</v>
      </c>
      <c r="F826" s="28">
        <v>196</v>
      </c>
      <c r="G826" s="9">
        <v>1</v>
      </c>
      <c r="H826" s="1" t="s">
        <v>3073</v>
      </c>
      <c r="I826" s="1" t="s">
        <v>3073</v>
      </c>
      <c r="J826" t="str">
        <f t="shared" si="12"/>
        <v>http://www.badatelna.eu/reprodukce/?fondId=1073&amp;zaznamId=1108959&amp;reproId=3780189</v>
      </c>
      <c r="K826">
        <f>IF(LEN(TRIM(E826))=0,"",VLOOKUP(E826,Sheet2!$B$1:$E$19,2,FALSE))</f>
        <v>1073</v>
      </c>
      <c r="L826">
        <f>IF(LEN(TRIM(E826))=0,"",VLOOKUP(E826,Sheet2!$B$1:$E$19,3,FALSE))</f>
        <v>1108959</v>
      </c>
      <c r="M826">
        <f>IF(LEN(TRIM(E826))=0,"",VLOOKUP(E826,Sheet2!$B$1:$E$19,4,FALSE))+(F826-1)</f>
        <v>3780189</v>
      </c>
    </row>
    <row r="827" spans="1:17" s="1" customFormat="1" ht="15" customHeight="1" x14ac:dyDescent="0.25">
      <c r="A827" s="28" t="s">
        <v>196</v>
      </c>
      <c r="B827" s="28" t="s">
        <v>222</v>
      </c>
      <c r="C827" s="6" t="s">
        <v>2505</v>
      </c>
      <c r="D827" s="1" t="s">
        <v>454</v>
      </c>
      <c r="E827" s="1">
        <v>2173</v>
      </c>
      <c r="F827" s="28">
        <v>206</v>
      </c>
      <c r="G827" s="1">
        <v>21</v>
      </c>
      <c r="H827" s="1" t="s">
        <v>3073</v>
      </c>
      <c r="I827" s="1" t="s">
        <v>3073</v>
      </c>
      <c r="J827" t="str">
        <f t="shared" si="12"/>
        <v>http://www.badatelna.eu/reprodukce/?fondId=1073&amp;zaznamId=1108959&amp;reproId=3780199</v>
      </c>
      <c r="K827">
        <f>IF(LEN(TRIM(E827))=0,"",VLOOKUP(E827,Sheet2!$B$1:$E$19,2,FALSE))</f>
        <v>1073</v>
      </c>
      <c r="L827">
        <f>IF(LEN(TRIM(E827))=0,"",VLOOKUP(E827,Sheet2!$B$1:$E$19,3,FALSE))</f>
        <v>1108959</v>
      </c>
      <c r="M827">
        <f>IF(LEN(TRIM(E827))=0,"",VLOOKUP(E827,Sheet2!$B$1:$E$19,4,FALSE))+(F827-1)</f>
        <v>3780199</v>
      </c>
    </row>
    <row r="828" spans="1:17" s="1" customFormat="1" ht="15" customHeight="1" x14ac:dyDescent="0.25">
      <c r="A828" s="28" t="s">
        <v>2776</v>
      </c>
      <c r="B828" s="28" t="s">
        <v>234</v>
      </c>
      <c r="C828" s="6" t="s">
        <v>2777</v>
      </c>
      <c r="D828" s="1" t="s">
        <v>454</v>
      </c>
      <c r="E828" s="1">
        <v>2172</v>
      </c>
      <c r="F828" s="28">
        <v>129</v>
      </c>
      <c r="G828" s="9" t="s">
        <v>2775</v>
      </c>
      <c r="H828" s="1">
        <v>132</v>
      </c>
      <c r="I828" s="1">
        <v>131</v>
      </c>
      <c r="J828" t="str">
        <f t="shared" si="12"/>
        <v>http://www.badatelna.eu/reprodukce/?fondId=1073&amp;zaznamId=1108958&amp;reproId=3779870</v>
      </c>
      <c r="K828">
        <f>IF(LEN(TRIM(E828))=0,"",VLOOKUP(E828,Sheet2!$B$1:$E$19,2,FALSE))</f>
        <v>1073</v>
      </c>
      <c r="L828">
        <f>IF(LEN(TRIM(E828))=0,"",VLOOKUP(E828,Sheet2!$B$1:$E$19,3,FALSE))</f>
        <v>1108958</v>
      </c>
      <c r="M828">
        <f>IF(LEN(TRIM(E828))=0,"",VLOOKUP(E828,Sheet2!$B$1:$E$19,4,FALSE))+(F828-1)</f>
        <v>3779870</v>
      </c>
      <c r="N828"/>
      <c r="O828"/>
      <c r="P828"/>
      <c r="Q828"/>
    </row>
    <row r="829" spans="1:17" s="1" customFormat="1" ht="15" customHeight="1" x14ac:dyDescent="0.25">
      <c r="A829" s="28" t="s">
        <v>205</v>
      </c>
      <c r="B829" s="28" t="s">
        <v>863</v>
      </c>
      <c r="C829" s="15">
        <v>6794</v>
      </c>
      <c r="D829" s="1" t="s">
        <v>454</v>
      </c>
      <c r="E829" s="1">
        <v>2172</v>
      </c>
      <c r="F829" s="28">
        <v>194</v>
      </c>
      <c r="G829" s="9">
        <v>184</v>
      </c>
      <c r="H829" s="1" t="s">
        <v>3073</v>
      </c>
      <c r="I829" s="1" t="s">
        <v>3073</v>
      </c>
      <c r="J829" t="str">
        <f t="shared" si="12"/>
        <v>http://www.badatelna.eu/reprodukce/?fondId=1073&amp;zaznamId=1108958&amp;reproId=3779935</v>
      </c>
      <c r="K829">
        <f>IF(LEN(TRIM(E829))=0,"",VLOOKUP(E829,Sheet2!$B$1:$E$19,2,FALSE))</f>
        <v>1073</v>
      </c>
      <c r="L829">
        <f>IF(LEN(TRIM(E829))=0,"",VLOOKUP(E829,Sheet2!$B$1:$E$19,3,FALSE))</f>
        <v>1108958</v>
      </c>
      <c r="M829">
        <f>IF(LEN(TRIM(E829))=0,"",VLOOKUP(E829,Sheet2!$B$1:$E$19,4,FALSE))+(F829-1)</f>
        <v>3779935</v>
      </c>
    </row>
    <row r="830" spans="1:17" s="1" customFormat="1" ht="15" customHeight="1" x14ac:dyDescent="0.25">
      <c r="A830" s="28" t="s">
        <v>205</v>
      </c>
      <c r="B830" s="28" t="s">
        <v>48</v>
      </c>
      <c r="C830" s="6" t="s">
        <v>2478</v>
      </c>
      <c r="D830" s="1" t="s">
        <v>454</v>
      </c>
      <c r="E830" s="1">
        <v>2173</v>
      </c>
      <c r="F830" s="28">
        <v>205</v>
      </c>
      <c r="G830" s="1">
        <v>19</v>
      </c>
      <c r="H830" s="1" t="s">
        <v>3073</v>
      </c>
      <c r="I830" s="1" t="s">
        <v>3073</v>
      </c>
      <c r="J830" t="str">
        <f t="shared" si="12"/>
        <v>http://www.badatelna.eu/reprodukce/?fondId=1073&amp;zaznamId=1108959&amp;reproId=3780198</v>
      </c>
      <c r="K830">
        <f>IF(LEN(TRIM(E830))=0,"",VLOOKUP(E830,Sheet2!$B$1:$E$19,2,FALSE))</f>
        <v>1073</v>
      </c>
      <c r="L830">
        <f>IF(LEN(TRIM(E830))=0,"",VLOOKUP(E830,Sheet2!$B$1:$E$19,3,FALSE))</f>
        <v>1108959</v>
      </c>
      <c r="M830">
        <f>IF(LEN(TRIM(E830))=0,"",VLOOKUP(E830,Sheet2!$B$1:$E$19,4,FALSE))+(F830-1)</f>
        <v>3780198</v>
      </c>
      <c r="N830"/>
      <c r="O830"/>
      <c r="P830"/>
      <c r="Q830"/>
    </row>
    <row r="831" spans="1:17" s="1" customFormat="1" ht="15" customHeight="1" x14ac:dyDescent="0.25">
      <c r="A831" s="28" t="s">
        <v>209</v>
      </c>
      <c r="B831" s="28" t="s">
        <v>3081</v>
      </c>
      <c r="C831" s="6" t="s">
        <v>1592</v>
      </c>
      <c r="D831" s="1" t="s">
        <v>454</v>
      </c>
      <c r="E831" s="1">
        <v>2172</v>
      </c>
      <c r="F831" s="28">
        <v>65</v>
      </c>
      <c r="G831" s="9">
        <v>64</v>
      </c>
      <c r="H831" s="1" t="s">
        <v>3073</v>
      </c>
      <c r="I831" s="1" t="s">
        <v>3073</v>
      </c>
      <c r="J831" t="str">
        <f t="shared" si="12"/>
        <v>http://www.badatelna.eu/reprodukce/?fondId=1073&amp;zaznamId=1108958&amp;reproId=3779806</v>
      </c>
      <c r="K831">
        <f>IF(LEN(TRIM(E831))=0,"",VLOOKUP(E831,Sheet2!$B$1:$E$19,2,FALSE))</f>
        <v>1073</v>
      </c>
      <c r="L831">
        <f>IF(LEN(TRIM(E831))=0,"",VLOOKUP(E831,Sheet2!$B$1:$E$19,3,FALSE))</f>
        <v>1108958</v>
      </c>
      <c r="M831">
        <f>IF(LEN(TRIM(E831))=0,"",VLOOKUP(E831,Sheet2!$B$1:$E$19,4,FALSE))+(F831-1)</f>
        <v>3779806</v>
      </c>
    </row>
    <row r="832" spans="1:17" s="1" customFormat="1" ht="15" customHeight="1" x14ac:dyDescent="0.25">
      <c r="A832" s="27" t="s">
        <v>209</v>
      </c>
      <c r="B832" s="27" t="s">
        <v>528</v>
      </c>
      <c r="C832" s="5" t="s">
        <v>1161</v>
      </c>
      <c r="D832" s="3" t="s">
        <v>454</v>
      </c>
      <c r="E832" s="3">
        <v>2170</v>
      </c>
      <c r="F832" s="28">
        <v>40</v>
      </c>
      <c r="G832" s="10">
        <v>36</v>
      </c>
      <c r="H832" s="3">
        <v>62</v>
      </c>
      <c r="I832" s="3">
        <v>58</v>
      </c>
      <c r="J832" t="str">
        <f t="shared" si="12"/>
        <v>http://www.badatelna.eu/reprodukce/?fondId=1073&amp;zaznamId=1108956&amp;reproId=3779632</v>
      </c>
      <c r="K832">
        <f>IF(LEN(TRIM(E832))=0,"",VLOOKUP(E832,Sheet2!$B$1:$E$19,2,FALSE))</f>
        <v>1073</v>
      </c>
      <c r="L832">
        <f>IF(LEN(TRIM(E832))=0,"",VLOOKUP(E832,Sheet2!$B$1:$E$19,3,FALSE))</f>
        <v>1108956</v>
      </c>
      <c r="M832">
        <f>IF(LEN(TRIM(E832))=0,"",VLOOKUP(E832,Sheet2!$B$1:$E$19,4,FALSE))+(F832-1)</f>
        <v>3779632</v>
      </c>
    </row>
    <row r="833" spans="1:17" s="1" customFormat="1" ht="15" customHeight="1" x14ac:dyDescent="0.25">
      <c r="A833" s="28" t="s">
        <v>209</v>
      </c>
      <c r="B833" s="28" t="s">
        <v>492</v>
      </c>
      <c r="C833" s="1">
        <v>1866</v>
      </c>
      <c r="D833" s="1" t="s">
        <v>2919</v>
      </c>
      <c r="E833" s="1">
        <v>999</v>
      </c>
      <c r="F833" s="28">
        <v>91</v>
      </c>
      <c r="G833" s="1">
        <v>12</v>
      </c>
      <c r="H833" s="1">
        <v>99</v>
      </c>
      <c r="I833" s="1">
        <v>158</v>
      </c>
      <c r="J833" t="str">
        <f t="shared" si="12"/>
        <v>http://www.badatelna.eu/reprodukce/?fondId=241&amp;zaznamId=1133739&amp;reproId=3885820</v>
      </c>
      <c r="K833">
        <f>IF(LEN(TRIM(E833))=0,"",VLOOKUP(E833,Sheet2!$B$1:$E$19,2,FALSE))</f>
        <v>241</v>
      </c>
      <c r="L833">
        <f>IF(LEN(TRIM(E833))=0,"",VLOOKUP(E833,Sheet2!$B$1:$E$19,3,FALSE))</f>
        <v>1133739</v>
      </c>
      <c r="M833">
        <f>IF(LEN(TRIM(E833))=0,"",VLOOKUP(E833,Sheet2!$B$1:$E$19,4,FALSE))+(F833-1)</f>
        <v>3885820</v>
      </c>
    </row>
    <row r="834" spans="1:17" s="1" customFormat="1" ht="15" customHeight="1" x14ac:dyDescent="0.25">
      <c r="A834" s="28" t="s">
        <v>209</v>
      </c>
      <c r="B834" s="28" t="s">
        <v>562</v>
      </c>
      <c r="C834" s="6" t="s">
        <v>1837</v>
      </c>
      <c r="D834" s="1" t="s">
        <v>454</v>
      </c>
      <c r="E834" s="1">
        <v>2172</v>
      </c>
      <c r="F834" s="28">
        <v>174</v>
      </c>
      <c r="G834" s="9">
        <v>167</v>
      </c>
      <c r="H834" s="1" t="s">
        <v>3073</v>
      </c>
      <c r="I834" s="1" t="s">
        <v>3073</v>
      </c>
      <c r="J834" t="str">
        <f t="shared" si="12"/>
        <v>http://www.badatelna.eu/reprodukce/?fondId=1073&amp;zaznamId=1108958&amp;reproId=3779915</v>
      </c>
      <c r="K834">
        <f>IF(LEN(TRIM(E834))=0,"",VLOOKUP(E834,Sheet2!$B$1:$E$19,2,FALSE))</f>
        <v>1073</v>
      </c>
      <c r="L834">
        <f>IF(LEN(TRIM(E834))=0,"",VLOOKUP(E834,Sheet2!$B$1:$E$19,3,FALSE))</f>
        <v>1108958</v>
      </c>
      <c r="M834">
        <f>IF(LEN(TRIM(E834))=0,"",VLOOKUP(E834,Sheet2!$B$1:$E$19,4,FALSE))+(F834-1)</f>
        <v>3779915</v>
      </c>
    </row>
    <row r="835" spans="1:17" s="1" customFormat="1" ht="15" customHeight="1" x14ac:dyDescent="0.25">
      <c r="A835" s="28" t="s">
        <v>209</v>
      </c>
      <c r="B835" s="28" t="s">
        <v>56</v>
      </c>
      <c r="C835" s="1">
        <v>1863</v>
      </c>
      <c r="D835" s="1" t="s">
        <v>2919</v>
      </c>
      <c r="E835" s="1">
        <v>999</v>
      </c>
      <c r="F835" s="28">
        <v>84</v>
      </c>
      <c r="G835" s="1">
        <v>5</v>
      </c>
      <c r="H835" s="1">
        <v>99</v>
      </c>
      <c r="I835" s="1">
        <v>158</v>
      </c>
      <c r="J835" t="str">
        <f t="shared" ref="J835:J898" si="13">IF(LEN(TRIM(E835))=0,"","http://www.badatelna.eu/reprodukce/?fondId="&amp;K835&amp;"&amp;zaznamId="&amp;L835&amp;"&amp;reproId="&amp;M835)</f>
        <v>http://www.badatelna.eu/reprodukce/?fondId=241&amp;zaznamId=1133739&amp;reproId=3885813</v>
      </c>
      <c r="K835">
        <f>IF(LEN(TRIM(E835))=0,"",VLOOKUP(E835,Sheet2!$B$1:$E$19,2,FALSE))</f>
        <v>241</v>
      </c>
      <c r="L835">
        <f>IF(LEN(TRIM(E835))=0,"",VLOOKUP(E835,Sheet2!$B$1:$E$19,3,FALSE))</f>
        <v>1133739</v>
      </c>
      <c r="M835">
        <f>IF(LEN(TRIM(E835))=0,"",VLOOKUP(E835,Sheet2!$B$1:$E$19,4,FALSE))+(F835-1)</f>
        <v>3885813</v>
      </c>
    </row>
    <row r="836" spans="1:17" s="1" customFormat="1" ht="15" customHeight="1" x14ac:dyDescent="0.25">
      <c r="A836" s="27" t="s">
        <v>209</v>
      </c>
      <c r="B836" s="27" t="s">
        <v>56</v>
      </c>
      <c r="C836" s="5" t="s">
        <v>1157</v>
      </c>
      <c r="D836" s="3" t="s">
        <v>454</v>
      </c>
      <c r="E836" s="3">
        <v>2170</v>
      </c>
      <c r="F836" s="28">
        <v>9</v>
      </c>
      <c r="G836" s="10">
        <v>5</v>
      </c>
      <c r="H836" s="3">
        <v>62</v>
      </c>
      <c r="I836" s="3">
        <v>58</v>
      </c>
      <c r="J836" t="str">
        <f t="shared" si="13"/>
        <v>http://www.badatelna.eu/reprodukce/?fondId=1073&amp;zaznamId=1108956&amp;reproId=3779601</v>
      </c>
      <c r="K836">
        <f>IF(LEN(TRIM(E836))=0,"",VLOOKUP(E836,Sheet2!$B$1:$E$19,2,FALSE))</f>
        <v>1073</v>
      </c>
      <c r="L836">
        <f>IF(LEN(TRIM(E836))=0,"",VLOOKUP(E836,Sheet2!$B$1:$E$19,3,FALSE))</f>
        <v>1108956</v>
      </c>
      <c r="M836">
        <f>IF(LEN(TRIM(E836))=0,"",VLOOKUP(E836,Sheet2!$B$1:$E$19,4,FALSE))+(F836-1)</f>
        <v>3779601</v>
      </c>
    </row>
    <row r="837" spans="1:17" s="1" customFormat="1" ht="15" customHeight="1" x14ac:dyDescent="0.25">
      <c r="A837" s="28" t="s">
        <v>209</v>
      </c>
      <c r="B837" s="28" t="s">
        <v>183</v>
      </c>
      <c r="C837" s="6" t="s">
        <v>1915</v>
      </c>
      <c r="D837" s="1" t="s">
        <v>454</v>
      </c>
      <c r="E837" s="1">
        <v>2172</v>
      </c>
      <c r="F837" s="28">
        <v>211</v>
      </c>
      <c r="G837" s="9">
        <v>195</v>
      </c>
      <c r="H837" s="1" t="s">
        <v>3073</v>
      </c>
      <c r="I837" s="1" t="s">
        <v>3073</v>
      </c>
      <c r="J837" t="str">
        <f t="shared" si="13"/>
        <v>http://www.badatelna.eu/reprodukce/?fondId=1073&amp;zaznamId=1108958&amp;reproId=3779952</v>
      </c>
      <c r="K837">
        <f>IF(LEN(TRIM(E837))=0,"",VLOOKUP(E837,Sheet2!$B$1:$E$19,2,FALSE))</f>
        <v>1073</v>
      </c>
      <c r="L837">
        <f>IF(LEN(TRIM(E837))=0,"",VLOOKUP(E837,Sheet2!$B$1:$E$19,3,FALSE))</f>
        <v>1108958</v>
      </c>
      <c r="M837">
        <f>IF(LEN(TRIM(E837))=0,"",VLOOKUP(E837,Sheet2!$B$1:$E$19,4,FALSE))+(F837-1)</f>
        <v>3779952</v>
      </c>
    </row>
    <row r="838" spans="1:17" s="1" customFormat="1" ht="15" customHeight="1" x14ac:dyDescent="0.25">
      <c r="A838" s="27" t="s">
        <v>209</v>
      </c>
      <c r="B838" s="27" t="s">
        <v>529</v>
      </c>
      <c r="C838" s="5" t="s">
        <v>1158</v>
      </c>
      <c r="D838" s="3" t="s">
        <v>454</v>
      </c>
      <c r="E838" s="3">
        <v>2170</v>
      </c>
      <c r="F838" s="28">
        <v>36</v>
      </c>
      <c r="G838" s="10">
        <v>32</v>
      </c>
      <c r="H838" s="3">
        <v>62</v>
      </c>
      <c r="I838" s="3">
        <v>58</v>
      </c>
      <c r="J838" t="str">
        <f t="shared" si="13"/>
        <v>http://www.badatelna.eu/reprodukce/?fondId=1073&amp;zaznamId=1108956&amp;reproId=3779628</v>
      </c>
      <c r="K838">
        <f>IF(LEN(TRIM(E838))=0,"",VLOOKUP(E838,Sheet2!$B$1:$E$19,2,FALSE))</f>
        <v>1073</v>
      </c>
      <c r="L838">
        <f>IF(LEN(TRIM(E838))=0,"",VLOOKUP(E838,Sheet2!$B$1:$E$19,3,FALSE))</f>
        <v>1108956</v>
      </c>
      <c r="M838">
        <f>IF(LEN(TRIM(E838))=0,"",VLOOKUP(E838,Sheet2!$B$1:$E$19,4,FALSE))+(F838-1)</f>
        <v>3779628</v>
      </c>
    </row>
    <row r="839" spans="1:17" s="1" customFormat="1" ht="15" customHeight="1" x14ac:dyDescent="0.25">
      <c r="A839" s="27" t="s">
        <v>209</v>
      </c>
      <c r="B839" s="27" t="s">
        <v>25</v>
      </c>
      <c r="C839" s="5" t="s">
        <v>1160</v>
      </c>
      <c r="D839" s="3" t="s">
        <v>454</v>
      </c>
      <c r="E839" s="3">
        <v>2170</v>
      </c>
      <c r="F839" s="28">
        <v>44</v>
      </c>
      <c r="G839" s="10">
        <v>40</v>
      </c>
      <c r="H839" s="3">
        <v>62</v>
      </c>
      <c r="I839" s="3">
        <v>58</v>
      </c>
      <c r="J839" t="str">
        <f t="shared" si="13"/>
        <v>http://www.badatelna.eu/reprodukce/?fondId=1073&amp;zaznamId=1108956&amp;reproId=3779636</v>
      </c>
      <c r="K839">
        <f>IF(LEN(TRIM(E839))=0,"",VLOOKUP(E839,Sheet2!$B$1:$E$19,2,FALSE))</f>
        <v>1073</v>
      </c>
      <c r="L839">
        <f>IF(LEN(TRIM(E839))=0,"",VLOOKUP(E839,Sheet2!$B$1:$E$19,3,FALSE))</f>
        <v>1108956</v>
      </c>
      <c r="M839">
        <f>IF(LEN(TRIM(E839))=0,"",VLOOKUP(E839,Sheet2!$B$1:$E$19,4,FALSE))+(F839-1)</f>
        <v>3779636</v>
      </c>
      <c r="N839"/>
      <c r="O839"/>
      <c r="P839"/>
      <c r="Q839"/>
    </row>
    <row r="840" spans="1:17" s="1" customFormat="1" ht="15" customHeight="1" x14ac:dyDescent="0.25">
      <c r="A840" s="28" t="s">
        <v>209</v>
      </c>
      <c r="B840" s="28" t="s">
        <v>16</v>
      </c>
      <c r="C840" s="6" t="s">
        <v>2575</v>
      </c>
      <c r="D840" s="1" t="s">
        <v>454</v>
      </c>
      <c r="E840" s="1">
        <v>2173</v>
      </c>
      <c r="F840" s="28">
        <v>213</v>
      </c>
      <c r="G840" s="9">
        <v>35</v>
      </c>
      <c r="H840" s="1" t="s">
        <v>3073</v>
      </c>
      <c r="I840" s="1" t="s">
        <v>3073</v>
      </c>
      <c r="J840" t="str">
        <f t="shared" si="13"/>
        <v>http://www.badatelna.eu/reprodukce/?fondId=1073&amp;zaznamId=1108959&amp;reproId=3780206</v>
      </c>
      <c r="K840">
        <f>IF(LEN(TRIM(E840))=0,"",VLOOKUP(E840,Sheet2!$B$1:$E$19,2,FALSE))</f>
        <v>1073</v>
      </c>
      <c r="L840">
        <f>IF(LEN(TRIM(E840))=0,"",VLOOKUP(E840,Sheet2!$B$1:$E$19,3,FALSE))</f>
        <v>1108959</v>
      </c>
      <c r="M840">
        <f>IF(LEN(TRIM(E840))=0,"",VLOOKUP(E840,Sheet2!$B$1:$E$19,4,FALSE))+(F840-1)</f>
        <v>3780206</v>
      </c>
    </row>
    <row r="841" spans="1:17" s="1" customFormat="1" ht="15" customHeight="1" x14ac:dyDescent="0.25">
      <c r="A841" s="28" t="s">
        <v>862</v>
      </c>
      <c r="B841" s="28" t="s">
        <v>462</v>
      </c>
      <c r="C841" s="6" t="s">
        <v>1500</v>
      </c>
      <c r="D841" s="1" t="s">
        <v>454</v>
      </c>
      <c r="E841" s="1">
        <v>2172</v>
      </c>
      <c r="F841" s="28">
        <v>6</v>
      </c>
      <c r="G841" s="9">
        <v>3</v>
      </c>
      <c r="H841" s="1">
        <v>8</v>
      </c>
      <c r="I841" s="1">
        <v>1</v>
      </c>
      <c r="J841" t="str">
        <f t="shared" si="13"/>
        <v>http://www.badatelna.eu/reprodukce/?fondId=1073&amp;zaznamId=1108958&amp;reproId=3779747</v>
      </c>
      <c r="K841">
        <f>IF(LEN(TRIM(E841))=0,"",VLOOKUP(E841,Sheet2!$B$1:$E$19,2,FALSE))</f>
        <v>1073</v>
      </c>
      <c r="L841">
        <f>IF(LEN(TRIM(E841))=0,"",VLOOKUP(E841,Sheet2!$B$1:$E$19,3,FALSE))</f>
        <v>1108958</v>
      </c>
      <c r="M841">
        <f>IF(LEN(TRIM(E841))=0,"",VLOOKUP(E841,Sheet2!$B$1:$E$19,4,FALSE))+(F841-1)</f>
        <v>3779747</v>
      </c>
    </row>
    <row r="842" spans="1:17" s="1" customFormat="1" ht="15" customHeight="1" x14ac:dyDescent="0.25">
      <c r="A842" s="28" t="s">
        <v>209</v>
      </c>
      <c r="B842" s="28" t="s">
        <v>2964</v>
      </c>
      <c r="C842" s="1">
        <v>1861</v>
      </c>
      <c r="D842" s="1" t="s">
        <v>2919</v>
      </c>
      <c r="E842" s="1">
        <v>998</v>
      </c>
      <c r="F842" s="28">
        <v>61</v>
      </c>
      <c r="G842" s="1">
        <v>58</v>
      </c>
      <c r="H842" s="1">
        <v>68</v>
      </c>
      <c r="I842" s="1">
        <v>65</v>
      </c>
      <c r="J842" t="str">
        <f t="shared" si="13"/>
        <v>http://www.badatelna.eu/reprodukce/?fondId=241&amp;zaznamId=1133738&amp;reproId=3885707</v>
      </c>
      <c r="K842">
        <f>IF(LEN(TRIM(E842))=0,"",VLOOKUP(E842,Sheet2!$B$1:$E$19,2,FALSE))</f>
        <v>241</v>
      </c>
      <c r="L842">
        <f>IF(LEN(TRIM(E842))=0,"",VLOOKUP(E842,Sheet2!$B$1:$E$19,3,FALSE))</f>
        <v>1133738</v>
      </c>
      <c r="M842">
        <f>IF(LEN(TRIM(E842))=0,"",VLOOKUP(E842,Sheet2!$B$1:$E$19,4,FALSE))+(F842-1)</f>
        <v>3885707</v>
      </c>
    </row>
    <row r="843" spans="1:17" s="1" customFormat="1" ht="15" customHeight="1" x14ac:dyDescent="0.25">
      <c r="A843" s="28" t="s">
        <v>209</v>
      </c>
      <c r="B843" s="28" t="s">
        <v>864</v>
      </c>
      <c r="C843" s="6" t="s">
        <v>1606</v>
      </c>
      <c r="D843" s="1" t="s">
        <v>454</v>
      </c>
      <c r="E843" s="1">
        <v>2172</v>
      </c>
      <c r="F843" s="28">
        <v>73</v>
      </c>
      <c r="G843" s="9">
        <v>72</v>
      </c>
      <c r="H843" s="1">
        <v>76</v>
      </c>
      <c r="I843" s="1">
        <v>75</v>
      </c>
      <c r="J843" t="str">
        <f t="shared" si="13"/>
        <v>http://www.badatelna.eu/reprodukce/?fondId=1073&amp;zaznamId=1108958&amp;reproId=3779814</v>
      </c>
      <c r="K843">
        <f>IF(LEN(TRIM(E843))=0,"",VLOOKUP(E843,Sheet2!$B$1:$E$19,2,FALSE))</f>
        <v>1073</v>
      </c>
      <c r="L843">
        <f>IF(LEN(TRIM(E843))=0,"",VLOOKUP(E843,Sheet2!$B$1:$E$19,3,FALSE))</f>
        <v>1108958</v>
      </c>
      <c r="M843">
        <f>IF(LEN(TRIM(E843))=0,"",VLOOKUP(E843,Sheet2!$B$1:$E$19,4,FALSE))+(F843-1)</f>
        <v>3779814</v>
      </c>
    </row>
    <row r="844" spans="1:17" s="1" customFormat="1" ht="15" customHeight="1" x14ac:dyDescent="0.25">
      <c r="A844" s="27" t="s">
        <v>209</v>
      </c>
      <c r="B844" s="27" t="s">
        <v>314</v>
      </c>
      <c r="C844" s="5" t="s">
        <v>1159</v>
      </c>
      <c r="D844" s="3" t="s">
        <v>454</v>
      </c>
      <c r="E844" s="3">
        <v>2170</v>
      </c>
      <c r="F844" s="31">
        <v>18</v>
      </c>
      <c r="G844" s="10">
        <v>14</v>
      </c>
      <c r="H844" s="3">
        <v>62</v>
      </c>
      <c r="I844" s="3">
        <v>58</v>
      </c>
      <c r="J844" t="str">
        <f t="shared" si="13"/>
        <v>http://www.badatelna.eu/reprodukce/?fondId=1073&amp;zaznamId=1108956&amp;reproId=3779610</v>
      </c>
      <c r="K844">
        <f>IF(LEN(TRIM(E844))=0,"",VLOOKUP(E844,Sheet2!$B$1:$E$19,2,FALSE))</f>
        <v>1073</v>
      </c>
      <c r="L844">
        <f>IF(LEN(TRIM(E844))=0,"",VLOOKUP(E844,Sheet2!$B$1:$E$19,3,FALSE))</f>
        <v>1108956</v>
      </c>
      <c r="M844">
        <f>IF(LEN(TRIM(E844))=0,"",VLOOKUP(E844,Sheet2!$B$1:$E$19,4,FALSE))+(F844-1)</f>
        <v>3779610</v>
      </c>
      <c r="N844"/>
      <c r="O844"/>
      <c r="P844"/>
      <c r="Q844"/>
    </row>
    <row r="845" spans="1:17" s="1" customFormat="1" ht="15" customHeight="1" x14ac:dyDescent="0.25">
      <c r="A845" s="28" t="s">
        <v>209</v>
      </c>
      <c r="B845" s="28" t="s">
        <v>135</v>
      </c>
      <c r="C845" s="6" t="s">
        <v>2728</v>
      </c>
      <c r="D845" s="1" t="s">
        <v>454</v>
      </c>
      <c r="E845" s="1">
        <v>2173</v>
      </c>
      <c r="F845" s="28">
        <v>226</v>
      </c>
      <c r="G845" s="9">
        <v>57</v>
      </c>
      <c r="H845" s="1" t="s">
        <v>3073</v>
      </c>
      <c r="I845" s="1" t="s">
        <v>3073</v>
      </c>
      <c r="J845" t="str">
        <f t="shared" si="13"/>
        <v>http://www.badatelna.eu/reprodukce/?fondId=1073&amp;zaznamId=1108959&amp;reproId=3780219</v>
      </c>
      <c r="K845">
        <f>IF(LEN(TRIM(E845))=0,"",VLOOKUP(E845,Sheet2!$B$1:$E$19,2,FALSE))</f>
        <v>1073</v>
      </c>
      <c r="L845">
        <f>IF(LEN(TRIM(E845))=0,"",VLOOKUP(E845,Sheet2!$B$1:$E$19,3,FALSE))</f>
        <v>1108959</v>
      </c>
      <c r="M845">
        <f>IF(LEN(TRIM(E845))=0,"",VLOOKUP(E845,Sheet2!$B$1:$E$19,4,FALSE))+(F845-1)</f>
        <v>3780219</v>
      </c>
    </row>
    <row r="846" spans="1:17" s="1" customFormat="1" ht="15" customHeight="1" x14ac:dyDescent="0.25">
      <c r="A846" s="28" t="s">
        <v>209</v>
      </c>
      <c r="B846" s="28" t="s">
        <v>48</v>
      </c>
      <c r="C846" s="6" t="s">
        <v>2474</v>
      </c>
      <c r="D846" s="1" t="s">
        <v>454</v>
      </c>
      <c r="E846" s="1">
        <v>2173</v>
      </c>
      <c r="F846" s="28">
        <v>205</v>
      </c>
      <c r="G846" s="1">
        <v>19</v>
      </c>
      <c r="H846" s="1" t="s">
        <v>3073</v>
      </c>
      <c r="I846" s="1" t="s">
        <v>3073</v>
      </c>
      <c r="J846" t="str">
        <f t="shared" si="13"/>
        <v>http://www.badatelna.eu/reprodukce/?fondId=1073&amp;zaznamId=1108959&amp;reproId=3780198</v>
      </c>
      <c r="K846">
        <f>IF(LEN(TRIM(E846))=0,"",VLOOKUP(E846,Sheet2!$B$1:$E$19,2,FALSE))</f>
        <v>1073</v>
      </c>
      <c r="L846">
        <f>IF(LEN(TRIM(E846))=0,"",VLOOKUP(E846,Sheet2!$B$1:$E$19,3,FALSE))</f>
        <v>1108959</v>
      </c>
      <c r="M846">
        <f>IF(LEN(TRIM(E846))=0,"",VLOOKUP(E846,Sheet2!$B$1:$E$19,4,FALSE))+(F846-1)</f>
        <v>3780198</v>
      </c>
      <c r="N846"/>
      <c r="O846"/>
      <c r="P846"/>
      <c r="Q846"/>
    </row>
    <row r="847" spans="1:17" s="1" customFormat="1" ht="15" customHeight="1" x14ac:dyDescent="0.25">
      <c r="A847" s="28" t="s">
        <v>209</v>
      </c>
      <c r="B847" s="28" t="s">
        <v>360</v>
      </c>
      <c r="C847" s="1">
        <v>1856</v>
      </c>
      <c r="D847" s="1" t="s">
        <v>2919</v>
      </c>
      <c r="E847" s="1">
        <v>998</v>
      </c>
      <c r="F847" s="28">
        <v>50</v>
      </c>
      <c r="G847" s="1">
        <v>48</v>
      </c>
      <c r="H847" s="1">
        <v>68</v>
      </c>
      <c r="I847" s="1">
        <v>65</v>
      </c>
      <c r="J847" t="str">
        <f t="shared" si="13"/>
        <v>http://www.badatelna.eu/reprodukce/?fondId=241&amp;zaznamId=1133738&amp;reproId=3885696</v>
      </c>
      <c r="K847">
        <f>IF(LEN(TRIM(E847))=0,"",VLOOKUP(E847,Sheet2!$B$1:$E$19,2,FALSE))</f>
        <v>241</v>
      </c>
      <c r="L847">
        <f>IF(LEN(TRIM(E847))=0,"",VLOOKUP(E847,Sheet2!$B$1:$E$19,3,FALSE))</f>
        <v>1133738</v>
      </c>
      <c r="M847">
        <f>IF(LEN(TRIM(E847))=0,"",VLOOKUP(E847,Sheet2!$B$1:$E$19,4,FALSE))+(F847-1)</f>
        <v>3885696</v>
      </c>
    </row>
    <row r="848" spans="1:17" s="1" customFormat="1" ht="15" customHeight="1" x14ac:dyDescent="0.25">
      <c r="A848" s="28" t="s">
        <v>2960</v>
      </c>
      <c r="B848" s="28" t="s">
        <v>135</v>
      </c>
      <c r="C848" s="1">
        <v>1854</v>
      </c>
      <c r="D848" s="1" t="s">
        <v>2919</v>
      </c>
      <c r="E848" s="1">
        <v>998</v>
      </c>
      <c r="F848" s="28">
        <v>41</v>
      </c>
      <c r="G848" s="1">
        <v>39</v>
      </c>
      <c r="H848" s="1">
        <v>68</v>
      </c>
      <c r="I848" s="1">
        <v>65</v>
      </c>
      <c r="J848" t="str">
        <f t="shared" si="13"/>
        <v>http://www.badatelna.eu/reprodukce/?fondId=241&amp;zaznamId=1133738&amp;reproId=3885687</v>
      </c>
      <c r="K848">
        <f>IF(LEN(TRIM(E848))=0,"",VLOOKUP(E848,Sheet2!$B$1:$E$19,2,FALSE))</f>
        <v>241</v>
      </c>
      <c r="L848">
        <f>IF(LEN(TRIM(E848))=0,"",VLOOKUP(E848,Sheet2!$B$1:$E$19,3,FALSE))</f>
        <v>1133738</v>
      </c>
      <c r="M848">
        <f>IF(LEN(TRIM(E848))=0,"",VLOOKUP(E848,Sheet2!$B$1:$E$19,4,FALSE))+(F848-1)</f>
        <v>3885687</v>
      </c>
    </row>
    <row r="849" spans="1:17" s="1" customFormat="1" ht="15" customHeight="1" x14ac:dyDescent="0.25">
      <c r="A849" s="28" t="s">
        <v>18</v>
      </c>
      <c r="B849" s="28" t="s">
        <v>33</v>
      </c>
      <c r="C849" s="6" t="s">
        <v>2479</v>
      </c>
      <c r="D849" s="1" t="s">
        <v>454</v>
      </c>
      <c r="E849" s="1">
        <v>2173</v>
      </c>
      <c r="F849" s="28">
        <v>205</v>
      </c>
      <c r="G849" s="1">
        <v>20</v>
      </c>
      <c r="H849" s="1" t="s">
        <v>3073</v>
      </c>
      <c r="I849" s="1" t="s">
        <v>3073</v>
      </c>
      <c r="J849" t="str">
        <f t="shared" si="13"/>
        <v>http://www.badatelna.eu/reprodukce/?fondId=1073&amp;zaznamId=1108959&amp;reproId=3780198</v>
      </c>
      <c r="K849">
        <f>IF(LEN(TRIM(E849))=0,"",VLOOKUP(E849,Sheet2!$B$1:$E$19,2,FALSE))</f>
        <v>1073</v>
      </c>
      <c r="L849">
        <f>IF(LEN(TRIM(E849))=0,"",VLOOKUP(E849,Sheet2!$B$1:$E$19,3,FALSE))</f>
        <v>1108959</v>
      </c>
      <c r="M849">
        <f>IF(LEN(TRIM(E849))=0,"",VLOOKUP(E849,Sheet2!$B$1:$E$19,4,FALSE))+(F849-1)</f>
        <v>3780198</v>
      </c>
    </row>
    <row r="850" spans="1:17" s="1" customFormat="1" ht="15" customHeight="1" x14ac:dyDescent="0.25">
      <c r="A850" s="28" t="s">
        <v>18</v>
      </c>
      <c r="B850" s="28" t="s">
        <v>25</v>
      </c>
      <c r="C850" s="6" t="s">
        <v>2288</v>
      </c>
      <c r="D850" s="1" t="s">
        <v>454</v>
      </c>
      <c r="E850" s="1">
        <v>2173</v>
      </c>
      <c r="F850" s="28">
        <v>198</v>
      </c>
      <c r="G850" s="9">
        <v>6</v>
      </c>
      <c r="H850" s="1" t="s">
        <v>3073</v>
      </c>
      <c r="I850" s="1" t="s">
        <v>3073</v>
      </c>
      <c r="J850" t="str">
        <f t="shared" si="13"/>
        <v>http://www.badatelna.eu/reprodukce/?fondId=1073&amp;zaznamId=1108959&amp;reproId=3780191</v>
      </c>
      <c r="K850">
        <f>IF(LEN(TRIM(E850))=0,"",VLOOKUP(E850,Sheet2!$B$1:$E$19,2,FALSE))</f>
        <v>1073</v>
      </c>
      <c r="L850">
        <f>IF(LEN(TRIM(E850))=0,"",VLOOKUP(E850,Sheet2!$B$1:$E$19,3,FALSE))</f>
        <v>1108959</v>
      </c>
      <c r="M850">
        <f>IF(LEN(TRIM(E850))=0,"",VLOOKUP(E850,Sheet2!$B$1:$E$19,4,FALSE))+(F850-1)</f>
        <v>3780191</v>
      </c>
      <c r="N850"/>
      <c r="O850"/>
      <c r="P850"/>
      <c r="Q850"/>
    </row>
    <row r="851" spans="1:17" s="1" customFormat="1" ht="15" customHeight="1" x14ac:dyDescent="0.25">
      <c r="A851" s="28" t="s">
        <v>18</v>
      </c>
      <c r="B851" s="28" t="s">
        <v>25</v>
      </c>
      <c r="C851" s="6" t="s">
        <v>2625</v>
      </c>
      <c r="D851" s="1" t="s">
        <v>454</v>
      </c>
      <c r="E851" s="1">
        <v>2173</v>
      </c>
      <c r="F851" s="28">
        <v>220</v>
      </c>
      <c r="G851" s="9">
        <v>48</v>
      </c>
      <c r="H851" s="1" t="s">
        <v>3073</v>
      </c>
      <c r="I851" s="1" t="s">
        <v>3073</v>
      </c>
      <c r="J851" t="str">
        <f t="shared" si="13"/>
        <v>http://www.badatelna.eu/reprodukce/?fondId=1073&amp;zaznamId=1108959&amp;reproId=3780213</v>
      </c>
      <c r="K851">
        <f>IF(LEN(TRIM(E851))=0,"",VLOOKUP(E851,Sheet2!$B$1:$E$19,2,FALSE))</f>
        <v>1073</v>
      </c>
      <c r="L851">
        <f>IF(LEN(TRIM(E851))=0,"",VLOOKUP(E851,Sheet2!$B$1:$E$19,3,FALSE))</f>
        <v>1108959</v>
      </c>
      <c r="M851">
        <f>IF(LEN(TRIM(E851))=0,"",VLOOKUP(E851,Sheet2!$B$1:$E$19,4,FALSE))+(F851-1)</f>
        <v>3780213</v>
      </c>
    </row>
    <row r="852" spans="1:17" ht="15" customHeight="1" x14ac:dyDescent="0.25">
      <c r="A852" s="28" t="s">
        <v>70</v>
      </c>
      <c r="B852" s="28" t="s">
        <v>33</v>
      </c>
      <c r="C852" s="6" t="s">
        <v>2050</v>
      </c>
      <c r="D852" s="1" t="s">
        <v>454</v>
      </c>
      <c r="E852" s="1">
        <v>2173</v>
      </c>
      <c r="F852" s="28">
        <v>180</v>
      </c>
      <c r="G852" s="9">
        <v>7</v>
      </c>
      <c r="H852" s="1">
        <v>187</v>
      </c>
      <c r="I852" s="1">
        <v>417</v>
      </c>
      <c r="J852" t="str">
        <f t="shared" si="13"/>
        <v>http://www.badatelna.eu/reprodukce/?fondId=1073&amp;zaznamId=1108959&amp;reproId=3780173</v>
      </c>
      <c r="K852">
        <f>IF(LEN(TRIM(E852))=0,"",VLOOKUP(E852,Sheet2!$B$1:$E$19,2,FALSE))</f>
        <v>1073</v>
      </c>
      <c r="L852">
        <f>IF(LEN(TRIM(E852))=0,"",VLOOKUP(E852,Sheet2!$B$1:$E$19,3,FALSE))</f>
        <v>1108959</v>
      </c>
      <c r="M852">
        <f>IF(LEN(TRIM(E852))=0,"",VLOOKUP(E852,Sheet2!$B$1:$E$19,4,FALSE))+(F852-1)</f>
        <v>3780173</v>
      </c>
      <c r="N852" s="1"/>
      <c r="O852" s="1"/>
      <c r="P852" s="1"/>
      <c r="Q852" s="1"/>
    </row>
    <row r="853" spans="1:17" ht="15" customHeight="1" x14ac:dyDescent="0.25">
      <c r="A853" s="28" t="s">
        <v>70</v>
      </c>
      <c r="B853" s="28" t="s">
        <v>33</v>
      </c>
      <c r="C853" s="6" t="s">
        <v>2205</v>
      </c>
      <c r="D853" s="1" t="s">
        <v>454</v>
      </c>
      <c r="E853" s="1">
        <v>2173</v>
      </c>
      <c r="F853" s="28">
        <v>210</v>
      </c>
      <c r="G853" s="9" t="s">
        <v>2863</v>
      </c>
      <c r="H853" s="1" t="s">
        <v>3073</v>
      </c>
      <c r="I853" s="1" t="s">
        <v>3073</v>
      </c>
      <c r="J853" t="str">
        <f t="shared" si="13"/>
        <v>http://www.badatelna.eu/reprodukce/?fondId=1073&amp;zaznamId=1108959&amp;reproId=3780203</v>
      </c>
      <c r="K853">
        <f>IF(LEN(TRIM(E853))=0,"",VLOOKUP(E853,Sheet2!$B$1:$E$19,2,FALSE))</f>
        <v>1073</v>
      </c>
      <c r="L853">
        <f>IF(LEN(TRIM(E853))=0,"",VLOOKUP(E853,Sheet2!$B$1:$E$19,3,FALSE))</f>
        <v>1108959</v>
      </c>
      <c r="M853">
        <f>IF(LEN(TRIM(E853))=0,"",VLOOKUP(E853,Sheet2!$B$1:$E$19,4,FALSE))+(F853-1)</f>
        <v>3780203</v>
      </c>
      <c r="N853" s="1"/>
      <c r="O853" s="1"/>
      <c r="P853" s="1"/>
      <c r="Q853" s="1"/>
    </row>
    <row r="854" spans="1:17" ht="15" customHeight="1" x14ac:dyDescent="0.25">
      <c r="A854" s="28" t="s">
        <v>70</v>
      </c>
      <c r="B854" s="28" t="s">
        <v>33</v>
      </c>
      <c r="C854" s="6" t="s">
        <v>2289</v>
      </c>
      <c r="D854" s="1" t="s">
        <v>454</v>
      </c>
      <c r="E854" s="1">
        <v>2173</v>
      </c>
      <c r="F854" s="28">
        <v>198</v>
      </c>
      <c r="G854" s="9">
        <v>6</v>
      </c>
      <c r="H854" s="1" t="s">
        <v>3073</v>
      </c>
      <c r="I854" s="1" t="s">
        <v>3073</v>
      </c>
      <c r="J854" t="str">
        <f t="shared" si="13"/>
        <v>http://www.badatelna.eu/reprodukce/?fondId=1073&amp;zaznamId=1108959&amp;reproId=3780191</v>
      </c>
      <c r="K854">
        <f>IF(LEN(TRIM(E854))=0,"",VLOOKUP(E854,Sheet2!$B$1:$E$19,2,FALSE))</f>
        <v>1073</v>
      </c>
      <c r="L854">
        <f>IF(LEN(TRIM(E854))=0,"",VLOOKUP(E854,Sheet2!$B$1:$E$19,3,FALSE))</f>
        <v>1108959</v>
      </c>
      <c r="M854">
        <f>IF(LEN(TRIM(E854))=0,"",VLOOKUP(E854,Sheet2!$B$1:$E$19,4,FALSE))+(F854-1)</f>
        <v>3780191</v>
      </c>
      <c r="N854" s="1"/>
      <c r="O854" s="1"/>
      <c r="P854" s="1"/>
      <c r="Q854" s="1"/>
    </row>
    <row r="855" spans="1:17" ht="15" customHeight="1" x14ac:dyDescent="0.25">
      <c r="A855" s="28" t="s">
        <v>70</v>
      </c>
      <c r="B855" s="28" t="s">
        <v>290</v>
      </c>
      <c r="C855" s="6" t="s">
        <v>2051</v>
      </c>
      <c r="D855" s="1" t="s">
        <v>454</v>
      </c>
      <c r="E855" s="1">
        <v>2173</v>
      </c>
      <c r="F855" s="28">
        <v>182</v>
      </c>
      <c r="G855" s="9">
        <v>12</v>
      </c>
      <c r="H855" s="1">
        <v>187</v>
      </c>
      <c r="I855" s="1">
        <v>417</v>
      </c>
      <c r="J855" t="str">
        <f t="shared" si="13"/>
        <v>http://www.badatelna.eu/reprodukce/?fondId=1073&amp;zaznamId=1108959&amp;reproId=3780175</v>
      </c>
      <c r="K855">
        <f>IF(LEN(TRIM(E855))=0,"",VLOOKUP(E855,Sheet2!$B$1:$E$19,2,FALSE))</f>
        <v>1073</v>
      </c>
      <c r="L855">
        <f>IF(LEN(TRIM(E855))=0,"",VLOOKUP(E855,Sheet2!$B$1:$E$19,3,FALSE))</f>
        <v>1108959</v>
      </c>
      <c r="M855">
        <f>IF(LEN(TRIM(E855))=0,"",VLOOKUP(E855,Sheet2!$B$1:$E$19,4,FALSE))+(F855-1)</f>
        <v>3780175</v>
      </c>
      <c r="N855" s="1"/>
      <c r="O855" s="1"/>
      <c r="P855" s="1"/>
      <c r="Q855" s="1"/>
    </row>
    <row r="856" spans="1:17" ht="15" customHeight="1" x14ac:dyDescent="0.25">
      <c r="A856" s="28" t="s">
        <v>70</v>
      </c>
      <c r="B856" s="29" t="s">
        <v>280</v>
      </c>
      <c r="C856" s="1">
        <v>1853</v>
      </c>
      <c r="D856" s="1" t="s">
        <v>2919</v>
      </c>
      <c r="E856" s="1">
        <v>998</v>
      </c>
      <c r="F856" s="28">
        <v>38</v>
      </c>
      <c r="G856" s="1">
        <v>36</v>
      </c>
      <c r="H856" s="1">
        <v>68</v>
      </c>
      <c r="I856" s="1">
        <v>65</v>
      </c>
      <c r="J856" t="str">
        <f t="shared" si="13"/>
        <v>http://www.badatelna.eu/reprodukce/?fondId=241&amp;zaznamId=1133738&amp;reproId=3885684</v>
      </c>
      <c r="K856">
        <f>IF(LEN(TRIM(E856))=0,"",VLOOKUP(E856,Sheet2!$B$1:$E$19,2,FALSE))</f>
        <v>241</v>
      </c>
      <c r="L856">
        <f>IF(LEN(TRIM(E856))=0,"",VLOOKUP(E856,Sheet2!$B$1:$E$19,3,FALSE))</f>
        <v>1133738</v>
      </c>
      <c r="M856">
        <f>IF(LEN(TRIM(E856))=0,"",VLOOKUP(E856,Sheet2!$B$1:$E$19,4,FALSE))+(F856-1)</f>
        <v>3885684</v>
      </c>
      <c r="N856" s="1"/>
      <c r="O856" s="1"/>
      <c r="P856" s="1"/>
      <c r="Q856" s="1"/>
    </row>
    <row r="857" spans="1:17" ht="15" customHeight="1" x14ac:dyDescent="0.25">
      <c r="A857" s="28" t="s">
        <v>70</v>
      </c>
      <c r="B857" s="28" t="s">
        <v>571</v>
      </c>
      <c r="C857" s="1">
        <v>1889</v>
      </c>
      <c r="D857" s="1" t="s">
        <v>454</v>
      </c>
      <c r="E857" s="1">
        <v>2172</v>
      </c>
      <c r="F857" s="28">
        <v>67</v>
      </c>
      <c r="G857" s="9" t="s">
        <v>3082</v>
      </c>
      <c r="H857" s="1">
        <v>70</v>
      </c>
      <c r="I857" s="1">
        <v>69</v>
      </c>
      <c r="J857" t="str">
        <f t="shared" si="13"/>
        <v>http://www.badatelna.eu/reprodukce/?fondId=1073&amp;zaznamId=1108958&amp;reproId=3779808</v>
      </c>
      <c r="K857">
        <f>IF(LEN(TRIM(E857))=0,"",VLOOKUP(E857,Sheet2!$B$1:$E$19,2,FALSE))</f>
        <v>1073</v>
      </c>
      <c r="L857">
        <f>IF(LEN(TRIM(E857))=0,"",VLOOKUP(E857,Sheet2!$B$1:$E$19,3,FALSE))</f>
        <v>1108958</v>
      </c>
      <c r="M857">
        <f>IF(LEN(TRIM(E857))=0,"",VLOOKUP(E857,Sheet2!$B$1:$E$19,4,FALSE))+(F857-1)</f>
        <v>3779808</v>
      </c>
      <c r="N857" s="1"/>
      <c r="O857" s="1"/>
      <c r="P857" s="1"/>
      <c r="Q857" s="1"/>
    </row>
    <row r="858" spans="1:17" ht="15" customHeight="1" x14ac:dyDescent="0.25">
      <c r="A858" s="27" t="s">
        <v>70</v>
      </c>
      <c r="B858" s="27" t="s">
        <v>530</v>
      </c>
      <c r="C858" s="5" t="s">
        <v>1164</v>
      </c>
      <c r="D858" s="3" t="s">
        <v>454</v>
      </c>
      <c r="E858" s="3">
        <v>2170</v>
      </c>
      <c r="F858" s="28">
        <v>57</v>
      </c>
      <c r="G858" s="10">
        <v>53</v>
      </c>
      <c r="H858" s="3">
        <v>62</v>
      </c>
      <c r="I858" s="3">
        <v>58</v>
      </c>
      <c r="J858" t="str">
        <f t="shared" si="13"/>
        <v>http://www.badatelna.eu/reprodukce/?fondId=1073&amp;zaznamId=1108956&amp;reproId=3779649</v>
      </c>
      <c r="K858">
        <f>IF(LEN(TRIM(E858))=0,"",VLOOKUP(E858,Sheet2!$B$1:$E$19,2,FALSE))</f>
        <v>1073</v>
      </c>
      <c r="L858">
        <f>IF(LEN(TRIM(E858))=0,"",VLOOKUP(E858,Sheet2!$B$1:$E$19,3,FALSE))</f>
        <v>1108956</v>
      </c>
      <c r="M858">
        <f>IF(LEN(TRIM(E858))=0,"",VLOOKUP(E858,Sheet2!$B$1:$E$19,4,FALSE))+(F858-1)</f>
        <v>3779649</v>
      </c>
      <c r="N858" s="1"/>
      <c r="O858" s="1"/>
      <c r="P858" s="1"/>
      <c r="Q858" s="1"/>
    </row>
    <row r="859" spans="1:17" ht="15" customHeight="1" x14ac:dyDescent="0.25">
      <c r="A859" s="28" t="s">
        <v>70</v>
      </c>
      <c r="B859" s="28" t="s">
        <v>39</v>
      </c>
      <c r="C859" s="6" t="s">
        <v>2394</v>
      </c>
      <c r="D859" s="1" t="s">
        <v>454</v>
      </c>
      <c r="E859" s="1">
        <v>2173</v>
      </c>
      <c r="F859" s="28">
        <v>202</v>
      </c>
      <c r="G859" s="9">
        <v>13</v>
      </c>
      <c r="H859" s="1" t="s">
        <v>3073</v>
      </c>
      <c r="I859" s="1" t="s">
        <v>3073</v>
      </c>
      <c r="J859" t="str">
        <f t="shared" si="13"/>
        <v>http://www.badatelna.eu/reprodukce/?fondId=1073&amp;zaznamId=1108959&amp;reproId=3780195</v>
      </c>
      <c r="K859">
        <f>IF(LEN(TRIM(E859))=0,"",VLOOKUP(E859,Sheet2!$B$1:$E$19,2,FALSE))</f>
        <v>1073</v>
      </c>
      <c r="L859">
        <f>IF(LEN(TRIM(E859))=0,"",VLOOKUP(E859,Sheet2!$B$1:$E$19,3,FALSE))</f>
        <v>1108959</v>
      </c>
      <c r="M859">
        <f>IF(LEN(TRIM(E859))=0,"",VLOOKUP(E859,Sheet2!$B$1:$E$19,4,FALSE))+(F859-1)</f>
        <v>3780195</v>
      </c>
      <c r="N859" s="1"/>
      <c r="O859" s="1"/>
      <c r="P859" s="1"/>
      <c r="Q859" s="1"/>
    </row>
    <row r="860" spans="1:17" ht="15" customHeight="1" x14ac:dyDescent="0.25">
      <c r="A860" s="28" t="s">
        <v>70</v>
      </c>
      <c r="B860" s="28" t="s">
        <v>39</v>
      </c>
      <c r="C860" s="6" t="s">
        <v>2672</v>
      </c>
      <c r="D860" s="1" t="s">
        <v>454</v>
      </c>
      <c r="E860" s="1">
        <v>2173</v>
      </c>
      <c r="F860" s="28">
        <v>223</v>
      </c>
      <c r="G860" s="9">
        <v>51</v>
      </c>
      <c r="H860" s="1" t="s">
        <v>3073</v>
      </c>
      <c r="I860" s="1" t="s">
        <v>3073</v>
      </c>
      <c r="J860" t="str">
        <f t="shared" si="13"/>
        <v>http://www.badatelna.eu/reprodukce/?fondId=1073&amp;zaznamId=1108959&amp;reproId=3780216</v>
      </c>
      <c r="K860">
        <f>IF(LEN(TRIM(E860))=0,"",VLOOKUP(E860,Sheet2!$B$1:$E$19,2,FALSE))</f>
        <v>1073</v>
      </c>
      <c r="L860">
        <f>IF(LEN(TRIM(E860))=0,"",VLOOKUP(E860,Sheet2!$B$1:$E$19,3,FALSE))</f>
        <v>1108959</v>
      </c>
      <c r="M860">
        <f>IF(LEN(TRIM(E860))=0,"",VLOOKUP(E860,Sheet2!$B$1:$E$19,4,FALSE))+(F860-1)</f>
        <v>3780216</v>
      </c>
      <c r="N860" s="1"/>
      <c r="O860" s="1"/>
      <c r="P860" s="1"/>
      <c r="Q860" s="1"/>
    </row>
    <row r="861" spans="1:17" ht="15" customHeight="1" x14ac:dyDescent="0.25">
      <c r="A861" s="27" t="s">
        <v>70</v>
      </c>
      <c r="B861" s="27" t="s">
        <v>424</v>
      </c>
      <c r="C861" s="5" t="s">
        <v>1162</v>
      </c>
      <c r="D861" s="3" t="s">
        <v>454</v>
      </c>
      <c r="E861" s="3">
        <v>2170</v>
      </c>
      <c r="F861" s="28">
        <v>27</v>
      </c>
      <c r="G861" s="10">
        <v>23</v>
      </c>
      <c r="H861" s="3">
        <v>62</v>
      </c>
      <c r="I861" s="3">
        <v>58</v>
      </c>
      <c r="J861" t="str">
        <f t="shared" si="13"/>
        <v>http://www.badatelna.eu/reprodukce/?fondId=1073&amp;zaznamId=1108956&amp;reproId=3779619</v>
      </c>
      <c r="K861">
        <f>IF(LEN(TRIM(E861))=0,"",VLOOKUP(E861,Sheet2!$B$1:$E$19,2,FALSE))</f>
        <v>1073</v>
      </c>
      <c r="L861">
        <f>IF(LEN(TRIM(E861))=0,"",VLOOKUP(E861,Sheet2!$B$1:$E$19,3,FALSE))</f>
        <v>1108956</v>
      </c>
      <c r="M861">
        <f>IF(LEN(TRIM(E861))=0,"",VLOOKUP(E861,Sheet2!$B$1:$E$19,4,FALSE))+(F861-1)</f>
        <v>3779619</v>
      </c>
    </row>
    <row r="862" spans="1:17" ht="15" customHeight="1" x14ac:dyDescent="0.25">
      <c r="A862" s="27" t="s">
        <v>70</v>
      </c>
      <c r="B862" s="27" t="s">
        <v>135</v>
      </c>
      <c r="C862" s="5" t="s">
        <v>1163</v>
      </c>
      <c r="D862" s="3" t="s">
        <v>454</v>
      </c>
      <c r="E862" s="3">
        <v>2170</v>
      </c>
      <c r="F862" s="28">
        <v>17</v>
      </c>
      <c r="G862" s="10">
        <v>13</v>
      </c>
      <c r="H862" s="3">
        <v>62</v>
      </c>
      <c r="I862" s="3">
        <v>58</v>
      </c>
      <c r="J862" t="str">
        <f t="shared" si="13"/>
        <v>http://www.badatelna.eu/reprodukce/?fondId=1073&amp;zaznamId=1108956&amp;reproId=3779609</v>
      </c>
      <c r="K862">
        <f>IF(LEN(TRIM(E862))=0,"",VLOOKUP(E862,Sheet2!$B$1:$E$19,2,FALSE))</f>
        <v>1073</v>
      </c>
      <c r="L862">
        <f>IF(LEN(TRIM(E862))=0,"",VLOOKUP(E862,Sheet2!$B$1:$E$19,3,FALSE))</f>
        <v>1108956</v>
      </c>
      <c r="M862">
        <f>IF(LEN(TRIM(E862))=0,"",VLOOKUP(E862,Sheet2!$B$1:$E$19,4,FALSE))+(F862-1)</f>
        <v>3779609</v>
      </c>
      <c r="N862" s="1"/>
      <c r="O862" s="1"/>
      <c r="P862" s="1"/>
      <c r="Q862" s="1"/>
    </row>
    <row r="863" spans="1:17" ht="15" customHeight="1" x14ac:dyDescent="0.25">
      <c r="A863" s="28" t="s">
        <v>70</v>
      </c>
      <c r="B863" s="28" t="s">
        <v>48</v>
      </c>
      <c r="C863" s="1">
        <v>1866</v>
      </c>
      <c r="D863" s="1" t="s">
        <v>2919</v>
      </c>
      <c r="E863" s="1">
        <v>999</v>
      </c>
      <c r="F863" s="28">
        <v>90</v>
      </c>
      <c r="G863" s="1">
        <v>11</v>
      </c>
      <c r="H863" s="1">
        <v>99</v>
      </c>
      <c r="I863" s="1">
        <v>158</v>
      </c>
      <c r="J863" t="str">
        <f t="shared" si="13"/>
        <v>http://www.badatelna.eu/reprodukce/?fondId=241&amp;zaznamId=1133739&amp;reproId=3885819</v>
      </c>
      <c r="K863">
        <f>IF(LEN(TRIM(E863))=0,"",VLOOKUP(E863,Sheet2!$B$1:$E$19,2,FALSE))</f>
        <v>241</v>
      </c>
      <c r="L863">
        <f>IF(LEN(TRIM(E863))=0,"",VLOOKUP(E863,Sheet2!$B$1:$E$19,3,FALSE))</f>
        <v>1133739</v>
      </c>
      <c r="M863">
        <f>IF(LEN(TRIM(E863))=0,"",VLOOKUP(E863,Sheet2!$B$1:$E$19,4,FALSE))+(F863-1)</f>
        <v>3885819</v>
      </c>
    </row>
    <row r="864" spans="1:17" ht="15" customHeight="1" x14ac:dyDescent="0.25">
      <c r="A864" s="28" t="s">
        <v>70</v>
      </c>
      <c r="B864" s="28" t="s">
        <v>48</v>
      </c>
      <c r="C864" s="6" t="s">
        <v>2870</v>
      </c>
      <c r="D864" s="1" t="s">
        <v>454</v>
      </c>
      <c r="E864" s="1">
        <v>2173</v>
      </c>
      <c r="F864" s="28">
        <v>210</v>
      </c>
      <c r="G864" s="9" t="s">
        <v>2863</v>
      </c>
      <c r="H864" s="1" t="s">
        <v>3073</v>
      </c>
      <c r="I864" s="1" t="s">
        <v>3073</v>
      </c>
      <c r="J864" t="str">
        <f t="shared" si="13"/>
        <v>http://www.badatelna.eu/reprodukce/?fondId=1073&amp;zaznamId=1108959&amp;reproId=3780203</v>
      </c>
      <c r="K864">
        <f>IF(LEN(TRIM(E864))=0,"",VLOOKUP(E864,Sheet2!$B$1:$E$19,2,FALSE))</f>
        <v>1073</v>
      </c>
      <c r="L864">
        <f>IF(LEN(TRIM(E864))=0,"",VLOOKUP(E864,Sheet2!$B$1:$E$19,3,FALSE))</f>
        <v>1108959</v>
      </c>
      <c r="M864">
        <f>IF(LEN(TRIM(E864))=0,"",VLOOKUP(E864,Sheet2!$B$1:$E$19,4,FALSE))+(F864-1)</f>
        <v>3780203</v>
      </c>
      <c r="N864" s="1"/>
      <c r="O864" s="1"/>
      <c r="P864" s="1"/>
      <c r="Q864" s="1"/>
    </row>
    <row r="865" spans="1:17" ht="15" customHeight="1" x14ac:dyDescent="0.2">
      <c r="A865" s="31" t="s">
        <v>70</v>
      </c>
      <c r="B865" s="31" t="s">
        <v>1</v>
      </c>
      <c r="C865" s="7" t="s">
        <v>2255</v>
      </c>
      <c r="D865" s="1" t="s">
        <v>454</v>
      </c>
      <c r="E865" s="1">
        <v>2173</v>
      </c>
      <c r="F865" s="31">
        <v>197</v>
      </c>
      <c r="G865" s="12">
        <v>4</v>
      </c>
      <c r="H865" s="1" t="s">
        <v>3073</v>
      </c>
      <c r="I865" s="1" t="s">
        <v>3073</v>
      </c>
      <c r="J865" t="str">
        <f t="shared" si="13"/>
        <v>http://www.badatelna.eu/reprodukce/?fondId=1073&amp;zaznamId=1108959&amp;reproId=3780190</v>
      </c>
      <c r="K865">
        <f>IF(LEN(TRIM(E865))=0,"",VLOOKUP(E865,Sheet2!$B$1:$E$19,2,FALSE))</f>
        <v>1073</v>
      </c>
      <c r="L865">
        <f>IF(LEN(TRIM(E865))=0,"",VLOOKUP(E865,Sheet2!$B$1:$E$19,3,FALSE))</f>
        <v>1108959</v>
      </c>
      <c r="M865">
        <f>IF(LEN(TRIM(E865))=0,"",VLOOKUP(E865,Sheet2!$B$1:$E$19,4,FALSE))+(F865-1)</f>
        <v>3780190</v>
      </c>
    </row>
    <row r="866" spans="1:17" ht="15" customHeight="1" x14ac:dyDescent="0.25">
      <c r="A866" s="30" t="s">
        <v>1039</v>
      </c>
      <c r="B866" s="27" t="s">
        <v>483</v>
      </c>
      <c r="C866" s="5" t="s">
        <v>1142</v>
      </c>
      <c r="D866" s="3" t="s">
        <v>454</v>
      </c>
      <c r="E866" s="3">
        <v>2170</v>
      </c>
      <c r="F866" s="37">
        <v>21</v>
      </c>
      <c r="G866" s="10">
        <v>17</v>
      </c>
      <c r="H866" s="3">
        <v>62</v>
      </c>
      <c r="I866" s="3">
        <v>58</v>
      </c>
      <c r="J866" t="str">
        <f t="shared" si="13"/>
        <v>http://www.badatelna.eu/reprodukce/?fondId=1073&amp;zaznamId=1108956&amp;reproId=3779613</v>
      </c>
      <c r="K866">
        <f>IF(LEN(TRIM(E866))=0,"",VLOOKUP(E866,Sheet2!$B$1:$E$19,2,FALSE))</f>
        <v>1073</v>
      </c>
      <c r="L866">
        <f>IF(LEN(TRIM(E866))=0,"",VLOOKUP(E866,Sheet2!$B$1:$E$19,3,FALSE))</f>
        <v>1108956</v>
      </c>
      <c r="M866">
        <f>IF(LEN(TRIM(E866))=0,"",VLOOKUP(E866,Sheet2!$B$1:$E$19,4,FALSE))+(F866-1)</f>
        <v>3779613</v>
      </c>
      <c r="N866" s="1"/>
      <c r="O866" s="1"/>
      <c r="P866" s="1"/>
      <c r="Q866" s="1"/>
    </row>
    <row r="867" spans="1:17" ht="15" customHeight="1" x14ac:dyDescent="0.25">
      <c r="A867" s="28" t="s">
        <v>2961</v>
      </c>
      <c r="B867" s="28" t="s">
        <v>483</v>
      </c>
      <c r="C867" s="1">
        <v>1855</v>
      </c>
      <c r="D867" s="1" t="s">
        <v>2919</v>
      </c>
      <c r="E867" s="1">
        <v>998</v>
      </c>
      <c r="F867" s="28">
        <v>46</v>
      </c>
      <c r="G867" s="1">
        <v>44</v>
      </c>
      <c r="H867" s="1">
        <v>68</v>
      </c>
      <c r="I867" s="1">
        <v>65</v>
      </c>
      <c r="J867" t="str">
        <f t="shared" si="13"/>
        <v>http://www.badatelna.eu/reprodukce/?fondId=241&amp;zaznamId=1133738&amp;reproId=3885692</v>
      </c>
      <c r="K867">
        <f>IF(LEN(TRIM(E867))=0,"",VLOOKUP(E867,Sheet2!$B$1:$E$19,2,FALSE))</f>
        <v>241</v>
      </c>
      <c r="L867">
        <f>IF(LEN(TRIM(E867))=0,"",VLOOKUP(E867,Sheet2!$B$1:$E$19,3,FALSE))</f>
        <v>1133738</v>
      </c>
      <c r="M867">
        <f>IF(LEN(TRIM(E867))=0,"",VLOOKUP(E867,Sheet2!$B$1:$E$19,4,FALSE))+(F867-1)</f>
        <v>3885692</v>
      </c>
      <c r="N867" s="1"/>
      <c r="O867" s="1"/>
      <c r="P867" s="1"/>
      <c r="Q867" s="1"/>
    </row>
    <row r="868" spans="1:17" ht="15" customHeight="1" x14ac:dyDescent="0.25">
      <c r="A868" s="27" t="s">
        <v>531</v>
      </c>
      <c r="B868" s="27" t="s">
        <v>532</v>
      </c>
      <c r="C868" s="5" t="s">
        <v>1165</v>
      </c>
      <c r="D868" s="3" t="s">
        <v>454</v>
      </c>
      <c r="E868" s="3">
        <v>2170</v>
      </c>
      <c r="F868" s="28">
        <v>6</v>
      </c>
      <c r="G868" s="10">
        <v>2</v>
      </c>
      <c r="H868" s="3">
        <v>62</v>
      </c>
      <c r="I868" s="3">
        <v>58</v>
      </c>
      <c r="J868" t="str">
        <f t="shared" si="13"/>
        <v>http://www.badatelna.eu/reprodukce/?fondId=1073&amp;zaznamId=1108956&amp;reproId=3779598</v>
      </c>
      <c r="K868">
        <f>IF(LEN(TRIM(E868))=0,"",VLOOKUP(E868,Sheet2!$B$1:$E$19,2,FALSE))</f>
        <v>1073</v>
      </c>
      <c r="L868">
        <f>IF(LEN(TRIM(E868))=0,"",VLOOKUP(E868,Sheet2!$B$1:$E$19,3,FALSE))</f>
        <v>1108956</v>
      </c>
      <c r="M868">
        <f>IF(LEN(TRIM(E868))=0,"",VLOOKUP(E868,Sheet2!$B$1:$E$19,4,FALSE))+(F868-1)</f>
        <v>3779598</v>
      </c>
      <c r="N868" s="1"/>
      <c r="O868" s="1"/>
      <c r="P868" s="1"/>
      <c r="Q868" s="1"/>
    </row>
    <row r="869" spans="1:17" ht="15" customHeight="1" x14ac:dyDescent="0.25">
      <c r="A869" s="28" t="s">
        <v>3041</v>
      </c>
      <c r="B869" s="28" t="s">
        <v>3042</v>
      </c>
      <c r="C869" s="1">
        <v>1863</v>
      </c>
      <c r="D869" s="1" t="s">
        <v>2919</v>
      </c>
      <c r="E869" s="1">
        <v>999</v>
      </c>
      <c r="F869" s="28">
        <v>82</v>
      </c>
      <c r="G869" s="1">
        <v>3</v>
      </c>
      <c r="H869" s="1">
        <v>99</v>
      </c>
      <c r="I869" s="1">
        <v>158</v>
      </c>
      <c r="J869" t="str">
        <f t="shared" si="13"/>
        <v>http://www.badatelna.eu/reprodukce/?fondId=241&amp;zaznamId=1133739&amp;reproId=3885811</v>
      </c>
      <c r="K869">
        <f>IF(LEN(TRIM(E869))=0,"",VLOOKUP(E869,Sheet2!$B$1:$E$19,2,FALSE))</f>
        <v>241</v>
      </c>
      <c r="L869">
        <f>IF(LEN(TRIM(E869))=0,"",VLOOKUP(E869,Sheet2!$B$1:$E$19,3,FALSE))</f>
        <v>1133739</v>
      </c>
      <c r="M869">
        <f>IF(LEN(TRIM(E869))=0,"",VLOOKUP(E869,Sheet2!$B$1:$E$19,4,FALSE))+(F869-1)</f>
        <v>3885811</v>
      </c>
      <c r="N869" s="1"/>
      <c r="O869" s="1"/>
      <c r="P869" s="1"/>
      <c r="Q869" s="1"/>
    </row>
    <row r="870" spans="1:17" ht="15" customHeight="1" x14ac:dyDescent="0.25">
      <c r="A870" s="27" t="s">
        <v>533</v>
      </c>
      <c r="B870" s="27" t="s">
        <v>522</v>
      </c>
      <c r="C870" s="5" t="s">
        <v>1167</v>
      </c>
      <c r="D870" s="3" t="s">
        <v>454</v>
      </c>
      <c r="E870" s="3">
        <v>2170</v>
      </c>
      <c r="F870" s="28">
        <v>48</v>
      </c>
      <c r="G870" s="10">
        <v>44</v>
      </c>
      <c r="H870" s="3">
        <v>62</v>
      </c>
      <c r="I870" s="3">
        <v>58</v>
      </c>
      <c r="J870" t="str">
        <f t="shared" si="13"/>
        <v>http://www.badatelna.eu/reprodukce/?fondId=1073&amp;zaznamId=1108956&amp;reproId=3779640</v>
      </c>
      <c r="K870">
        <f>IF(LEN(TRIM(E870))=0,"",VLOOKUP(E870,Sheet2!$B$1:$E$19,2,FALSE))</f>
        <v>1073</v>
      </c>
      <c r="L870">
        <f>IF(LEN(TRIM(E870))=0,"",VLOOKUP(E870,Sheet2!$B$1:$E$19,3,FALSE))</f>
        <v>1108956</v>
      </c>
      <c r="M870">
        <f>IF(LEN(TRIM(E870))=0,"",VLOOKUP(E870,Sheet2!$B$1:$E$19,4,FALSE))+(F870-1)</f>
        <v>3779640</v>
      </c>
      <c r="N870" s="1"/>
      <c r="O870" s="1"/>
      <c r="P870" s="1"/>
      <c r="Q870" s="1"/>
    </row>
    <row r="871" spans="1:17" ht="15" customHeight="1" x14ac:dyDescent="0.25">
      <c r="A871" s="27" t="s">
        <v>533</v>
      </c>
      <c r="B871" s="27" t="s">
        <v>534</v>
      </c>
      <c r="C871" s="5" t="s">
        <v>1166</v>
      </c>
      <c r="D871" s="3" t="s">
        <v>454</v>
      </c>
      <c r="E871" s="3">
        <v>2170</v>
      </c>
      <c r="F871" s="28">
        <v>15</v>
      </c>
      <c r="G871" s="10">
        <v>11</v>
      </c>
      <c r="H871" s="3">
        <v>62</v>
      </c>
      <c r="I871" s="3">
        <v>58</v>
      </c>
      <c r="J871" t="str">
        <f t="shared" si="13"/>
        <v>http://www.badatelna.eu/reprodukce/?fondId=1073&amp;zaznamId=1108956&amp;reproId=3779607</v>
      </c>
      <c r="K871">
        <f>IF(LEN(TRIM(E871))=0,"",VLOOKUP(E871,Sheet2!$B$1:$E$19,2,FALSE))</f>
        <v>1073</v>
      </c>
      <c r="L871">
        <f>IF(LEN(TRIM(E871))=0,"",VLOOKUP(E871,Sheet2!$B$1:$E$19,3,FALSE))</f>
        <v>1108956</v>
      </c>
      <c r="M871">
        <f>IF(LEN(TRIM(E871))=0,"",VLOOKUP(E871,Sheet2!$B$1:$E$19,4,FALSE))+(F871-1)</f>
        <v>3779607</v>
      </c>
      <c r="N871" s="1"/>
      <c r="O871" s="1"/>
      <c r="P871" s="1"/>
      <c r="Q871" s="1"/>
    </row>
    <row r="872" spans="1:17" ht="15" customHeight="1" x14ac:dyDescent="0.25">
      <c r="A872" s="28" t="s">
        <v>3044</v>
      </c>
      <c r="B872" s="28" t="s">
        <v>3045</v>
      </c>
      <c r="C872" s="1">
        <v>1865</v>
      </c>
      <c r="D872" s="1" t="s">
        <v>2919</v>
      </c>
      <c r="E872" s="1">
        <v>999</v>
      </c>
      <c r="F872" s="28">
        <v>89</v>
      </c>
      <c r="G872" s="1">
        <v>10</v>
      </c>
      <c r="H872" s="1">
        <v>99</v>
      </c>
      <c r="I872" s="1">
        <v>158</v>
      </c>
      <c r="J872" t="str">
        <f t="shared" si="13"/>
        <v>http://www.badatelna.eu/reprodukce/?fondId=241&amp;zaznamId=1133739&amp;reproId=3885818</v>
      </c>
      <c r="K872">
        <f>IF(LEN(TRIM(E872))=0,"",VLOOKUP(E872,Sheet2!$B$1:$E$19,2,FALSE))</f>
        <v>241</v>
      </c>
      <c r="L872">
        <f>IF(LEN(TRIM(E872))=0,"",VLOOKUP(E872,Sheet2!$B$1:$E$19,3,FALSE))</f>
        <v>1133739</v>
      </c>
      <c r="M872">
        <f>IF(LEN(TRIM(E872))=0,"",VLOOKUP(E872,Sheet2!$B$1:$E$19,4,FALSE))+(F872-1)</f>
        <v>3885818</v>
      </c>
      <c r="N872" s="1"/>
      <c r="O872" s="1"/>
      <c r="P872" s="1"/>
      <c r="Q872" s="1"/>
    </row>
    <row r="873" spans="1:17" ht="15" customHeight="1" x14ac:dyDescent="0.25">
      <c r="A873" s="28" t="s">
        <v>2957</v>
      </c>
      <c r="B873" s="28" t="s">
        <v>2958</v>
      </c>
      <c r="C873" s="1">
        <v>1849</v>
      </c>
      <c r="D873" s="1" t="s">
        <v>2919</v>
      </c>
      <c r="E873" s="1">
        <v>998</v>
      </c>
      <c r="F873" s="28">
        <v>24</v>
      </c>
      <c r="G873" s="1">
        <v>22</v>
      </c>
      <c r="H873" s="1">
        <v>68</v>
      </c>
      <c r="I873" s="1">
        <v>65</v>
      </c>
      <c r="J873" t="str">
        <f t="shared" si="13"/>
        <v>http://www.badatelna.eu/reprodukce/?fondId=241&amp;zaznamId=1133738&amp;reproId=3885670</v>
      </c>
      <c r="K873">
        <f>IF(LEN(TRIM(E873))=0,"",VLOOKUP(E873,Sheet2!$B$1:$E$19,2,FALSE))</f>
        <v>241</v>
      </c>
      <c r="L873">
        <f>IF(LEN(TRIM(E873))=0,"",VLOOKUP(E873,Sheet2!$B$1:$E$19,3,FALSE))</f>
        <v>1133738</v>
      </c>
      <c r="M873">
        <f>IF(LEN(TRIM(E873))=0,"",VLOOKUP(E873,Sheet2!$B$1:$E$19,4,FALSE))+(F873-1)</f>
        <v>3885670</v>
      </c>
    </row>
    <row r="874" spans="1:17" ht="15" customHeight="1" x14ac:dyDescent="0.25">
      <c r="A874" s="28" t="s">
        <v>127</v>
      </c>
      <c r="B874" s="28" t="s">
        <v>3074</v>
      </c>
      <c r="C874" s="15">
        <v>3358</v>
      </c>
      <c r="D874" s="1" t="s">
        <v>454</v>
      </c>
      <c r="E874" s="1">
        <v>2172</v>
      </c>
      <c r="F874" s="28">
        <v>174</v>
      </c>
      <c r="G874" s="9">
        <v>167</v>
      </c>
      <c r="H874" s="1" t="s">
        <v>3073</v>
      </c>
      <c r="I874" s="1" t="s">
        <v>3073</v>
      </c>
      <c r="J874" t="str">
        <f t="shared" si="13"/>
        <v>http://www.badatelna.eu/reprodukce/?fondId=1073&amp;zaznamId=1108958&amp;reproId=3779915</v>
      </c>
      <c r="K874">
        <f>IF(LEN(TRIM(E874))=0,"",VLOOKUP(E874,Sheet2!$B$1:$E$19,2,FALSE))</f>
        <v>1073</v>
      </c>
      <c r="L874">
        <f>IF(LEN(TRIM(E874))=0,"",VLOOKUP(E874,Sheet2!$B$1:$E$19,3,FALSE))</f>
        <v>1108958</v>
      </c>
      <c r="M874">
        <f>IF(LEN(TRIM(E874))=0,"",VLOOKUP(E874,Sheet2!$B$1:$E$19,4,FALSE))+(F874-1)</f>
        <v>3779915</v>
      </c>
      <c r="N874" s="1"/>
      <c r="O874" s="1"/>
      <c r="P874" s="1"/>
      <c r="Q874" s="1"/>
    </row>
    <row r="875" spans="1:17" ht="15" customHeight="1" x14ac:dyDescent="0.25">
      <c r="A875" s="28" t="s">
        <v>127</v>
      </c>
      <c r="B875" s="28" t="s">
        <v>288</v>
      </c>
      <c r="C875" s="6" t="s">
        <v>2052</v>
      </c>
      <c r="D875" s="1" t="s">
        <v>454</v>
      </c>
      <c r="E875" s="1">
        <v>2173</v>
      </c>
      <c r="F875" s="28">
        <v>178</v>
      </c>
      <c r="G875" s="9">
        <v>2</v>
      </c>
      <c r="H875" s="1">
        <v>187</v>
      </c>
      <c r="I875" s="1">
        <v>417</v>
      </c>
      <c r="J875" t="str">
        <f t="shared" si="13"/>
        <v>http://www.badatelna.eu/reprodukce/?fondId=1073&amp;zaznamId=1108959&amp;reproId=3780171</v>
      </c>
      <c r="K875">
        <f>IF(LEN(TRIM(E875))=0,"",VLOOKUP(E875,Sheet2!$B$1:$E$19,2,FALSE))</f>
        <v>1073</v>
      </c>
      <c r="L875">
        <f>IF(LEN(TRIM(E875))=0,"",VLOOKUP(E875,Sheet2!$B$1:$E$19,3,FALSE))</f>
        <v>1108959</v>
      </c>
      <c r="M875">
        <f>IF(LEN(TRIM(E875))=0,"",VLOOKUP(E875,Sheet2!$B$1:$E$19,4,FALSE))+(F875-1)</f>
        <v>3780171</v>
      </c>
      <c r="N875" s="1"/>
      <c r="O875" s="1"/>
      <c r="P875" s="1"/>
      <c r="Q875" s="1"/>
    </row>
    <row r="876" spans="1:17" ht="15" customHeight="1" x14ac:dyDescent="0.25">
      <c r="A876" s="28" t="s">
        <v>127</v>
      </c>
      <c r="B876" s="28" t="s">
        <v>420</v>
      </c>
      <c r="C876" s="6" t="s">
        <v>2736</v>
      </c>
      <c r="D876" s="1" t="s">
        <v>454</v>
      </c>
      <c r="E876" s="1">
        <v>2173</v>
      </c>
      <c r="F876" s="28">
        <v>227</v>
      </c>
      <c r="G876" s="9">
        <v>59</v>
      </c>
      <c r="H876" s="1" t="s">
        <v>3073</v>
      </c>
      <c r="I876" s="1" t="s">
        <v>3073</v>
      </c>
      <c r="J876" t="str">
        <f t="shared" si="13"/>
        <v>http://www.badatelna.eu/reprodukce/?fondId=1073&amp;zaznamId=1108959&amp;reproId=3780220</v>
      </c>
      <c r="K876">
        <f>IF(LEN(TRIM(E876))=0,"",VLOOKUP(E876,Sheet2!$B$1:$E$19,2,FALSE))</f>
        <v>1073</v>
      </c>
      <c r="L876">
        <f>IF(LEN(TRIM(E876))=0,"",VLOOKUP(E876,Sheet2!$B$1:$E$19,3,FALSE))</f>
        <v>1108959</v>
      </c>
      <c r="M876">
        <f>IF(LEN(TRIM(E876))=0,"",VLOOKUP(E876,Sheet2!$B$1:$E$19,4,FALSE))+(F876-1)</f>
        <v>3780220</v>
      </c>
      <c r="N876" s="1"/>
      <c r="O876" s="1"/>
      <c r="P876" s="1"/>
      <c r="Q876" s="1"/>
    </row>
    <row r="877" spans="1:17" ht="15" customHeight="1" x14ac:dyDescent="0.25">
      <c r="A877" s="28" t="s">
        <v>127</v>
      </c>
      <c r="B877" s="28" t="s">
        <v>137</v>
      </c>
      <c r="C877" s="6" t="s">
        <v>2558</v>
      </c>
      <c r="D877" s="1" t="s">
        <v>454</v>
      </c>
      <c r="E877" s="1">
        <v>2173</v>
      </c>
      <c r="F877" s="28">
        <v>208</v>
      </c>
      <c r="G877" s="1">
        <v>25</v>
      </c>
      <c r="H877" s="1" t="s">
        <v>3073</v>
      </c>
      <c r="I877" s="1" t="s">
        <v>3073</v>
      </c>
      <c r="J877" t="str">
        <f t="shared" si="13"/>
        <v>http://www.badatelna.eu/reprodukce/?fondId=1073&amp;zaznamId=1108959&amp;reproId=3780201</v>
      </c>
      <c r="K877">
        <f>IF(LEN(TRIM(E877))=0,"",VLOOKUP(E877,Sheet2!$B$1:$E$19,2,FALSE))</f>
        <v>1073</v>
      </c>
      <c r="L877">
        <f>IF(LEN(TRIM(E877))=0,"",VLOOKUP(E877,Sheet2!$B$1:$E$19,3,FALSE))</f>
        <v>1108959</v>
      </c>
      <c r="M877">
        <f>IF(LEN(TRIM(E877))=0,"",VLOOKUP(E877,Sheet2!$B$1:$E$19,4,FALSE))+(F877-1)</f>
        <v>3780201</v>
      </c>
      <c r="N877" s="1"/>
      <c r="O877" s="1"/>
      <c r="P877" s="1"/>
      <c r="Q877" s="1"/>
    </row>
    <row r="878" spans="1:17" ht="15" customHeight="1" x14ac:dyDescent="0.25">
      <c r="A878" s="28" t="s">
        <v>127</v>
      </c>
      <c r="B878" s="28" t="s">
        <v>673</v>
      </c>
      <c r="C878" s="1">
        <v>1861</v>
      </c>
      <c r="D878" s="1" t="s">
        <v>2919</v>
      </c>
      <c r="E878" s="1">
        <v>998</v>
      </c>
      <c r="F878" s="28">
        <v>61</v>
      </c>
      <c r="G878" s="1">
        <v>58</v>
      </c>
      <c r="H878" s="1">
        <v>68</v>
      </c>
      <c r="I878" s="1">
        <v>65</v>
      </c>
      <c r="J878" t="str">
        <f t="shared" si="13"/>
        <v>http://www.badatelna.eu/reprodukce/?fondId=241&amp;zaznamId=1133738&amp;reproId=3885707</v>
      </c>
      <c r="K878">
        <f>IF(LEN(TRIM(E878))=0,"",VLOOKUP(E878,Sheet2!$B$1:$E$19,2,FALSE))</f>
        <v>241</v>
      </c>
      <c r="L878">
        <f>IF(LEN(TRIM(E878))=0,"",VLOOKUP(E878,Sheet2!$B$1:$E$19,3,FALSE))</f>
        <v>1133738</v>
      </c>
      <c r="M878">
        <f>IF(LEN(TRIM(E878))=0,"",VLOOKUP(E878,Sheet2!$B$1:$E$19,4,FALSE))+(F878-1)</f>
        <v>3885707</v>
      </c>
      <c r="N878" s="1"/>
      <c r="O878" s="1"/>
      <c r="P878" s="1"/>
      <c r="Q878" s="1"/>
    </row>
    <row r="879" spans="1:17" ht="15" customHeight="1" x14ac:dyDescent="0.25">
      <c r="A879" s="28" t="s">
        <v>127</v>
      </c>
      <c r="B879" s="28" t="s">
        <v>466</v>
      </c>
      <c r="C879" s="1">
        <v>1884</v>
      </c>
      <c r="D879" s="1" t="s">
        <v>454</v>
      </c>
      <c r="E879" s="1">
        <v>2172</v>
      </c>
      <c r="F879" s="28">
        <v>39</v>
      </c>
      <c r="G879" s="20" t="s">
        <v>3080</v>
      </c>
      <c r="H879" s="1">
        <v>42</v>
      </c>
      <c r="I879" s="1">
        <v>41</v>
      </c>
      <c r="J879" t="str">
        <f t="shared" si="13"/>
        <v>http://www.badatelna.eu/reprodukce/?fondId=1073&amp;zaznamId=1108958&amp;reproId=3779780</v>
      </c>
      <c r="K879">
        <f>IF(LEN(TRIM(E879))=0,"",VLOOKUP(E879,Sheet2!$B$1:$E$19,2,FALSE))</f>
        <v>1073</v>
      </c>
      <c r="L879">
        <f>IF(LEN(TRIM(E879))=0,"",VLOOKUP(E879,Sheet2!$B$1:$E$19,3,FALSE))</f>
        <v>1108958</v>
      </c>
      <c r="M879">
        <f>IF(LEN(TRIM(E879))=0,"",VLOOKUP(E879,Sheet2!$B$1:$E$19,4,FALSE))+(F879-1)</f>
        <v>3779780</v>
      </c>
      <c r="N879" s="1"/>
      <c r="O879" s="1"/>
      <c r="P879" s="1"/>
      <c r="Q879" s="1"/>
    </row>
    <row r="880" spans="1:17" ht="15" customHeight="1" x14ac:dyDescent="0.25">
      <c r="A880" s="27" t="s">
        <v>127</v>
      </c>
      <c r="B880" s="27" t="s">
        <v>466</v>
      </c>
      <c r="C880" s="5" t="s">
        <v>1168</v>
      </c>
      <c r="D880" s="3" t="s">
        <v>454</v>
      </c>
      <c r="E880" s="3">
        <v>2170</v>
      </c>
      <c r="F880" s="28">
        <v>47</v>
      </c>
      <c r="G880" s="10">
        <v>43</v>
      </c>
      <c r="H880" s="3">
        <v>62</v>
      </c>
      <c r="I880" s="3">
        <v>58</v>
      </c>
      <c r="J880" t="str">
        <f t="shared" si="13"/>
        <v>http://www.badatelna.eu/reprodukce/?fondId=1073&amp;zaznamId=1108956&amp;reproId=3779639</v>
      </c>
      <c r="K880">
        <f>IF(LEN(TRIM(E880))=0,"",VLOOKUP(E880,Sheet2!$B$1:$E$19,2,FALSE))</f>
        <v>1073</v>
      </c>
      <c r="L880">
        <f>IF(LEN(TRIM(E880))=0,"",VLOOKUP(E880,Sheet2!$B$1:$E$19,3,FALSE))</f>
        <v>1108956</v>
      </c>
      <c r="M880">
        <f>IF(LEN(TRIM(E880))=0,"",VLOOKUP(E880,Sheet2!$B$1:$E$19,4,FALSE))+(F880-1)</f>
        <v>3779639</v>
      </c>
      <c r="N880" s="1"/>
      <c r="O880" s="1"/>
      <c r="P880" s="1"/>
      <c r="Q880" s="1"/>
    </row>
    <row r="881" spans="1:17" ht="15" customHeight="1" x14ac:dyDescent="0.25">
      <c r="A881" s="28" t="s">
        <v>127</v>
      </c>
      <c r="B881" s="28" t="s">
        <v>40</v>
      </c>
      <c r="C881" s="1">
        <v>1886</v>
      </c>
      <c r="D881" s="1" t="s">
        <v>454</v>
      </c>
      <c r="E881" s="1">
        <v>2172</v>
      </c>
      <c r="F881" s="28">
        <v>52</v>
      </c>
      <c r="G881" s="9">
        <v>53</v>
      </c>
      <c r="H881" s="1">
        <v>54</v>
      </c>
      <c r="I881" s="1">
        <v>55</v>
      </c>
      <c r="J881" t="str">
        <f t="shared" si="13"/>
        <v>http://www.badatelna.eu/reprodukce/?fondId=1073&amp;zaznamId=1108958&amp;reproId=3779793</v>
      </c>
      <c r="K881">
        <f>IF(LEN(TRIM(E881))=0,"",VLOOKUP(E881,Sheet2!$B$1:$E$19,2,FALSE))</f>
        <v>1073</v>
      </c>
      <c r="L881">
        <f>IF(LEN(TRIM(E881))=0,"",VLOOKUP(E881,Sheet2!$B$1:$E$19,3,FALSE))</f>
        <v>1108958</v>
      </c>
      <c r="M881">
        <f>IF(LEN(TRIM(E881))=0,"",VLOOKUP(E881,Sheet2!$B$1:$E$19,4,FALSE))+(F881-1)</f>
        <v>3779793</v>
      </c>
    </row>
    <row r="882" spans="1:17" ht="15" customHeight="1" x14ac:dyDescent="0.25">
      <c r="A882" s="28" t="s">
        <v>127</v>
      </c>
      <c r="B882" s="28" t="s">
        <v>668</v>
      </c>
      <c r="C882" s="1">
        <v>1885</v>
      </c>
      <c r="D882" s="1" t="s">
        <v>454</v>
      </c>
      <c r="E882" s="1">
        <v>2172</v>
      </c>
      <c r="F882" s="28">
        <v>48</v>
      </c>
      <c r="G882" s="9">
        <v>47</v>
      </c>
      <c r="H882" s="1">
        <v>48</v>
      </c>
      <c r="I882" s="1">
        <v>49</v>
      </c>
      <c r="J882" t="str">
        <f t="shared" si="13"/>
        <v>http://www.badatelna.eu/reprodukce/?fondId=1073&amp;zaznamId=1108958&amp;reproId=3779789</v>
      </c>
      <c r="K882">
        <f>IF(LEN(TRIM(E882))=0,"",VLOOKUP(E882,Sheet2!$B$1:$E$19,2,FALSE))</f>
        <v>1073</v>
      </c>
      <c r="L882">
        <f>IF(LEN(TRIM(E882))=0,"",VLOOKUP(E882,Sheet2!$B$1:$E$19,3,FALSE))</f>
        <v>1108958</v>
      </c>
      <c r="M882">
        <f>IF(LEN(TRIM(E882))=0,"",VLOOKUP(E882,Sheet2!$B$1:$E$19,4,FALSE))+(F882-1)</f>
        <v>3779789</v>
      </c>
      <c r="N882" s="1"/>
      <c r="O882" s="1"/>
      <c r="P882" s="1"/>
      <c r="Q882" s="1"/>
    </row>
    <row r="883" spans="1:17" ht="15" customHeight="1" x14ac:dyDescent="0.25">
      <c r="A883" s="28" t="s">
        <v>127</v>
      </c>
      <c r="B883" s="28" t="s">
        <v>309</v>
      </c>
      <c r="C883" s="15">
        <v>7528</v>
      </c>
      <c r="D883" s="1" t="s">
        <v>454</v>
      </c>
      <c r="E883" s="1">
        <v>2172</v>
      </c>
      <c r="F883" s="28">
        <v>199</v>
      </c>
      <c r="G883" s="9">
        <v>187</v>
      </c>
      <c r="H883" s="1" t="s">
        <v>3073</v>
      </c>
      <c r="I883" s="1" t="s">
        <v>3073</v>
      </c>
      <c r="J883" t="str">
        <f t="shared" si="13"/>
        <v>http://www.badatelna.eu/reprodukce/?fondId=1073&amp;zaznamId=1108958&amp;reproId=3779940</v>
      </c>
      <c r="K883">
        <f>IF(LEN(TRIM(E883))=0,"",VLOOKUP(E883,Sheet2!$B$1:$E$19,2,FALSE))</f>
        <v>1073</v>
      </c>
      <c r="L883">
        <f>IF(LEN(TRIM(E883))=0,"",VLOOKUP(E883,Sheet2!$B$1:$E$19,3,FALSE))</f>
        <v>1108958</v>
      </c>
      <c r="M883">
        <f>IF(LEN(TRIM(E883))=0,"",VLOOKUP(E883,Sheet2!$B$1:$E$19,4,FALSE))+(F883-1)</f>
        <v>3779940</v>
      </c>
      <c r="N883" s="1"/>
      <c r="O883" s="1"/>
      <c r="P883" s="1"/>
      <c r="Q883" s="1"/>
    </row>
    <row r="884" spans="1:17" ht="15" customHeight="1" x14ac:dyDescent="0.25">
      <c r="A884" s="28" t="s">
        <v>127</v>
      </c>
      <c r="B884" s="28" t="s">
        <v>865</v>
      </c>
      <c r="C884" s="15">
        <v>3778</v>
      </c>
      <c r="D884" s="1" t="s">
        <v>454</v>
      </c>
      <c r="E884" s="1">
        <v>2172</v>
      </c>
      <c r="F884" s="28">
        <v>176</v>
      </c>
      <c r="G884" s="9">
        <v>169</v>
      </c>
      <c r="H884" s="1" t="s">
        <v>3073</v>
      </c>
      <c r="I884" s="1" t="s">
        <v>3073</v>
      </c>
      <c r="J884" t="str">
        <f t="shared" si="13"/>
        <v>http://www.badatelna.eu/reprodukce/?fondId=1073&amp;zaznamId=1108958&amp;reproId=3779917</v>
      </c>
      <c r="K884">
        <f>IF(LEN(TRIM(E884))=0,"",VLOOKUP(E884,Sheet2!$B$1:$E$19,2,FALSE))</f>
        <v>1073</v>
      </c>
      <c r="L884">
        <f>IF(LEN(TRIM(E884))=0,"",VLOOKUP(E884,Sheet2!$B$1:$E$19,3,FALSE))</f>
        <v>1108958</v>
      </c>
      <c r="M884">
        <f>IF(LEN(TRIM(E884))=0,"",VLOOKUP(E884,Sheet2!$B$1:$E$19,4,FALSE))+(F884-1)</f>
        <v>3779917</v>
      </c>
      <c r="N884" s="1"/>
      <c r="O884" s="1"/>
      <c r="P884" s="1"/>
      <c r="Q884" s="1"/>
    </row>
    <row r="885" spans="1:17" ht="15" customHeight="1" x14ac:dyDescent="0.25">
      <c r="A885" s="28" t="s">
        <v>127</v>
      </c>
      <c r="B885" s="28" t="s">
        <v>84</v>
      </c>
      <c r="C885" s="6" t="s">
        <v>1657</v>
      </c>
      <c r="D885" s="1" t="s">
        <v>454</v>
      </c>
      <c r="E885" s="1">
        <v>2172</v>
      </c>
      <c r="F885" s="28">
        <v>101</v>
      </c>
      <c r="G885" s="9">
        <v>100</v>
      </c>
      <c r="H885" s="1">
        <v>103</v>
      </c>
      <c r="I885" s="1">
        <v>102</v>
      </c>
      <c r="J885" t="str">
        <f t="shared" si="13"/>
        <v>http://www.badatelna.eu/reprodukce/?fondId=1073&amp;zaznamId=1108958&amp;reproId=3779842</v>
      </c>
      <c r="K885">
        <f>IF(LEN(TRIM(E885))=0,"",VLOOKUP(E885,Sheet2!$B$1:$E$19,2,FALSE))</f>
        <v>1073</v>
      </c>
      <c r="L885">
        <f>IF(LEN(TRIM(E885))=0,"",VLOOKUP(E885,Sheet2!$B$1:$E$19,3,FALSE))</f>
        <v>1108958</v>
      </c>
      <c r="M885">
        <f>IF(LEN(TRIM(E885))=0,"",VLOOKUP(E885,Sheet2!$B$1:$E$19,4,FALSE))+(F885-1)</f>
        <v>3779842</v>
      </c>
      <c r="N885" s="1"/>
      <c r="O885" s="1"/>
      <c r="P885" s="1"/>
      <c r="Q885" s="1"/>
    </row>
    <row r="886" spans="1:17" ht="15" customHeight="1" x14ac:dyDescent="0.25">
      <c r="A886" s="27" t="s">
        <v>127</v>
      </c>
      <c r="B886" s="27" t="s">
        <v>434</v>
      </c>
      <c r="C886" s="5" t="s">
        <v>1172</v>
      </c>
      <c r="D886" s="3" t="s">
        <v>454</v>
      </c>
      <c r="E886" s="3">
        <v>2170</v>
      </c>
      <c r="F886" s="28">
        <v>40</v>
      </c>
      <c r="G886" s="10">
        <v>36</v>
      </c>
      <c r="H886" s="3">
        <v>62</v>
      </c>
      <c r="I886" s="3">
        <v>58</v>
      </c>
      <c r="J886" t="str">
        <f t="shared" si="13"/>
        <v>http://www.badatelna.eu/reprodukce/?fondId=1073&amp;zaznamId=1108956&amp;reproId=3779632</v>
      </c>
      <c r="K886">
        <f>IF(LEN(TRIM(E886))=0,"",VLOOKUP(E886,Sheet2!$B$1:$E$19,2,FALSE))</f>
        <v>1073</v>
      </c>
      <c r="L886">
        <f>IF(LEN(TRIM(E886))=0,"",VLOOKUP(E886,Sheet2!$B$1:$E$19,3,FALSE))</f>
        <v>1108956</v>
      </c>
      <c r="M886">
        <f>IF(LEN(TRIM(E886))=0,"",VLOOKUP(E886,Sheet2!$B$1:$E$19,4,FALSE))+(F886-1)</f>
        <v>3779632</v>
      </c>
      <c r="N886" s="1"/>
      <c r="O886" s="1"/>
      <c r="P886" s="1"/>
      <c r="Q886" s="1"/>
    </row>
    <row r="887" spans="1:17" ht="15" customHeight="1" x14ac:dyDescent="0.25">
      <c r="A887" s="28" t="s">
        <v>127</v>
      </c>
      <c r="B887" s="28" t="s">
        <v>838</v>
      </c>
      <c r="C887" s="1">
        <v>1886</v>
      </c>
      <c r="D887" s="1" t="s">
        <v>454</v>
      </c>
      <c r="E887" s="1">
        <v>2172</v>
      </c>
      <c r="F887" s="28">
        <v>53</v>
      </c>
      <c r="G887" s="9">
        <v>54</v>
      </c>
      <c r="H887" s="1">
        <v>54</v>
      </c>
      <c r="I887" s="1">
        <v>55</v>
      </c>
      <c r="J887" t="str">
        <f t="shared" si="13"/>
        <v>http://www.badatelna.eu/reprodukce/?fondId=1073&amp;zaznamId=1108958&amp;reproId=3779794</v>
      </c>
      <c r="K887">
        <f>IF(LEN(TRIM(E887))=0,"",VLOOKUP(E887,Sheet2!$B$1:$E$19,2,FALSE))</f>
        <v>1073</v>
      </c>
      <c r="L887">
        <f>IF(LEN(TRIM(E887))=0,"",VLOOKUP(E887,Sheet2!$B$1:$E$19,3,FALSE))</f>
        <v>1108958</v>
      </c>
      <c r="M887">
        <f>IF(LEN(TRIM(E887))=0,"",VLOOKUP(E887,Sheet2!$B$1:$E$19,4,FALSE))+(F887-1)</f>
        <v>3779794</v>
      </c>
      <c r="N887" s="1"/>
      <c r="O887" s="1"/>
      <c r="P887" s="1"/>
      <c r="Q887" s="1"/>
    </row>
    <row r="888" spans="1:17" ht="15" customHeight="1" x14ac:dyDescent="0.25">
      <c r="A888" s="27" t="s">
        <v>127</v>
      </c>
      <c r="B888" s="27" t="s">
        <v>240</v>
      </c>
      <c r="C888" s="5" t="s">
        <v>1176</v>
      </c>
      <c r="D888" s="3" t="s">
        <v>454</v>
      </c>
      <c r="E888" s="3">
        <v>2170</v>
      </c>
      <c r="F888" s="28">
        <v>34</v>
      </c>
      <c r="G888" s="10">
        <v>30</v>
      </c>
      <c r="H888" s="3">
        <v>62</v>
      </c>
      <c r="I888" s="3">
        <v>58</v>
      </c>
      <c r="J888" t="str">
        <f t="shared" si="13"/>
        <v>http://www.badatelna.eu/reprodukce/?fondId=1073&amp;zaznamId=1108956&amp;reproId=3779626</v>
      </c>
      <c r="K888">
        <f>IF(LEN(TRIM(E888))=0,"",VLOOKUP(E888,Sheet2!$B$1:$E$19,2,FALSE))</f>
        <v>1073</v>
      </c>
      <c r="L888">
        <f>IF(LEN(TRIM(E888))=0,"",VLOOKUP(E888,Sheet2!$B$1:$E$19,3,FALSE))</f>
        <v>1108956</v>
      </c>
      <c r="M888">
        <f>IF(LEN(TRIM(E888))=0,"",VLOOKUP(E888,Sheet2!$B$1:$E$19,4,FALSE))+(F888-1)</f>
        <v>3779626</v>
      </c>
      <c r="N888" s="1"/>
      <c r="O888" s="1"/>
      <c r="P888" s="1"/>
      <c r="Q888" s="1"/>
    </row>
    <row r="889" spans="1:17" ht="15" customHeight="1" x14ac:dyDescent="0.25">
      <c r="A889" s="28" t="s">
        <v>127</v>
      </c>
      <c r="B889" s="28" t="s">
        <v>25</v>
      </c>
      <c r="C889" s="6" t="s">
        <v>1694</v>
      </c>
      <c r="D889" s="1" t="s">
        <v>454</v>
      </c>
      <c r="E889" s="1">
        <v>2172</v>
      </c>
      <c r="F889" s="28">
        <v>113</v>
      </c>
      <c r="G889" s="9" t="s">
        <v>2769</v>
      </c>
      <c r="H889" s="1">
        <v>116</v>
      </c>
      <c r="I889" s="1">
        <v>115</v>
      </c>
      <c r="J889" t="str">
        <f t="shared" si="13"/>
        <v>http://www.badatelna.eu/reprodukce/?fondId=1073&amp;zaznamId=1108958&amp;reproId=3779854</v>
      </c>
      <c r="K889">
        <f>IF(LEN(TRIM(E889))=0,"",VLOOKUP(E889,Sheet2!$B$1:$E$19,2,FALSE))</f>
        <v>1073</v>
      </c>
      <c r="L889">
        <f>IF(LEN(TRIM(E889))=0,"",VLOOKUP(E889,Sheet2!$B$1:$E$19,3,FALSE))</f>
        <v>1108958</v>
      </c>
      <c r="M889">
        <f>IF(LEN(TRIM(E889))=0,"",VLOOKUP(E889,Sheet2!$B$1:$E$19,4,FALSE))+(F889-1)</f>
        <v>3779854</v>
      </c>
      <c r="N889" s="1"/>
      <c r="O889" s="1"/>
      <c r="P889" s="1"/>
      <c r="Q889" s="1"/>
    </row>
    <row r="890" spans="1:17" ht="15" customHeight="1" x14ac:dyDescent="0.25">
      <c r="A890" s="27" t="s">
        <v>127</v>
      </c>
      <c r="B890" s="27" t="s">
        <v>25</v>
      </c>
      <c r="C890" s="5" t="s">
        <v>1175</v>
      </c>
      <c r="D890" s="3" t="s">
        <v>454</v>
      </c>
      <c r="E890" s="3">
        <v>2170</v>
      </c>
      <c r="F890" s="28">
        <v>48</v>
      </c>
      <c r="G890" s="10">
        <v>44</v>
      </c>
      <c r="H890" s="3">
        <v>62</v>
      </c>
      <c r="I890" s="3">
        <v>58</v>
      </c>
      <c r="J890" t="str">
        <f t="shared" si="13"/>
        <v>http://www.badatelna.eu/reprodukce/?fondId=1073&amp;zaznamId=1108956&amp;reproId=3779640</v>
      </c>
      <c r="K890">
        <f>IF(LEN(TRIM(E890))=0,"",VLOOKUP(E890,Sheet2!$B$1:$E$19,2,FALSE))</f>
        <v>1073</v>
      </c>
      <c r="L890">
        <f>IF(LEN(TRIM(E890))=0,"",VLOOKUP(E890,Sheet2!$B$1:$E$19,3,FALSE))</f>
        <v>1108956</v>
      </c>
      <c r="M890">
        <f>IF(LEN(TRIM(E890))=0,"",VLOOKUP(E890,Sheet2!$B$1:$E$19,4,FALSE))+(F890-1)</f>
        <v>3779640</v>
      </c>
      <c r="N890" s="1"/>
      <c r="O890" s="1"/>
      <c r="P890" s="1"/>
      <c r="Q890" s="1"/>
    </row>
    <row r="891" spans="1:17" ht="15" customHeight="1" x14ac:dyDescent="0.25">
      <c r="A891" s="28" t="s">
        <v>127</v>
      </c>
      <c r="B891" s="28" t="s">
        <v>866</v>
      </c>
      <c r="C891" s="6" t="s">
        <v>1794</v>
      </c>
      <c r="D891" s="1" t="s">
        <v>454</v>
      </c>
      <c r="E891" s="1">
        <v>2172</v>
      </c>
      <c r="F891" s="28">
        <v>158</v>
      </c>
      <c r="G891" s="9">
        <v>152</v>
      </c>
      <c r="H891" s="1">
        <v>160</v>
      </c>
      <c r="I891" s="1">
        <v>154</v>
      </c>
      <c r="J891" t="str">
        <f t="shared" si="13"/>
        <v>http://www.badatelna.eu/reprodukce/?fondId=1073&amp;zaznamId=1108958&amp;reproId=3779899</v>
      </c>
      <c r="K891">
        <f>IF(LEN(TRIM(E891))=0,"",VLOOKUP(E891,Sheet2!$B$1:$E$19,2,FALSE))</f>
        <v>1073</v>
      </c>
      <c r="L891">
        <f>IF(LEN(TRIM(E891))=0,"",VLOOKUP(E891,Sheet2!$B$1:$E$19,3,FALSE))</f>
        <v>1108958</v>
      </c>
      <c r="M891">
        <f>IF(LEN(TRIM(E891))=0,"",VLOOKUP(E891,Sheet2!$B$1:$E$19,4,FALSE))+(F891-1)</f>
        <v>3779899</v>
      </c>
      <c r="N891" s="1"/>
      <c r="O891" s="1"/>
      <c r="P891" s="1"/>
      <c r="Q891" s="1"/>
    </row>
    <row r="892" spans="1:17" ht="15" customHeight="1" x14ac:dyDescent="0.25">
      <c r="A892" s="28" t="s">
        <v>127</v>
      </c>
      <c r="B892" s="28" t="s">
        <v>49</v>
      </c>
      <c r="C892" s="6" t="s">
        <v>2346</v>
      </c>
      <c r="D892" s="1" t="s">
        <v>454</v>
      </c>
      <c r="E892" s="1">
        <v>2173</v>
      </c>
      <c r="F892" s="28">
        <v>200</v>
      </c>
      <c r="G892" s="9">
        <v>9</v>
      </c>
      <c r="H892" s="1" t="s">
        <v>3073</v>
      </c>
      <c r="I892" s="1" t="s">
        <v>3073</v>
      </c>
      <c r="J892" t="str">
        <f t="shared" si="13"/>
        <v>http://www.badatelna.eu/reprodukce/?fondId=1073&amp;zaznamId=1108959&amp;reproId=3780193</v>
      </c>
      <c r="K892">
        <f>IF(LEN(TRIM(E892))=0,"",VLOOKUP(E892,Sheet2!$B$1:$E$19,2,FALSE))</f>
        <v>1073</v>
      </c>
      <c r="L892">
        <f>IF(LEN(TRIM(E892))=0,"",VLOOKUP(E892,Sheet2!$B$1:$E$19,3,FALSE))</f>
        <v>1108959</v>
      </c>
      <c r="M892">
        <f>IF(LEN(TRIM(E892))=0,"",VLOOKUP(E892,Sheet2!$B$1:$E$19,4,FALSE))+(F892-1)</f>
        <v>3780193</v>
      </c>
      <c r="N892" s="1"/>
      <c r="O892" s="1"/>
      <c r="P892" s="1"/>
      <c r="Q892" s="1"/>
    </row>
    <row r="893" spans="1:17" ht="15" customHeight="1" x14ac:dyDescent="0.25">
      <c r="A893" s="28" t="s">
        <v>127</v>
      </c>
      <c r="B893" s="28" t="s">
        <v>471</v>
      </c>
      <c r="C893" s="1">
        <v>1854</v>
      </c>
      <c r="D893" s="1" t="s">
        <v>2919</v>
      </c>
      <c r="E893" s="1">
        <v>998</v>
      </c>
      <c r="F893" s="28">
        <v>42</v>
      </c>
      <c r="G893" s="1">
        <v>40</v>
      </c>
      <c r="H893" s="1">
        <v>68</v>
      </c>
      <c r="I893" s="1">
        <v>65</v>
      </c>
      <c r="J893" t="str">
        <f t="shared" si="13"/>
        <v>http://www.badatelna.eu/reprodukce/?fondId=241&amp;zaznamId=1133738&amp;reproId=3885688</v>
      </c>
      <c r="K893">
        <f>IF(LEN(TRIM(E893))=0,"",VLOOKUP(E893,Sheet2!$B$1:$E$19,2,FALSE))</f>
        <v>241</v>
      </c>
      <c r="L893">
        <f>IF(LEN(TRIM(E893))=0,"",VLOOKUP(E893,Sheet2!$B$1:$E$19,3,FALSE))</f>
        <v>1133738</v>
      </c>
      <c r="M893">
        <f>IF(LEN(TRIM(E893))=0,"",VLOOKUP(E893,Sheet2!$B$1:$E$19,4,FALSE))+(F893-1)</f>
        <v>3885688</v>
      </c>
      <c r="N893" s="1"/>
      <c r="O893" s="1"/>
      <c r="P893" s="1"/>
      <c r="Q893" s="1"/>
    </row>
    <row r="894" spans="1:17" ht="15" customHeight="1" x14ac:dyDescent="0.25">
      <c r="A894" s="28" t="s">
        <v>127</v>
      </c>
      <c r="B894" s="28" t="s">
        <v>867</v>
      </c>
      <c r="C894" s="6" t="s">
        <v>1607</v>
      </c>
      <c r="D894" s="1" t="s">
        <v>454</v>
      </c>
      <c r="E894" s="1">
        <v>2172</v>
      </c>
      <c r="F894" s="28">
        <v>73</v>
      </c>
      <c r="G894" s="9">
        <v>72</v>
      </c>
      <c r="H894" s="1">
        <v>76</v>
      </c>
      <c r="I894" s="1">
        <v>75</v>
      </c>
      <c r="J894" t="str">
        <f t="shared" si="13"/>
        <v>http://www.badatelna.eu/reprodukce/?fondId=1073&amp;zaznamId=1108958&amp;reproId=3779814</v>
      </c>
      <c r="K894">
        <f>IF(LEN(TRIM(E894))=0,"",VLOOKUP(E894,Sheet2!$B$1:$E$19,2,FALSE))</f>
        <v>1073</v>
      </c>
      <c r="L894">
        <f>IF(LEN(TRIM(E894))=0,"",VLOOKUP(E894,Sheet2!$B$1:$E$19,3,FALSE))</f>
        <v>1108958</v>
      </c>
      <c r="M894">
        <f>IF(LEN(TRIM(E894))=0,"",VLOOKUP(E894,Sheet2!$B$1:$E$19,4,FALSE))+(F894-1)</f>
        <v>3779814</v>
      </c>
      <c r="N894" s="1"/>
      <c r="O894" s="1"/>
      <c r="P894" s="1"/>
      <c r="Q894" s="1"/>
    </row>
    <row r="895" spans="1:17" ht="15" customHeight="1" x14ac:dyDescent="0.25">
      <c r="A895" s="28" t="s">
        <v>127</v>
      </c>
      <c r="B895" s="28" t="s">
        <v>571</v>
      </c>
      <c r="C895" s="1">
        <v>1855</v>
      </c>
      <c r="D895" s="1" t="s">
        <v>2919</v>
      </c>
      <c r="E895" s="1">
        <v>998</v>
      </c>
      <c r="F895" s="28">
        <v>46</v>
      </c>
      <c r="G895" s="1">
        <v>44</v>
      </c>
      <c r="H895" s="1">
        <v>68</v>
      </c>
      <c r="I895" s="1">
        <v>65</v>
      </c>
      <c r="J895" t="str">
        <f t="shared" si="13"/>
        <v>http://www.badatelna.eu/reprodukce/?fondId=241&amp;zaznamId=1133738&amp;reproId=3885692</v>
      </c>
      <c r="K895">
        <f>IF(LEN(TRIM(E895))=0,"",VLOOKUP(E895,Sheet2!$B$1:$E$19,2,FALSE))</f>
        <v>241</v>
      </c>
      <c r="L895">
        <f>IF(LEN(TRIM(E895))=0,"",VLOOKUP(E895,Sheet2!$B$1:$E$19,3,FALSE))</f>
        <v>1133738</v>
      </c>
      <c r="M895">
        <f>IF(LEN(TRIM(E895))=0,"",VLOOKUP(E895,Sheet2!$B$1:$E$19,4,FALSE))+(F895-1)</f>
        <v>3885692</v>
      </c>
      <c r="N895" s="1"/>
      <c r="O895" s="1"/>
      <c r="P895" s="1"/>
      <c r="Q895" s="1"/>
    </row>
    <row r="896" spans="1:17" ht="15" customHeight="1" x14ac:dyDescent="0.25">
      <c r="A896" s="28" t="s">
        <v>127</v>
      </c>
      <c r="B896" s="29" t="s">
        <v>2962</v>
      </c>
      <c r="C896" s="1">
        <v>1855</v>
      </c>
      <c r="D896" s="1" t="s">
        <v>2919</v>
      </c>
      <c r="E896" s="1">
        <v>998</v>
      </c>
      <c r="F896" s="28">
        <v>45</v>
      </c>
      <c r="G896" s="1">
        <v>43</v>
      </c>
      <c r="H896" s="1">
        <v>68</v>
      </c>
      <c r="I896" s="1">
        <v>65</v>
      </c>
      <c r="J896" t="str">
        <f t="shared" si="13"/>
        <v>http://www.badatelna.eu/reprodukce/?fondId=241&amp;zaznamId=1133738&amp;reproId=3885691</v>
      </c>
      <c r="K896">
        <f>IF(LEN(TRIM(E896))=0,"",VLOOKUP(E896,Sheet2!$B$1:$E$19,2,FALSE))</f>
        <v>241</v>
      </c>
      <c r="L896">
        <f>IF(LEN(TRIM(E896))=0,"",VLOOKUP(E896,Sheet2!$B$1:$E$19,3,FALSE))</f>
        <v>1133738</v>
      </c>
      <c r="M896">
        <f>IF(LEN(TRIM(E896))=0,"",VLOOKUP(E896,Sheet2!$B$1:$E$19,4,FALSE))+(F896-1)</f>
        <v>3885691</v>
      </c>
      <c r="N896" s="1"/>
      <c r="O896" s="1"/>
      <c r="P896" s="1"/>
      <c r="Q896" s="1"/>
    </row>
    <row r="897" spans="1:17" ht="15" customHeight="1" x14ac:dyDescent="0.25">
      <c r="A897" s="27" t="s">
        <v>127</v>
      </c>
      <c r="B897" s="27" t="s">
        <v>535</v>
      </c>
      <c r="C897" s="5" t="s">
        <v>1177</v>
      </c>
      <c r="D897" s="3" t="s">
        <v>454</v>
      </c>
      <c r="E897" s="3">
        <v>2170</v>
      </c>
      <c r="F897" s="28">
        <v>35</v>
      </c>
      <c r="G897" s="10">
        <v>31</v>
      </c>
      <c r="H897" s="3">
        <v>62</v>
      </c>
      <c r="I897" s="3">
        <v>58</v>
      </c>
      <c r="J897" t="str">
        <f t="shared" si="13"/>
        <v>http://www.badatelna.eu/reprodukce/?fondId=1073&amp;zaznamId=1108956&amp;reproId=3779627</v>
      </c>
      <c r="K897">
        <f>IF(LEN(TRIM(E897))=0,"",VLOOKUP(E897,Sheet2!$B$1:$E$19,2,FALSE))</f>
        <v>1073</v>
      </c>
      <c r="L897">
        <f>IF(LEN(TRIM(E897))=0,"",VLOOKUP(E897,Sheet2!$B$1:$E$19,3,FALSE))</f>
        <v>1108956</v>
      </c>
      <c r="M897">
        <f>IF(LEN(TRIM(E897))=0,"",VLOOKUP(E897,Sheet2!$B$1:$E$19,4,FALSE))+(F897-1)</f>
        <v>3779627</v>
      </c>
      <c r="N897" s="1"/>
      <c r="O897" s="1"/>
      <c r="P897" s="1"/>
      <c r="Q897" s="1"/>
    </row>
    <row r="898" spans="1:17" ht="15" customHeight="1" x14ac:dyDescent="0.25">
      <c r="A898" s="28" t="s">
        <v>127</v>
      </c>
      <c r="B898" s="28" t="s">
        <v>39</v>
      </c>
      <c r="C898" s="1">
        <v>1851</v>
      </c>
      <c r="D898" s="1" t="s">
        <v>2919</v>
      </c>
      <c r="E898" s="1">
        <v>998</v>
      </c>
      <c r="F898" s="28">
        <v>32</v>
      </c>
      <c r="G898" s="1">
        <v>30</v>
      </c>
      <c r="H898" s="1">
        <v>68</v>
      </c>
      <c r="I898" s="1">
        <v>65</v>
      </c>
      <c r="J898" t="str">
        <f t="shared" si="13"/>
        <v>http://www.badatelna.eu/reprodukce/?fondId=241&amp;zaznamId=1133738&amp;reproId=3885678</v>
      </c>
      <c r="K898">
        <f>IF(LEN(TRIM(E898))=0,"",VLOOKUP(E898,Sheet2!$B$1:$E$19,2,FALSE))</f>
        <v>241</v>
      </c>
      <c r="L898">
        <f>IF(LEN(TRIM(E898))=0,"",VLOOKUP(E898,Sheet2!$B$1:$E$19,3,FALSE))</f>
        <v>1133738</v>
      </c>
      <c r="M898">
        <f>IF(LEN(TRIM(E898))=0,"",VLOOKUP(E898,Sheet2!$B$1:$E$19,4,FALSE))+(F898-1)</f>
        <v>3885678</v>
      </c>
      <c r="N898" s="1"/>
      <c r="O898" s="1"/>
      <c r="P898" s="1"/>
      <c r="Q898" s="1"/>
    </row>
    <row r="899" spans="1:17" ht="15" customHeight="1" x14ac:dyDescent="0.25">
      <c r="A899" s="28" t="s">
        <v>127</v>
      </c>
      <c r="B899" s="28" t="s">
        <v>39</v>
      </c>
      <c r="C899" s="6" t="s">
        <v>2712</v>
      </c>
      <c r="D899" s="1" t="s">
        <v>454</v>
      </c>
      <c r="E899" s="1">
        <v>2173</v>
      </c>
      <c r="F899" s="28">
        <v>225</v>
      </c>
      <c r="G899" s="9">
        <v>55</v>
      </c>
      <c r="H899" s="1" t="s">
        <v>3073</v>
      </c>
      <c r="I899" s="1" t="s">
        <v>3073</v>
      </c>
      <c r="J899" t="str">
        <f t="shared" ref="J899:J962" si="14">IF(LEN(TRIM(E899))=0,"","http://www.badatelna.eu/reprodukce/?fondId="&amp;K899&amp;"&amp;zaznamId="&amp;L899&amp;"&amp;reproId="&amp;M899)</f>
        <v>http://www.badatelna.eu/reprodukce/?fondId=1073&amp;zaznamId=1108959&amp;reproId=3780218</v>
      </c>
      <c r="K899">
        <f>IF(LEN(TRIM(E899))=0,"",VLOOKUP(E899,Sheet2!$B$1:$E$19,2,FALSE))</f>
        <v>1073</v>
      </c>
      <c r="L899">
        <f>IF(LEN(TRIM(E899))=0,"",VLOOKUP(E899,Sheet2!$B$1:$E$19,3,FALSE))</f>
        <v>1108959</v>
      </c>
      <c r="M899">
        <f>IF(LEN(TRIM(E899))=0,"",VLOOKUP(E899,Sheet2!$B$1:$E$19,4,FALSE))+(F899-1)</f>
        <v>3780218</v>
      </c>
      <c r="N899" s="1"/>
      <c r="O899" s="1"/>
      <c r="P899" s="1"/>
      <c r="Q899" s="1"/>
    </row>
    <row r="900" spans="1:17" ht="15" customHeight="1" x14ac:dyDescent="0.25">
      <c r="A900" s="28" t="s">
        <v>127</v>
      </c>
      <c r="B900" s="28" t="s">
        <v>39</v>
      </c>
      <c r="C900" s="6" t="s">
        <v>2401</v>
      </c>
      <c r="D900" s="1" t="s">
        <v>454</v>
      </c>
      <c r="E900" s="1">
        <v>2173</v>
      </c>
      <c r="F900" s="28">
        <v>202</v>
      </c>
      <c r="G900" s="9">
        <v>13</v>
      </c>
      <c r="H900" s="1" t="s">
        <v>3073</v>
      </c>
      <c r="I900" s="1" t="s">
        <v>3073</v>
      </c>
      <c r="J900" t="str">
        <f t="shared" si="14"/>
        <v>http://www.badatelna.eu/reprodukce/?fondId=1073&amp;zaznamId=1108959&amp;reproId=3780195</v>
      </c>
      <c r="K900">
        <f>IF(LEN(TRIM(E900))=0,"",VLOOKUP(E900,Sheet2!$B$1:$E$19,2,FALSE))</f>
        <v>1073</v>
      </c>
      <c r="L900">
        <f>IF(LEN(TRIM(E900))=0,"",VLOOKUP(E900,Sheet2!$B$1:$E$19,3,FALSE))</f>
        <v>1108959</v>
      </c>
      <c r="M900">
        <f>IF(LEN(TRIM(E900))=0,"",VLOOKUP(E900,Sheet2!$B$1:$E$19,4,FALSE))+(F900-1)</f>
        <v>3780195</v>
      </c>
      <c r="N900" s="1"/>
      <c r="O900" s="1"/>
      <c r="P900" s="1"/>
      <c r="Q900" s="1"/>
    </row>
    <row r="901" spans="1:17" ht="15" customHeight="1" x14ac:dyDescent="0.25">
      <c r="A901" s="28" t="s">
        <v>127</v>
      </c>
      <c r="B901" s="28" t="s">
        <v>424</v>
      </c>
      <c r="C901" s="15">
        <v>11882</v>
      </c>
      <c r="D901" s="1" t="s">
        <v>454</v>
      </c>
      <c r="E901" s="1">
        <v>2172</v>
      </c>
      <c r="F901" s="28">
        <v>225</v>
      </c>
      <c r="G901" s="9">
        <v>206</v>
      </c>
      <c r="H901" s="1" t="s">
        <v>3073</v>
      </c>
      <c r="I901" s="1" t="s">
        <v>3073</v>
      </c>
      <c r="J901" t="str">
        <f t="shared" si="14"/>
        <v>http://www.badatelna.eu/reprodukce/?fondId=1073&amp;zaznamId=1108958&amp;reproId=3779966</v>
      </c>
      <c r="K901">
        <f>IF(LEN(TRIM(E901))=0,"",VLOOKUP(E901,Sheet2!$B$1:$E$19,2,FALSE))</f>
        <v>1073</v>
      </c>
      <c r="L901">
        <f>IF(LEN(TRIM(E901))=0,"",VLOOKUP(E901,Sheet2!$B$1:$E$19,3,FALSE))</f>
        <v>1108958</v>
      </c>
      <c r="M901">
        <f>IF(LEN(TRIM(E901))=0,"",VLOOKUP(E901,Sheet2!$B$1:$E$19,4,FALSE))+(F901-1)</f>
        <v>3779966</v>
      </c>
      <c r="N901" s="1"/>
      <c r="O901" s="1"/>
      <c r="P901" s="1"/>
      <c r="Q901" s="1"/>
    </row>
    <row r="902" spans="1:17" ht="15" customHeight="1" x14ac:dyDescent="0.25">
      <c r="A902" s="27" t="s">
        <v>127</v>
      </c>
      <c r="B902" s="27" t="s">
        <v>135</v>
      </c>
      <c r="C902" s="5" t="s">
        <v>1171</v>
      </c>
      <c r="D902" s="3" t="s">
        <v>454</v>
      </c>
      <c r="E902" s="3">
        <v>2170</v>
      </c>
      <c r="F902" s="28">
        <v>42</v>
      </c>
      <c r="G902" s="10">
        <v>38</v>
      </c>
      <c r="H902" s="3">
        <v>62</v>
      </c>
      <c r="I902" s="3">
        <v>58</v>
      </c>
      <c r="J902" t="str">
        <f t="shared" si="14"/>
        <v>http://www.badatelna.eu/reprodukce/?fondId=1073&amp;zaznamId=1108956&amp;reproId=3779634</v>
      </c>
      <c r="K902">
        <f>IF(LEN(TRIM(E902))=0,"",VLOOKUP(E902,Sheet2!$B$1:$E$19,2,FALSE))</f>
        <v>1073</v>
      </c>
      <c r="L902">
        <f>IF(LEN(TRIM(E902))=0,"",VLOOKUP(E902,Sheet2!$B$1:$E$19,3,FALSE))</f>
        <v>1108956</v>
      </c>
      <c r="M902">
        <f>IF(LEN(TRIM(E902))=0,"",VLOOKUP(E902,Sheet2!$B$1:$E$19,4,FALSE))+(F902-1)</f>
        <v>3779634</v>
      </c>
      <c r="N902" s="1"/>
      <c r="O902" s="1"/>
      <c r="P902" s="1"/>
      <c r="Q902" s="1"/>
    </row>
    <row r="903" spans="1:17" ht="15" customHeight="1" x14ac:dyDescent="0.25">
      <c r="A903" s="27" t="s">
        <v>127</v>
      </c>
      <c r="B903" s="27" t="s">
        <v>7</v>
      </c>
      <c r="C903" s="5" t="s">
        <v>1169</v>
      </c>
      <c r="D903" s="3" t="s">
        <v>454</v>
      </c>
      <c r="E903" s="3">
        <v>2170</v>
      </c>
      <c r="F903" s="28">
        <v>32</v>
      </c>
      <c r="G903" s="10">
        <v>28</v>
      </c>
      <c r="H903" s="3">
        <v>62</v>
      </c>
      <c r="I903" s="3">
        <v>58</v>
      </c>
      <c r="J903" t="str">
        <f t="shared" si="14"/>
        <v>http://www.badatelna.eu/reprodukce/?fondId=1073&amp;zaznamId=1108956&amp;reproId=3779624</v>
      </c>
      <c r="K903">
        <f>IF(LEN(TRIM(E903))=0,"",VLOOKUP(E903,Sheet2!$B$1:$E$19,2,FALSE))</f>
        <v>1073</v>
      </c>
      <c r="L903">
        <f>IF(LEN(TRIM(E903))=0,"",VLOOKUP(E903,Sheet2!$B$1:$E$19,3,FALSE))</f>
        <v>1108956</v>
      </c>
      <c r="M903">
        <f>IF(LEN(TRIM(E903))=0,"",VLOOKUP(E903,Sheet2!$B$1:$E$19,4,FALSE))+(F903-1)</f>
        <v>3779624</v>
      </c>
      <c r="N903" s="1"/>
      <c r="O903" s="1"/>
      <c r="P903" s="1"/>
      <c r="Q903" s="1"/>
    </row>
    <row r="904" spans="1:17" ht="15" customHeight="1" x14ac:dyDescent="0.25">
      <c r="A904" s="28" t="s">
        <v>127</v>
      </c>
      <c r="B904" s="28" t="s">
        <v>731</v>
      </c>
      <c r="C904" s="15">
        <v>2256</v>
      </c>
      <c r="D904" s="1" t="s">
        <v>454</v>
      </c>
      <c r="E904" s="1">
        <v>2172</v>
      </c>
      <c r="F904" s="28">
        <v>166</v>
      </c>
      <c r="G904" s="9">
        <v>159</v>
      </c>
      <c r="H904" s="1" t="s">
        <v>3073</v>
      </c>
      <c r="I904" s="1" t="s">
        <v>3073</v>
      </c>
      <c r="J904" t="str">
        <f t="shared" si="14"/>
        <v>http://www.badatelna.eu/reprodukce/?fondId=1073&amp;zaznamId=1108958&amp;reproId=3779907</v>
      </c>
      <c r="K904">
        <f>IF(LEN(TRIM(E904))=0,"",VLOOKUP(E904,Sheet2!$B$1:$E$19,2,FALSE))</f>
        <v>1073</v>
      </c>
      <c r="L904">
        <f>IF(LEN(TRIM(E904))=0,"",VLOOKUP(E904,Sheet2!$B$1:$E$19,3,FALSE))</f>
        <v>1108958</v>
      </c>
      <c r="M904">
        <f>IF(LEN(TRIM(E904))=0,"",VLOOKUP(E904,Sheet2!$B$1:$E$19,4,FALSE))+(F904-1)</f>
        <v>3779907</v>
      </c>
      <c r="N904" s="1"/>
      <c r="O904" s="1"/>
      <c r="P904" s="1"/>
      <c r="Q904" s="1"/>
    </row>
    <row r="905" spans="1:17" ht="15" customHeight="1" x14ac:dyDescent="0.25">
      <c r="A905" s="28" t="s">
        <v>127</v>
      </c>
      <c r="B905" s="28" t="s">
        <v>603</v>
      </c>
      <c r="C905" s="6" t="s">
        <v>1693</v>
      </c>
      <c r="D905" s="1" t="s">
        <v>454</v>
      </c>
      <c r="E905" s="1">
        <v>2172</v>
      </c>
      <c r="F905" s="28">
        <v>114</v>
      </c>
      <c r="G905" s="9" t="s">
        <v>2770</v>
      </c>
      <c r="H905" s="1">
        <v>116</v>
      </c>
      <c r="I905" s="1">
        <v>115</v>
      </c>
      <c r="J905" t="str">
        <f t="shared" si="14"/>
        <v>http://www.badatelna.eu/reprodukce/?fondId=1073&amp;zaznamId=1108958&amp;reproId=3779855</v>
      </c>
      <c r="K905">
        <f>IF(LEN(TRIM(E905))=0,"",VLOOKUP(E905,Sheet2!$B$1:$E$19,2,FALSE))</f>
        <v>1073</v>
      </c>
      <c r="L905">
        <f>IF(LEN(TRIM(E905))=0,"",VLOOKUP(E905,Sheet2!$B$1:$E$19,3,FALSE))</f>
        <v>1108958</v>
      </c>
      <c r="M905">
        <f>IF(LEN(TRIM(E905))=0,"",VLOOKUP(E905,Sheet2!$B$1:$E$19,4,FALSE))+(F905-1)</f>
        <v>3779855</v>
      </c>
      <c r="N905" s="1"/>
      <c r="O905" s="1"/>
      <c r="P905" s="1"/>
      <c r="Q905" s="1"/>
    </row>
    <row r="906" spans="1:17" ht="15" customHeight="1" x14ac:dyDescent="0.25">
      <c r="A906" s="27" t="s">
        <v>127</v>
      </c>
      <c r="B906" s="27" t="s">
        <v>265</v>
      </c>
      <c r="C906" s="5" t="s">
        <v>1179</v>
      </c>
      <c r="D906" s="3" t="s">
        <v>454</v>
      </c>
      <c r="E906" s="3">
        <v>2170</v>
      </c>
      <c r="F906" s="28">
        <v>17</v>
      </c>
      <c r="G906" s="10">
        <v>13</v>
      </c>
      <c r="H906" s="3">
        <v>62</v>
      </c>
      <c r="I906" s="3">
        <v>58</v>
      </c>
      <c r="J906" t="str">
        <f t="shared" si="14"/>
        <v>http://www.badatelna.eu/reprodukce/?fondId=1073&amp;zaznamId=1108956&amp;reproId=3779609</v>
      </c>
      <c r="K906">
        <f>IF(LEN(TRIM(E906))=0,"",VLOOKUP(E906,Sheet2!$B$1:$E$19,2,FALSE))</f>
        <v>1073</v>
      </c>
      <c r="L906">
        <f>IF(LEN(TRIM(E906))=0,"",VLOOKUP(E906,Sheet2!$B$1:$E$19,3,FALSE))</f>
        <v>1108956</v>
      </c>
      <c r="M906">
        <f>IF(LEN(TRIM(E906))=0,"",VLOOKUP(E906,Sheet2!$B$1:$E$19,4,FALSE))+(F906-1)</f>
        <v>3779609</v>
      </c>
      <c r="N906" s="1"/>
      <c r="O906" s="1"/>
      <c r="P906" s="1"/>
      <c r="Q906" s="1"/>
    </row>
    <row r="907" spans="1:17" ht="15" customHeight="1" x14ac:dyDescent="0.25">
      <c r="A907" s="28" t="s">
        <v>127</v>
      </c>
      <c r="B907" s="28" t="s">
        <v>3047</v>
      </c>
      <c r="C907" s="1">
        <v>1866</v>
      </c>
      <c r="D907" s="1" t="s">
        <v>2919</v>
      </c>
      <c r="E907" s="1">
        <v>999</v>
      </c>
      <c r="F907" s="28">
        <v>90</v>
      </c>
      <c r="G907" s="1">
        <v>11</v>
      </c>
      <c r="H907" s="1">
        <v>99</v>
      </c>
      <c r="I907" s="1">
        <v>158</v>
      </c>
      <c r="J907" t="str">
        <f t="shared" si="14"/>
        <v>http://www.badatelna.eu/reprodukce/?fondId=241&amp;zaznamId=1133739&amp;reproId=3885819</v>
      </c>
      <c r="K907">
        <f>IF(LEN(TRIM(E907))=0,"",VLOOKUP(E907,Sheet2!$B$1:$E$19,2,FALSE))</f>
        <v>241</v>
      </c>
      <c r="L907">
        <f>IF(LEN(TRIM(E907))=0,"",VLOOKUP(E907,Sheet2!$B$1:$E$19,3,FALSE))</f>
        <v>1133739</v>
      </c>
      <c r="M907">
        <f>IF(LEN(TRIM(E907))=0,"",VLOOKUP(E907,Sheet2!$B$1:$E$19,4,FALSE))+(F907-1)</f>
        <v>3885819</v>
      </c>
      <c r="N907" s="1"/>
      <c r="O907" s="1"/>
      <c r="P907" s="1"/>
      <c r="Q907" s="1"/>
    </row>
    <row r="908" spans="1:17" ht="15" customHeight="1" x14ac:dyDescent="0.25">
      <c r="A908" s="27" t="s">
        <v>127</v>
      </c>
      <c r="B908" s="27" t="s">
        <v>306</v>
      </c>
      <c r="C908" s="5" t="s">
        <v>1173</v>
      </c>
      <c r="D908" s="3" t="s">
        <v>454</v>
      </c>
      <c r="E908" s="3">
        <v>2170</v>
      </c>
      <c r="F908" s="28">
        <v>31</v>
      </c>
      <c r="G908" s="10">
        <v>27</v>
      </c>
      <c r="H908" s="3">
        <v>62</v>
      </c>
      <c r="I908" s="3">
        <v>58</v>
      </c>
      <c r="J908" t="str">
        <f t="shared" si="14"/>
        <v>http://www.badatelna.eu/reprodukce/?fondId=1073&amp;zaznamId=1108956&amp;reproId=3779623</v>
      </c>
      <c r="K908">
        <f>IF(LEN(TRIM(E908))=0,"",VLOOKUP(E908,Sheet2!$B$1:$E$19,2,FALSE))</f>
        <v>1073</v>
      </c>
      <c r="L908">
        <f>IF(LEN(TRIM(E908))=0,"",VLOOKUP(E908,Sheet2!$B$1:$E$19,3,FALSE))</f>
        <v>1108956</v>
      </c>
      <c r="M908">
        <f>IF(LEN(TRIM(E908))=0,"",VLOOKUP(E908,Sheet2!$B$1:$E$19,4,FALSE))+(F908-1)</f>
        <v>3779623</v>
      </c>
      <c r="N908" s="1"/>
      <c r="O908" s="1"/>
      <c r="P908" s="1"/>
      <c r="Q908" s="1"/>
    </row>
    <row r="909" spans="1:17" ht="15" customHeight="1" x14ac:dyDescent="0.25">
      <c r="A909" s="28" t="s">
        <v>127</v>
      </c>
      <c r="B909" s="28" t="s">
        <v>591</v>
      </c>
      <c r="C909" s="1">
        <v>1860</v>
      </c>
      <c r="D909" s="1" t="s">
        <v>2919</v>
      </c>
      <c r="E909" s="1">
        <v>998</v>
      </c>
      <c r="F909" s="28">
        <v>57</v>
      </c>
      <c r="G909" s="1">
        <v>54</v>
      </c>
      <c r="H909" s="1">
        <v>68</v>
      </c>
      <c r="I909" s="1">
        <v>65</v>
      </c>
      <c r="J909" t="str">
        <f t="shared" si="14"/>
        <v>http://www.badatelna.eu/reprodukce/?fondId=241&amp;zaznamId=1133738&amp;reproId=3885703</v>
      </c>
      <c r="K909">
        <f>IF(LEN(TRIM(E909))=0,"",VLOOKUP(E909,Sheet2!$B$1:$E$19,2,FALSE))</f>
        <v>241</v>
      </c>
      <c r="L909">
        <f>IF(LEN(TRIM(E909))=0,"",VLOOKUP(E909,Sheet2!$B$1:$E$19,3,FALSE))</f>
        <v>1133738</v>
      </c>
      <c r="M909">
        <f>IF(LEN(TRIM(E909))=0,"",VLOOKUP(E909,Sheet2!$B$1:$E$19,4,FALSE))+(F909-1)</f>
        <v>3885703</v>
      </c>
      <c r="N909" s="1"/>
      <c r="O909" s="1"/>
      <c r="P909" s="1"/>
      <c r="Q909" s="1"/>
    </row>
    <row r="910" spans="1:17" ht="15" customHeight="1" x14ac:dyDescent="0.25">
      <c r="A910" s="28" t="s">
        <v>127</v>
      </c>
      <c r="B910" s="28" t="s">
        <v>645</v>
      </c>
      <c r="C910" s="1">
        <v>1865</v>
      </c>
      <c r="D910" s="1" t="s">
        <v>2919</v>
      </c>
      <c r="E910" s="1">
        <v>999</v>
      </c>
      <c r="F910" s="28">
        <v>87</v>
      </c>
      <c r="G910" s="1">
        <v>8</v>
      </c>
      <c r="H910" s="1">
        <v>99</v>
      </c>
      <c r="I910" s="1">
        <v>158</v>
      </c>
      <c r="J910" t="str">
        <f t="shared" si="14"/>
        <v>http://www.badatelna.eu/reprodukce/?fondId=241&amp;zaznamId=1133739&amp;reproId=3885816</v>
      </c>
      <c r="K910">
        <f>IF(LEN(TRIM(E910))=0,"",VLOOKUP(E910,Sheet2!$B$1:$E$19,2,FALSE))</f>
        <v>241</v>
      </c>
      <c r="L910">
        <f>IF(LEN(TRIM(E910))=0,"",VLOOKUP(E910,Sheet2!$B$1:$E$19,3,FALSE))</f>
        <v>1133739</v>
      </c>
      <c r="M910">
        <f>IF(LEN(TRIM(E910))=0,"",VLOOKUP(E910,Sheet2!$B$1:$E$19,4,FALSE))+(F910-1)</f>
        <v>3885816</v>
      </c>
      <c r="N910" s="1"/>
      <c r="O910" s="1"/>
      <c r="P910" s="1"/>
      <c r="Q910" s="1"/>
    </row>
    <row r="911" spans="1:17" ht="15" customHeight="1" x14ac:dyDescent="0.25">
      <c r="A911" s="27" t="s">
        <v>127</v>
      </c>
      <c r="B911" s="27" t="s">
        <v>536</v>
      </c>
      <c r="C911" s="5" t="s">
        <v>1174</v>
      </c>
      <c r="D911" s="3" t="s">
        <v>454</v>
      </c>
      <c r="E911" s="3">
        <v>2170</v>
      </c>
      <c r="F911" s="28">
        <v>14</v>
      </c>
      <c r="G911" s="10">
        <v>10</v>
      </c>
      <c r="H911" s="3">
        <v>62</v>
      </c>
      <c r="I911" s="3">
        <v>58</v>
      </c>
      <c r="J911" t="str">
        <f t="shared" si="14"/>
        <v>http://www.badatelna.eu/reprodukce/?fondId=1073&amp;zaznamId=1108956&amp;reproId=3779606</v>
      </c>
      <c r="K911">
        <f>IF(LEN(TRIM(E911))=0,"",VLOOKUP(E911,Sheet2!$B$1:$E$19,2,FALSE))</f>
        <v>1073</v>
      </c>
      <c r="L911">
        <f>IF(LEN(TRIM(E911))=0,"",VLOOKUP(E911,Sheet2!$B$1:$E$19,3,FALSE))</f>
        <v>1108956</v>
      </c>
      <c r="M911">
        <f>IF(LEN(TRIM(E911))=0,"",VLOOKUP(E911,Sheet2!$B$1:$E$19,4,FALSE))+(F911-1)</f>
        <v>3779606</v>
      </c>
      <c r="N911" s="1"/>
      <c r="O911" s="1"/>
      <c r="P911" s="1"/>
      <c r="Q911" s="1"/>
    </row>
    <row r="912" spans="1:17" ht="15" customHeight="1" x14ac:dyDescent="0.25">
      <c r="A912" s="27" t="s">
        <v>127</v>
      </c>
      <c r="B912" s="27" t="s">
        <v>54</v>
      </c>
      <c r="C912" s="5" t="s">
        <v>1178</v>
      </c>
      <c r="D912" s="3" t="s">
        <v>454</v>
      </c>
      <c r="E912" s="3">
        <v>2170</v>
      </c>
      <c r="F912" s="28">
        <v>51</v>
      </c>
      <c r="G912" s="10">
        <v>47</v>
      </c>
      <c r="H912" s="3">
        <v>62</v>
      </c>
      <c r="I912" s="3">
        <v>58</v>
      </c>
      <c r="J912" t="str">
        <f t="shared" si="14"/>
        <v>http://www.badatelna.eu/reprodukce/?fondId=1073&amp;zaznamId=1108956&amp;reproId=3779643</v>
      </c>
      <c r="K912">
        <f>IF(LEN(TRIM(E912))=0,"",VLOOKUP(E912,Sheet2!$B$1:$E$19,2,FALSE))</f>
        <v>1073</v>
      </c>
      <c r="L912">
        <f>IF(LEN(TRIM(E912))=0,"",VLOOKUP(E912,Sheet2!$B$1:$E$19,3,FALSE))</f>
        <v>1108956</v>
      </c>
      <c r="M912">
        <f>IF(LEN(TRIM(E912))=0,"",VLOOKUP(E912,Sheet2!$B$1:$E$19,4,FALSE))+(F912-1)</f>
        <v>3779643</v>
      </c>
      <c r="N912" s="1"/>
      <c r="O912" s="1"/>
      <c r="P912" s="1"/>
      <c r="Q912" s="1"/>
    </row>
    <row r="913" spans="1:17" ht="15" customHeight="1" x14ac:dyDescent="0.25">
      <c r="A913" s="28" t="s">
        <v>127</v>
      </c>
      <c r="B913" s="28" t="s">
        <v>13</v>
      </c>
      <c r="C913" s="1">
        <v>1850</v>
      </c>
      <c r="D913" s="1" t="s">
        <v>2919</v>
      </c>
      <c r="E913" s="1">
        <v>998</v>
      </c>
      <c r="F913" s="28">
        <v>30</v>
      </c>
      <c r="G913" s="1">
        <v>28</v>
      </c>
      <c r="H913" s="1">
        <v>68</v>
      </c>
      <c r="I913" s="1">
        <v>65</v>
      </c>
      <c r="J913" t="str">
        <f t="shared" si="14"/>
        <v>http://www.badatelna.eu/reprodukce/?fondId=241&amp;zaznamId=1133738&amp;reproId=3885676</v>
      </c>
      <c r="K913">
        <f>IF(LEN(TRIM(E913))=0,"",VLOOKUP(E913,Sheet2!$B$1:$E$19,2,FALSE))</f>
        <v>241</v>
      </c>
      <c r="L913">
        <f>IF(LEN(TRIM(E913))=0,"",VLOOKUP(E913,Sheet2!$B$1:$E$19,3,FALSE))</f>
        <v>1133738</v>
      </c>
      <c r="M913">
        <f>IF(LEN(TRIM(E913))=0,"",VLOOKUP(E913,Sheet2!$B$1:$E$19,4,FALSE))+(F913-1)</f>
        <v>3885676</v>
      </c>
      <c r="N913" s="1"/>
      <c r="O913" s="1"/>
      <c r="P913" s="1"/>
      <c r="Q913" s="1"/>
    </row>
    <row r="914" spans="1:17" ht="15" customHeight="1" x14ac:dyDescent="0.25">
      <c r="A914" s="28" t="s">
        <v>127</v>
      </c>
      <c r="B914" s="28" t="s">
        <v>13</v>
      </c>
      <c r="C914" s="1">
        <v>1855</v>
      </c>
      <c r="D914" s="1" t="s">
        <v>2919</v>
      </c>
      <c r="E914" s="1">
        <v>998</v>
      </c>
      <c r="F914" s="28">
        <v>45</v>
      </c>
      <c r="G914" s="1">
        <v>43</v>
      </c>
      <c r="H914" s="1">
        <v>68</v>
      </c>
      <c r="I914" s="1">
        <v>65</v>
      </c>
      <c r="J914" t="str">
        <f t="shared" si="14"/>
        <v>http://www.badatelna.eu/reprodukce/?fondId=241&amp;zaznamId=1133738&amp;reproId=3885691</v>
      </c>
      <c r="K914">
        <f>IF(LEN(TRIM(E914))=0,"",VLOOKUP(E914,Sheet2!$B$1:$E$19,2,FALSE))</f>
        <v>241</v>
      </c>
      <c r="L914">
        <f>IF(LEN(TRIM(E914))=0,"",VLOOKUP(E914,Sheet2!$B$1:$E$19,3,FALSE))</f>
        <v>1133738</v>
      </c>
      <c r="M914">
        <f>IF(LEN(TRIM(E914))=0,"",VLOOKUP(E914,Sheet2!$B$1:$E$19,4,FALSE))+(F914-1)</f>
        <v>3885691</v>
      </c>
      <c r="N914" s="1"/>
      <c r="O914" s="1"/>
      <c r="P914" s="1"/>
      <c r="Q914" s="1"/>
    </row>
    <row r="915" spans="1:17" ht="15" customHeight="1" x14ac:dyDescent="0.25">
      <c r="A915" s="28" t="s">
        <v>127</v>
      </c>
      <c r="B915" s="28" t="s">
        <v>13</v>
      </c>
      <c r="C915" s="6" t="s">
        <v>2400</v>
      </c>
      <c r="D915" s="1" t="s">
        <v>454</v>
      </c>
      <c r="E915" s="1">
        <v>2173</v>
      </c>
      <c r="F915" s="28">
        <v>202</v>
      </c>
      <c r="G915" s="9">
        <v>14</v>
      </c>
      <c r="H915" s="1" t="s">
        <v>3073</v>
      </c>
      <c r="I915" s="1" t="s">
        <v>3073</v>
      </c>
      <c r="J915" t="str">
        <f t="shared" si="14"/>
        <v>http://www.badatelna.eu/reprodukce/?fondId=1073&amp;zaznamId=1108959&amp;reproId=3780195</v>
      </c>
      <c r="K915">
        <f>IF(LEN(TRIM(E915))=0,"",VLOOKUP(E915,Sheet2!$B$1:$E$19,2,FALSE))</f>
        <v>1073</v>
      </c>
      <c r="L915">
        <f>IF(LEN(TRIM(E915))=0,"",VLOOKUP(E915,Sheet2!$B$1:$E$19,3,FALSE))</f>
        <v>1108959</v>
      </c>
      <c r="M915">
        <f>IF(LEN(TRIM(E915))=0,"",VLOOKUP(E915,Sheet2!$B$1:$E$19,4,FALSE))+(F915-1)</f>
        <v>3780195</v>
      </c>
      <c r="N915" s="1"/>
      <c r="O915" s="1"/>
      <c r="P915" s="1"/>
      <c r="Q915" s="1"/>
    </row>
    <row r="916" spans="1:17" ht="15" customHeight="1" x14ac:dyDescent="0.25">
      <c r="A916" s="28" t="s">
        <v>127</v>
      </c>
      <c r="B916" s="28" t="s">
        <v>13</v>
      </c>
      <c r="C916" s="6" t="s">
        <v>2737</v>
      </c>
      <c r="D916" s="1" t="s">
        <v>454</v>
      </c>
      <c r="E916" s="1">
        <v>2173</v>
      </c>
      <c r="F916" s="28">
        <v>227</v>
      </c>
      <c r="G916" s="9">
        <v>59</v>
      </c>
      <c r="H916" s="1" t="s">
        <v>3073</v>
      </c>
      <c r="I916" s="1" t="s">
        <v>3073</v>
      </c>
      <c r="J916" t="str">
        <f t="shared" si="14"/>
        <v>http://www.badatelna.eu/reprodukce/?fondId=1073&amp;zaznamId=1108959&amp;reproId=3780220</v>
      </c>
      <c r="K916">
        <f>IF(LEN(TRIM(E916))=0,"",VLOOKUP(E916,Sheet2!$B$1:$E$19,2,FALSE))</f>
        <v>1073</v>
      </c>
      <c r="L916">
        <f>IF(LEN(TRIM(E916))=0,"",VLOOKUP(E916,Sheet2!$B$1:$E$19,3,FALSE))</f>
        <v>1108959</v>
      </c>
      <c r="M916">
        <f>IF(LEN(TRIM(E916))=0,"",VLOOKUP(E916,Sheet2!$B$1:$E$19,4,FALSE))+(F916-1)</f>
        <v>3780220</v>
      </c>
      <c r="N916" s="1"/>
      <c r="O916" s="1"/>
      <c r="P916" s="1"/>
      <c r="Q916" s="1"/>
    </row>
    <row r="917" spans="1:17" ht="15" customHeight="1" x14ac:dyDescent="0.25">
      <c r="A917" s="28" t="s">
        <v>127</v>
      </c>
      <c r="B917" s="28" t="s">
        <v>247</v>
      </c>
      <c r="C917" s="1">
        <v>1887</v>
      </c>
      <c r="D917" s="1" t="s">
        <v>454</v>
      </c>
      <c r="E917" s="1">
        <v>2172</v>
      </c>
      <c r="F917" s="28">
        <v>57</v>
      </c>
      <c r="G917" s="9">
        <v>58</v>
      </c>
      <c r="H917" s="1">
        <v>60</v>
      </c>
      <c r="I917" s="1">
        <v>61</v>
      </c>
      <c r="J917" t="str">
        <f t="shared" si="14"/>
        <v>http://www.badatelna.eu/reprodukce/?fondId=1073&amp;zaznamId=1108958&amp;reproId=3779798</v>
      </c>
      <c r="K917">
        <f>IF(LEN(TRIM(E917))=0,"",VLOOKUP(E917,Sheet2!$B$1:$E$19,2,FALSE))</f>
        <v>1073</v>
      </c>
      <c r="L917">
        <f>IF(LEN(TRIM(E917))=0,"",VLOOKUP(E917,Sheet2!$B$1:$E$19,3,FALSE))</f>
        <v>1108958</v>
      </c>
      <c r="M917">
        <f>IF(LEN(TRIM(E917))=0,"",VLOOKUP(E917,Sheet2!$B$1:$E$19,4,FALSE))+(F917-1)</f>
        <v>3779798</v>
      </c>
      <c r="N917" s="1"/>
      <c r="O917" s="1"/>
      <c r="P917" s="1"/>
      <c r="Q917" s="1"/>
    </row>
    <row r="918" spans="1:17" ht="15" customHeight="1" x14ac:dyDescent="0.25">
      <c r="A918" s="28" t="s">
        <v>127</v>
      </c>
      <c r="B918" s="28" t="s">
        <v>143</v>
      </c>
      <c r="C918" s="6" t="s">
        <v>2592</v>
      </c>
      <c r="D918" s="1" t="s">
        <v>454</v>
      </c>
      <c r="E918" s="1">
        <v>2173</v>
      </c>
      <c r="F918" s="28">
        <v>216</v>
      </c>
      <c r="G918" s="9">
        <v>42</v>
      </c>
      <c r="H918" s="1" t="s">
        <v>3073</v>
      </c>
      <c r="I918" s="1" t="s">
        <v>3073</v>
      </c>
      <c r="J918" t="str">
        <f t="shared" si="14"/>
        <v>http://www.badatelna.eu/reprodukce/?fondId=1073&amp;zaznamId=1108959&amp;reproId=3780209</v>
      </c>
      <c r="K918">
        <f>IF(LEN(TRIM(E918))=0,"",VLOOKUP(E918,Sheet2!$B$1:$E$19,2,FALSE))</f>
        <v>1073</v>
      </c>
      <c r="L918">
        <f>IF(LEN(TRIM(E918))=0,"",VLOOKUP(E918,Sheet2!$B$1:$E$19,3,FALSE))</f>
        <v>1108959</v>
      </c>
      <c r="M918">
        <f>IF(LEN(TRIM(E918))=0,"",VLOOKUP(E918,Sheet2!$B$1:$E$19,4,FALSE))+(F918-1)</f>
        <v>3780209</v>
      </c>
      <c r="N918" s="1"/>
      <c r="O918" s="1"/>
      <c r="P918" s="1"/>
      <c r="Q918" s="1"/>
    </row>
    <row r="919" spans="1:17" ht="15" customHeight="1" x14ac:dyDescent="0.25">
      <c r="A919" s="28" t="s">
        <v>127</v>
      </c>
      <c r="B919" s="28" t="s">
        <v>868</v>
      </c>
      <c r="C919" s="1">
        <v>1887</v>
      </c>
      <c r="D919" s="1" t="s">
        <v>454</v>
      </c>
      <c r="E919" s="1">
        <v>2172</v>
      </c>
      <c r="F919" s="28">
        <v>59</v>
      </c>
      <c r="G919" s="9">
        <v>60</v>
      </c>
      <c r="H919" s="1">
        <v>60</v>
      </c>
      <c r="I919" s="1">
        <v>61</v>
      </c>
      <c r="J919" t="str">
        <f t="shared" si="14"/>
        <v>http://www.badatelna.eu/reprodukce/?fondId=1073&amp;zaznamId=1108958&amp;reproId=3779800</v>
      </c>
      <c r="K919">
        <f>IF(LEN(TRIM(E919))=0,"",VLOOKUP(E919,Sheet2!$B$1:$E$19,2,FALSE))</f>
        <v>1073</v>
      </c>
      <c r="L919">
        <f>IF(LEN(TRIM(E919))=0,"",VLOOKUP(E919,Sheet2!$B$1:$E$19,3,FALSE))</f>
        <v>1108958</v>
      </c>
      <c r="M919">
        <f>IF(LEN(TRIM(E919))=0,"",VLOOKUP(E919,Sheet2!$B$1:$E$19,4,FALSE))+(F919-1)</f>
        <v>3779800</v>
      </c>
      <c r="N919" s="1"/>
      <c r="O919" s="1"/>
      <c r="P919" s="1"/>
      <c r="Q919" s="1"/>
    </row>
    <row r="920" spans="1:17" ht="15" customHeight="1" x14ac:dyDescent="0.25">
      <c r="A920" s="27" t="s">
        <v>127</v>
      </c>
      <c r="B920" s="27" t="s">
        <v>407</v>
      </c>
      <c r="C920" s="5" t="s">
        <v>1170</v>
      </c>
      <c r="D920" s="3" t="s">
        <v>454</v>
      </c>
      <c r="E920" s="3">
        <v>2170</v>
      </c>
      <c r="F920" s="28">
        <v>31</v>
      </c>
      <c r="G920" s="10">
        <v>27</v>
      </c>
      <c r="H920" s="3">
        <v>62</v>
      </c>
      <c r="I920" s="3">
        <v>58</v>
      </c>
      <c r="J920" t="str">
        <f t="shared" si="14"/>
        <v>http://www.badatelna.eu/reprodukce/?fondId=1073&amp;zaznamId=1108956&amp;reproId=3779623</v>
      </c>
      <c r="K920">
        <f>IF(LEN(TRIM(E920))=0,"",VLOOKUP(E920,Sheet2!$B$1:$E$19,2,FALSE))</f>
        <v>1073</v>
      </c>
      <c r="L920">
        <f>IF(LEN(TRIM(E920))=0,"",VLOOKUP(E920,Sheet2!$B$1:$E$19,3,FALSE))</f>
        <v>1108956</v>
      </c>
      <c r="M920">
        <f>IF(LEN(TRIM(E920))=0,"",VLOOKUP(E920,Sheet2!$B$1:$E$19,4,FALSE))+(F920-1)</f>
        <v>3779623</v>
      </c>
      <c r="N920" s="1"/>
      <c r="O920" s="1"/>
      <c r="P920" s="1"/>
      <c r="Q920" s="1"/>
    </row>
    <row r="921" spans="1:17" ht="15" customHeight="1" x14ac:dyDescent="0.25">
      <c r="A921" s="28" t="s">
        <v>127</v>
      </c>
      <c r="B921" s="28" t="s">
        <v>289</v>
      </c>
      <c r="C921" s="6" t="s">
        <v>2053</v>
      </c>
      <c r="D921" s="1" t="s">
        <v>454</v>
      </c>
      <c r="E921" s="1">
        <v>2173</v>
      </c>
      <c r="F921" s="28">
        <v>179</v>
      </c>
      <c r="G921" s="9">
        <v>4</v>
      </c>
      <c r="H921" s="1">
        <v>187</v>
      </c>
      <c r="I921" s="1">
        <v>417</v>
      </c>
      <c r="J921" t="str">
        <f t="shared" si="14"/>
        <v>http://www.badatelna.eu/reprodukce/?fondId=1073&amp;zaznamId=1108959&amp;reproId=3780172</v>
      </c>
      <c r="K921">
        <f>IF(LEN(TRIM(E921))=0,"",VLOOKUP(E921,Sheet2!$B$1:$E$19,2,FALSE))</f>
        <v>1073</v>
      </c>
      <c r="L921">
        <f>IF(LEN(TRIM(E921))=0,"",VLOOKUP(E921,Sheet2!$B$1:$E$19,3,FALSE))</f>
        <v>1108959</v>
      </c>
      <c r="M921">
        <f>IF(LEN(TRIM(E921))=0,"",VLOOKUP(E921,Sheet2!$B$1:$E$19,4,FALSE))+(F921-1)</f>
        <v>3780172</v>
      </c>
      <c r="N921" s="1"/>
      <c r="O921" s="1"/>
      <c r="P921" s="1"/>
      <c r="Q921" s="1"/>
    </row>
    <row r="922" spans="1:17" ht="15" customHeight="1" x14ac:dyDescent="0.25">
      <c r="A922" s="28" t="s">
        <v>127</v>
      </c>
      <c r="B922" s="28" t="s">
        <v>869</v>
      </c>
      <c r="C922" s="6" t="s">
        <v>1959</v>
      </c>
      <c r="D922" s="1" t="s">
        <v>454</v>
      </c>
      <c r="E922" s="1">
        <v>2172</v>
      </c>
      <c r="F922" s="28">
        <v>235</v>
      </c>
      <c r="G922" s="9">
        <v>215</v>
      </c>
      <c r="H922" s="1" t="s">
        <v>3073</v>
      </c>
      <c r="I922" s="1" t="s">
        <v>3073</v>
      </c>
      <c r="J922" t="str">
        <f t="shared" si="14"/>
        <v>http://www.badatelna.eu/reprodukce/?fondId=1073&amp;zaznamId=1108958&amp;reproId=3779976</v>
      </c>
      <c r="K922">
        <f>IF(LEN(TRIM(E922))=0,"",VLOOKUP(E922,Sheet2!$B$1:$E$19,2,FALSE))</f>
        <v>1073</v>
      </c>
      <c r="L922">
        <f>IF(LEN(TRIM(E922))=0,"",VLOOKUP(E922,Sheet2!$B$1:$E$19,3,FALSE))</f>
        <v>1108958</v>
      </c>
      <c r="M922">
        <f>IF(LEN(TRIM(E922))=0,"",VLOOKUP(E922,Sheet2!$B$1:$E$19,4,FALSE))+(F922-1)</f>
        <v>3779976</v>
      </c>
      <c r="N922" s="1"/>
      <c r="O922" s="1"/>
      <c r="P922" s="1"/>
      <c r="Q922" s="1"/>
    </row>
    <row r="923" spans="1:17" ht="15" customHeight="1" x14ac:dyDescent="0.25">
      <c r="A923" s="28" t="s">
        <v>870</v>
      </c>
      <c r="B923" s="28" t="s">
        <v>871</v>
      </c>
      <c r="C923" s="6" t="s">
        <v>1882</v>
      </c>
      <c r="D923" s="1" t="s">
        <v>454</v>
      </c>
      <c r="E923" s="1">
        <v>2172</v>
      </c>
      <c r="F923" s="28">
        <v>194</v>
      </c>
      <c r="G923" s="9">
        <v>184</v>
      </c>
      <c r="H923" s="1" t="s">
        <v>3073</v>
      </c>
      <c r="I923" s="1" t="s">
        <v>3073</v>
      </c>
      <c r="J923" t="str">
        <f t="shared" si="14"/>
        <v>http://www.badatelna.eu/reprodukce/?fondId=1073&amp;zaznamId=1108958&amp;reproId=3779935</v>
      </c>
      <c r="K923">
        <f>IF(LEN(TRIM(E923))=0,"",VLOOKUP(E923,Sheet2!$B$1:$E$19,2,FALSE))</f>
        <v>1073</v>
      </c>
      <c r="L923">
        <f>IF(LEN(TRIM(E923))=0,"",VLOOKUP(E923,Sheet2!$B$1:$E$19,3,FALSE))</f>
        <v>1108958</v>
      </c>
      <c r="M923">
        <f>IF(LEN(TRIM(E923))=0,"",VLOOKUP(E923,Sheet2!$B$1:$E$19,4,FALSE))+(F923-1)</f>
        <v>3779935</v>
      </c>
      <c r="N923" s="1"/>
      <c r="O923" s="1"/>
      <c r="P923" s="1"/>
      <c r="Q923" s="1"/>
    </row>
    <row r="924" spans="1:17" ht="15" customHeight="1" x14ac:dyDescent="0.25">
      <c r="A924" s="28" t="s">
        <v>870</v>
      </c>
      <c r="B924" s="28" t="s">
        <v>13</v>
      </c>
      <c r="C924" s="6" t="s">
        <v>1804</v>
      </c>
      <c r="D924" s="1" t="s">
        <v>454</v>
      </c>
      <c r="E924" s="1">
        <v>2172</v>
      </c>
      <c r="F924" s="28">
        <v>163</v>
      </c>
      <c r="G924" s="9">
        <v>157</v>
      </c>
      <c r="H924" s="1">
        <v>164</v>
      </c>
      <c r="I924" s="1">
        <v>158</v>
      </c>
      <c r="J924" t="str">
        <f t="shared" si="14"/>
        <v>http://www.badatelna.eu/reprodukce/?fondId=1073&amp;zaznamId=1108958&amp;reproId=3779904</v>
      </c>
      <c r="K924">
        <f>IF(LEN(TRIM(E924))=0,"",VLOOKUP(E924,Sheet2!$B$1:$E$19,2,FALSE))</f>
        <v>1073</v>
      </c>
      <c r="L924">
        <f>IF(LEN(TRIM(E924))=0,"",VLOOKUP(E924,Sheet2!$B$1:$E$19,3,FALSE))</f>
        <v>1108958</v>
      </c>
      <c r="M924">
        <f>IF(LEN(TRIM(E924))=0,"",VLOOKUP(E924,Sheet2!$B$1:$E$19,4,FALSE))+(F924-1)</f>
        <v>3779904</v>
      </c>
      <c r="N924" s="1"/>
      <c r="O924" s="1"/>
      <c r="P924" s="1"/>
      <c r="Q924" s="1"/>
    </row>
    <row r="925" spans="1:17" ht="15" customHeight="1" x14ac:dyDescent="0.25">
      <c r="A925" s="28" t="s">
        <v>872</v>
      </c>
      <c r="B925" s="28" t="s">
        <v>873</v>
      </c>
      <c r="C925" s="15">
        <v>12670</v>
      </c>
      <c r="D925" s="1" t="s">
        <v>454</v>
      </c>
      <c r="E925" s="1">
        <v>2172</v>
      </c>
      <c r="F925" s="28">
        <v>231</v>
      </c>
      <c r="G925" s="9">
        <v>211</v>
      </c>
      <c r="H925" s="1" t="s">
        <v>3073</v>
      </c>
      <c r="I925" s="1" t="s">
        <v>3073</v>
      </c>
      <c r="J925" t="str">
        <f t="shared" si="14"/>
        <v>http://www.badatelna.eu/reprodukce/?fondId=1073&amp;zaznamId=1108958&amp;reproId=3779972</v>
      </c>
      <c r="K925">
        <f>IF(LEN(TRIM(E925))=0,"",VLOOKUP(E925,Sheet2!$B$1:$E$19,2,FALSE))</f>
        <v>1073</v>
      </c>
      <c r="L925">
        <f>IF(LEN(TRIM(E925))=0,"",VLOOKUP(E925,Sheet2!$B$1:$E$19,3,FALSE))</f>
        <v>1108958</v>
      </c>
      <c r="M925">
        <f>IF(LEN(TRIM(E925))=0,"",VLOOKUP(E925,Sheet2!$B$1:$E$19,4,FALSE))+(F925-1)</f>
        <v>3779972</v>
      </c>
      <c r="N925" s="1"/>
      <c r="O925" s="1"/>
      <c r="P925" s="1"/>
      <c r="Q925" s="1"/>
    </row>
    <row r="926" spans="1:17" ht="15" customHeight="1" x14ac:dyDescent="0.25">
      <c r="A926" s="27" t="s">
        <v>537</v>
      </c>
      <c r="B926" s="27" t="s">
        <v>538</v>
      </c>
      <c r="C926" s="5" t="s">
        <v>1180</v>
      </c>
      <c r="D926" s="3" t="s">
        <v>454</v>
      </c>
      <c r="E926" s="3">
        <v>2170</v>
      </c>
      <c r="F926" s="28">
        <v>22</v>
      </c>
      <c r="G926" s="10">
        <v>18</v>
      </c>
      <c r="H926" s="3">
        <v>62</v>
      </c>
      <c r="I926" s="3">
        <v>58</v>
      </c>
      <c r="J926" t="str">
        <f t="shared" si="14"/>
        <v>http://www.badatelna.eu/reprodukce/?fondId=1073&amp;zaznamId=1108956&amp;reproId=3779614</v>
      </c>
      <c r="K926">
        <f>IF(LEN(TRIM(E926))=0,"",VLOOKUP(E926,Sheet2!$B$1:$E$19,2,FALSE))</f>
        <v>1073</v>
      </c>
      <c r="L926">
        <f>IF(LEN(TRIM(E926))=0,"",VLOOKUP(E926,Sheet2!$B$1:$E$19,3,FALSE))</f>
        <v>1108956</v>
      </c>
      <c r="M926">
        <f>IF(LEN(TRIM(E926))=0,"",VLOOKUP(E926,Sheet2!$B$1:$E$19,4,FALSE))+(F926-1)</f>
        <v>3779614</v>
      </c>
      <c r="N926" s="1"/>
      <c r="O926" s="1"/>
      <c r="P926" s="1"/>
      <c r="Q926" s="1"/>
    </row>
    <row r="927" spans="1:17" ht="15" customHeight="1" x14ac:dyDescent="0.25">
      <c r="A927" s="27" t="s">
        <v>537</v>
      </c>
      <c r="B927" s="27" t="s">
        <v>198</v>
      </c>
      <c r="C927" s="5" t="s">
        <v>1483</v>
      </c>
      <c r="D927" s="3" t="s">
        <v>454</v>
      </c>
      <c r="E927" s="3">
        <v>2171</v>
      </c>
      <c r="F927" s="28">
        <v>11</v>
      </c>
      <c r="G927" s="10">
        <v>9</v>
      </c>
      <c r="H927" s="3">
        <v>44</v>
      </c>
      <c r="I927" s="3">
        <v>32</v>
      </c>
      <c r="J927" t="str">
        <f t="shared" si="14"/>
        <v>http://www.badatelna.eu/reprodukce/?fondId=1073&amp;zaznamId=1108957&amp;reproId=3779678</v>
      </c>
      <c r="K927">
        <f>IF(LEN(TRIM(E927))=0,"",VLOOKUP(E927,Sheet2!$B$1:$E$19,2,FALSE))</f>
        <v>1073</v>
      </c>
      <c r="L927">
        <f>IF(LEN(TRIM(E927))=0,"",VLOOKUP(E927,Sheet2!$B$1:$E$19,3,FALSE))</f>
        <v>1108957</v>
      </c>
      <c r="M927">
        <f>IF(LEN(TRIM(E927))=0,"",VLOOKUP(E927,Sheet2!$B$1:$E$19,4,FALSE))+(F927-1)</f>
        <v>3779678</v>
      </c>
    </row>
    <row r="928" spans="1:17" ht="15" customHeight="1" x14ac:dyDescent="0.25">
      <c r="A928" s="28" t="s">
        <v>2956</v>
      </c>
      <c r="B928" s="28" t="s">
        <v>13</v>
      </c>
      <c r="C928" s="1">
        <v>1847</v>
      </c>
      <c r="D928" s="1" t="s">
        <v>2919</v>
      </c>
      <c r="E928" s="1">
        <v>998</v>
      </c>
      <c r="F928" s="28">
        <v>8</v>
      </c>
      <c r="G928" s="1">
        <v>6</v>
      </c>
      <c r="H928" s="1">
        <v>68</v>
      </c>
      <c r="I928" s="1">
        <v>65</v>
      </c>
      <c r="J928" t="str">
        <f t="shared" si="14"/>
        <v>http://www.badatelna.eu/reprodukce/?fondId=241&amp;zaznamId=1133738&amp;reproId=3885654</v>
      </c>
      <c r="K928">
        <f>IF(LEN(TRIM(E928))=0,"",VLOOKUP(E928,Sheet2!$B$1:$E$19,2,FALSE))</f>
        <v>241</v>
      </c>
      <c r="L928">
        <f>IF(LEN(TRIM(E928))=0,"",VLOOKUP(E928,Sheet2!$B$1:$E$19,3,FALSE))</f>
        <v>1133738</v>
      </c>
      <c r="M928">
        <f>IF(LEN(TRIM(E928))=0,"",VLOOKUP(E928,Sheet2!$B$1:$E$19,4,FALSE))+(F928-1)</f>
        <v>3885654</v>
      </c>
      <c r="N928" s="1"/>
      <c r="O928" s="1"/>
      <c r="P928" s="1"/>
      <c r="Q928" s="1"/>
    </row>
    <row r="929" spans="1:17" ht="15" customHeight="1" x14ac:dyDescent="0.25">
      <c r="A929" s="28" t="s">
        <v>103</v>
      </c>
      <c r="B929" s="28" t="s">
        <v>33</v>
      </c>
      <c r="C929" s="6" t="s">
        <v>2290</v>
      </c>
      <c r="D929" s="1" t="s">
        <v>454</v>
      </c>
      <c r="E929" s="1">
        <v>2173</v>
      </c>
      <c r="F929" s="28">
        <v>198</v>
      </c>
      <c r="G929" s="9">
        <v>6</v>
      </c>
      <c r="H929" s="1" t="s">
        <v>3073</v>
      </c>
      <c r="I929" s="1" t="s">
        <v>3073</v>
      </c>
      <c r="J929" t="str">
        <f t="shared" si="14"/>
        <v>http://www.badatelna.eu/reprodukce/?fondId=1073&amp;zaznamId=1108959&amp;reproId=3780191</v>
      </c>
      <c r="K929">
        <f>IF(LEN(TRIM(E929))=0,"",VLOOKUP(E929,Sheet2!$B$1:$E$19,2,FALSE))</f>
        <v>1073</v>
      </c>
      <c r="L929">
        <f>IF(LEN(TRIM(E929))=0,"",VLOOKUP(E929,Sheet2!$B$1:$E$19,3,FALSE))</f>
        <v>1108959</v>
      </c>
      <c r="M929">
        <f>IF(LEN(TRIM(E929))=0,"",VLOOKUP(E929,Sheet2!$B$1:$E$19,4,FALSE))+(F929-1)</f>
        <v>3780191</v>
      </c>
    </row>
    <row r="930" spans="1:17" ht="15" customHeight="1" x14ac:dyDescent="0.25">
      <c r="A930" s="28" t="s">
        <v>103</v>
      </c>
      <c r="B930" s="28" t="s">
        <v>39</v>
      </c>
      <c r="C930" s="6" t="s">
        <v>2673</v>
      </c>
      <c r="D930" s="1" t="s">
        <v>454</v>
      </c>
      <c r="E930" s="1">
        <v>2173</v>
      </c>
      <c r="F930" s="28">
        <v>223</v>
      </c>
      <c r="G930" s="9">
        <v>51</v>
      </c>
      <c r="H930" s="1" t="s">
        <v>3073</v>
      </c>
      <c r="I930" s="1" t="s">
        <v>3073</v>
      </c>
      <c r="J930" t="str">
        <f t="shared" si="14"/>
        <v>http://www.badatelna.eu/reprodukce/?fondId=1073&amp;zaznamId=1108959&amp;reproId=3780216</v>
      </c>
      <c r="K930">
        <f>IF(LEN(TRIM(E930))=0,"",VLOOKUP(E930,Sheet2!$B$1:$E$19,2,FALSE))</f>
        <v>1073</v>
      </c>
      <c r="L930">
        <f>IF(LEN(TRIM(E930))=0,"",VLOOKUP(E930,Sheet2!$B$1:$E$19,3,FALSE))</f>
        <v>1108959</v>
      </c>
      <c r="M930">
        <f>IF(LEN(TRIM(E930))=0,"",VLOOKUP(E930,Sheet2!$B$1:$E$19,4,FALSE))+(F930-1)</f>
        <v>3780216</v>
      </c>
      <c r="N930" s="1"/>
      <c r="O930" s="1"/>
      <c r="P930" s="1"/>
      <c r="Q930" s="1"/>
    </row>
    <row r="931" spans="1:17" ht="15" customHeight="1" x14ac:dyDescent="0.25">
      <c r="A931" s="28" t="s">
        <v>162</v>
      </c>
      <c r="B931" s="28" t="s">
        <v>33</v>
      </c>
      <c r="C931" s="6" t="s">
        <v>2059</v>
      </c>
      <c r="D931" s="1" t="s">
        <v>454</v>
      </c>
      <c r="E931" s="1">
        <v>2173</v>
      </c>
      <c r="F931" s="28">
        <v>182</v>
      </c>
      <c r="G931" s="9">
        <v>11</v>
      </c>
      <c r="H931" s="1">
        <v>188</v>
      </c>
      <c r="I931" s="1">
        <v>418</v>
      </c>
      <c r="J931" t="str">
        <f t="shared" si="14"/>
        <v>http://www.badatelna.eu/reprodukce/?fondId=1073&amp;zaznamId=1108959&amp;reproId=3780175</v>
      </c>
      <c r="K931">
        <f>IF(LEN(TRIM(E931))=0,"",VLOOKUP(E931,Sheet2!$B$1:$E$19,2,FALSE))</f>
        <v>1073</v>
      </c>
      <c r="L931">
        <f>IF(LEN(TRIM(E931))=0,"",VLOOKUP(E931,Sheet2!$B$1:$E$19,3,FALSE))</f>
        <v>1108959</v>
      </c>
      <c r="M931">
        <f>IF(LEN(TRIM(E931))=0,"",VLOOKUP(E931,Sheet2!$B$1:$E$19,4,FALSE))+(F931-1)</f>
        <v>3780175</v>
      </c>
      <c r="N931" s="1"/>
      <c r="O931" s="1"/>
      <c r="P931" s="1"/>
      <c r="Q931" s="1"/>
    </row>
    <row r="932" spans="1:17" ht="15" customHeight="1" x14ac:dyDescent="0.25">
      <c r="A932" s="28" t="s">
        <v>162</v>
      </c>
      <c r="B932" s="28" t="s">
        <v>33</v>
      </c>
      <c r="C932" s="6" t="s">
        <v>2059</v>
      </c>
      <c r="D932" s="1" t="s">
        <v>454</v>
      </c>
      <c r="E932" s="1">
        <v>2173</v>
      </c>
      <c r="F932" s="28">
        <v>212</v>
      </c>
      <c r="G932" s="9" t="s">
        <v>2761</v>
      </c>
      <c r="H932" s="1" t="s">
        <v>3073</v>
      </c>
      <c r="I932" s="1" t="s">
        <v>3073</v>
      </c>
      <c r="J932" t="str">
        <f t="shared" si="14"/>
        <v>http://www.badatelna.eu/reprodukce/?fondId=1073&amp;zaznamId=1108959&amp;reproId=3780205</v>
      </c>
      <c r="K932">
        <f>IF(LEN(TRIM(E932))=0,"",VLOOKUP(E932,Sheet2!$B$1:$E$19,2,FALSE))</f>
        <v>1073</v>
      </c>
      <c r="L932">
        <f>IF(LEN(TRIM(E932))=0,"",VLOOKUP(E932,Sheet2!$B$1:$E$19,3,FALSE))</f>
        <v>1108959</v>
      </c>
      <c r="M932">
        <f>IF(LEN(TRIM(E932))=0,"",VLOOKUP(E932,Sheet2!$B$1:$E$19,4,FALSE))+(F932-1)</f>
        <v>3780205</v>
      </c>
      <c r="N932" s="1"/>
      <c r="O932" s="1"/>
      <c r="P932" s="1"/>
      <c r="Q932" s="1"/>
    </row>
    <row r="933" spans="1:17" ht="15" customHeight="1" x14ac:dyDescent="0.25">
      <c r="A933" s="28" t="s">
        <v>162</v>
      </c>
      <c r="B933" s="28" t="s">
        <v>10</v>
      </c>
      <c r="C933" s="6" t="s">
        <v>2055</v>
      </c>
      <c r="D933" s="1" t="s">
        <v>454</v>
      </c>
      <c r="E933" s="1">
        <v>2173</v>
      </c>
      <c r="F933" s="28">
        <v>181</v>
      </c>
      <c r="G933" s="9">
        <v>8</v>
      </c>
      <c r="H933" s="1">
        <v>188</v>
      </c>
      <c r="I933" s="1">
        <v>418</v>
      </c>
      <c r="J933" t="str">
        <f t="shared" si="14"/>
        <v>http://www.badatelna.eu/reprodukce/?fondId=1073&amp;zaznamId=1108959&amp;reproId=3780174</v>
      </c>
      <c r="K933">
        <f>IF(LEN(TRIM(E933))=0,"",VLOOKUP(E933,Sheet2!$B$1:$E$19,2,FALSE))</f>
        <v>1073</v>
      </c>
      <c r="L933">
        <f>IF(LEN(TRIM(E933))=0,"",VLOOKUP(E933,Sheet2!$B$1:$E$19,3,FALSE))</f>
        <v>1108959</v>
      </c>
      <c r="M933">
        <f>IF(LEN(TRIM(E933))=0,"",VLOOKUP(E933,Sheet2!$B$1:$E$19,4,FALSE))+(F933-1)</f>
        <v>3780174</v>
      </c>
      <c r="N933" s="1"/>
      <c r="O933" s="1"/>
      <c r="P933" s="1"/>
      <c r="Q933" s="1"/>
    </row>
    <row r="934" spans="1:17" ht="15" customHeight="1" x14ac:dyDescent="0.25">
      <c r="A934" s="28" t="s">
        <v>162</v>
      </c>
      <c r="B934" s="28" t="s">
        <v>10</v>
      </c>
      <c r="C934" s="6" t="s">
        <v>2402</v>
      </c>
      <c r="D934" s="1" t="s">
        <v>454</v>
      </c>
      <c r="E934" s="1">
        <v>2173</v>
      </c>
      <c r="F934" s="28">
        <v>202</v>
      </c>
      <c r="G934" s="9">
        <v>14</v>
      </c>
      <c r="H934" s="1" t="s">
        <v>3073</v>
      </c>
      <c r="I934" s="1" t="s">
        <v>3073</v>
      </c>
      <c r="J934" t="str">
        <f t="shared" si="14"/>
        <v>http://www.badatelna.eu/reprodukce/?fondId=1073&amp;zaznamId=1108959&amp;reproId=3780195</v>
      </c>
      <c r="K934">
        <f>IF(LEN(TRIM(E934))=0,"",VLOOKUP(E934,Sheet2!$B$1:$E$19,2,FALSE))</f>
        <v>1073</v>
      </c>
      <c r="L934">
        <f>IF(LEN(TRIM(E934))=0,"",VLOOKUP(E934,Sheet2!$B$1:$E$19,3,FALSE))</f>
        <v>1108959</v>
      </c>
      <c r="M934">
        <f>IF(LEN(TRIM(E934))=0,"",VLOOKUP(E934,Sheet2!$B$1:$E$19,4,FALSE))+(F934-1)</f>
        <v>3780195</v>
      </c>
      <c r="N934" s="1"/>
      <c r="O934" s="1"/>
      <c r="P934" s="1"/>
      <c r="Q934" s="1"/>
    </row>
    <row r="935" spans="1:17" ht="15" customHeight="1" x14ac:dyDescent="0.25">
      <c r="A935" s="28" t="s">
        <v>162</v>
      </c>
      <c r="B935" s="28" t="s">
        <v>272</v>
      </c>
      <c r="C935" s="6" t="s">
        <v>2056</v>
      </c>
      <c r="D935" s="1" t="s">
        <v>454</v>
      </c>
      <c r="E935" s="1">
        <v>2173</v>
      </c>
      <c r="F935" s="28">
        <v>181</v>
      </c>
      <c r="G935" s="9">
        <v>8</v>
      </c>
      <c r="H935" s="1">
        <v>188</v>
      </c>
      <c r="I935" s="1">
        <v>418</v>
      </c>
      <c r="J935" t="str">
        <f t="shared" si="14"/>
        <v>http://www.badatelna.eu/reprodukce/?fondId=1073&amp;zaznamId=1108959&amp;reproId=3780174</v>
      </c>
      <c r="K935">
        <f>IF(LEN(TRIM(E935))=0,"",VLOOKUP(E935,Sheet2!$B$1:$E$19,2,FALSE))</f>
        <v>1073</v>
      </c>
      <c r="L935">
        <f>IF(LEN(TRIM(E935))=0,"",VLOOKUP(E935,Sheet2!$B$1:$E$19,3,FALSE))</f>
        <v>1108959</v>
      </c>
      <c r="M935">
        <f>IF(LEN(TRIM(E935))=0,"",VLOOKUP(E935,Sheet2!$B$1:$E$19,4,FALSE))+(F935-1)</f>
        <v>3780174</v>
      </c>
    </row>
    <row r="936" spans="1:17" ht="15" customHeight="1" x14ac:dyDescent="0.25">
      <c r="A936" s="28" t="s">
        <v>162</v>
      </c>
      <c r="B936" s="28" t="s">
        <v>39</v>
      </c>
      <c r="C936" s="6" t="s">
        <v>2400</v>
      </c>
      <c r="D936" s="1" t="s">
        <v>454</v>
      </c>
      <c r="E936" s="1">
        <v>2173</v>
      </c>
      <c r="F936" s="28">
        <v>202</v>
      </c>
      <c r="G936" s="9">
        <v>13</v>
      </c>
      <c r="H936" s="1" t="s">
        <v>3073</v>
      </c>
      <c r="I936" s="1" t="s">
        <v>3073</v>
      </c>
      <c r="J936" t="str">
        <f t="shared" si="14"/>
        <v>http://www.badatelna.eu/reprodukce/?fondId=1073&amp;zaznamId=1108959&amp;reproId=3780195</v>
      </c>
      <c r="K936">
        <f>IF(LEN(TRIM(E936))=0,"",VLOOKUP(E936,Sheet2!$B$1:$E$19,2,FALSE))</f>
        <v>1073</v>
      </c>
      <c r="L936">
        <f>IF(LEN(TRIM(E936))=0,"",VLOOKUP(E936,Sheet2!$B$1:$E$19,3,FALSE))</f>
        <v>1108959</v>
      </c>
      <c r="M936">
        <f>IF(LEN(TRIM(E936))=0,"",VLOOKUP(E936,Sheet2!$B$1:$E$19,4,FALSE))+(F936-1)</f>
        <v>3780195</v>
      </c>
    </row>
    <row r="937" spans="1:17" ht="15" customHeight="1" x14ac:dyDescent="0.25">
      <c r="A937" s="28" t="s">
        <v>162</v>
      </c>
      <c r="B937" s="28" t="s">
        <v>184</v>
      </c>
      <c r="C937" s="6" t="s">
        <v>2054</v>
      </c>
      <c r="D937" s="1" t="s">
        <v>454</v>
      </c>
      <c r="E937" s="1">
        <v>2173</v>
      </c>
      <c r="F937" s="28">
        <v>180</v>
      </c>
      <c r="G937" s="9">
        <v>7</v>
      </c>
      <c r="H937" s="1">
        <v>188</v>
      </c>
      <c r="I937" s="1">
        <v>418</v>
      </c>
      <c r="J937" t="str">
        <f t="shared" si="14"/>
        <v>http://www.badatelna.eu/reprodukce/?fondId=1073&amp;zaznamId=1108959&amp;reproId=3780173</v>
      </c>
      <c r="K937">
        <f>IF(LEN(TRIM(E937))=0,"",VLOOKUP(E937,Sheet2!$B$1:$E$19,2,FALSE))</f>
        <v>1073</v>
      </c>
      <c r="L937">
        <f>IF(LEN(TRIM(E937))=0,"",VLOOKUP(E937,Sheet2!$B$1:$E$19,3,FALSE))</f>
        <v>1108959</v>
      </c>
      <c r="M937">
        <f>IF(LEN(TRIM(E937))=0,"",VLOOKUP(E937,Sheet2!$B$1:$E$19,4,FALSE))+(F937-1)</f>
        <v>3780173</v>
      </c>
      <c r="N937" s="1"/>
      <c r="O937" s="1"/>
      <c r="P937" s="1"/>
      <c r="Q937" s="1"/>
    </row>
    <row r="938" spans="1:17" ht="15" customHeight="1" x14ac:dyDescent="0.25">
      <c r="A938" s="28" t="s">
        <v>162</v>
      </c>
      <c r="B938" s="28" t="s">
        <v>283</v>
      </c>
      <c r="C938" s="6" t="s">
        <v>2057</v>
      </c>
      <c r="D938" s="1" t="s">
        <v>454</v>
      </c>
      <c r="E938" s="1">
        <v>2173</v>
      </c>
      <c r="F938" s="28">
        <v>182</v>
      </c>
      <c r="G938" s="9">
        <v>10</v>
      </c>
      <c r="H938" s="1">
        <v>188</v>
      </c>
      <c r="I938" s="1">
        <v>418</v>
      </c>
      <c r="J938" t="str">
        <f t="shared" si="14"/>
        <v>http://www.badatelna.eu/reprodukce/?fondId=1073&amp;zaznamId=1108959&amp;reproId=3780175</v>
      </c>
      <c r="K938">
        <f>IF(LEN(TRIM(E938))=0,"",VLOOKUP(E938,Sheet2!$B$1:$E$19,2,FALSE))</f>
        <v>1073</v>
      </c>
      <c r="L938">
        <f>IF(LEN(TRIM(E938))=0,"",VLOOKUP(E938,Sheet2!$B$1:$E$19,3,FALSE))</f>
        <v>1108959</v>
      </c>
      <c r="M938">
        <f>IF(LEN(TRIM(E938))=0,"",VLOOKUP(E938,Sheet2!$B$1:$E$19,4,FALSE))+(F938-1)</f>
        <v>3780175</v>
      </c>
      <c r="N938" s="1"/>
      <c r="O938" s="1"/>
      <c r="P938" s="1"/>
      <c r="Q938" s="1"/>
    </row>
    <row r="939" spans="1:17" ht="15" customHeight="1" x14ac:dyDescent="0.25">
      <c r="A939" s="28" t="s">
        <v>162</v>
      </c>
      <c r="B939" s="28" t="s">
        <v>13</v>
      </c>
      <c r="C939" s="6" t="s">
        <v>2058</v>
      </c>
      <c r="D939" s="1" t="s">
        <v>454</v>
      </c>
      <c r="E939" s="1">
        <v>2173</v>
      </c>
      <c r="F939" s="28">
        <v>177</v>
      </c>
      <c r="G939" s="9">
        <v>1</v>
      </c>
      <c r="H939" s="1">
        <v>188</v>
      </c>
      <c r="I939" s="1">
        <v>418</v>
      </c>
      <c r="J939" t="str">
        <f t="shared" si="14"/>
        <v>http://www.badatelna.eu/reprodukce/?fondId=1073&amp;zaznamId=1108959&amp;reproId=3780170</v>
      </c>
      <c r="K939">
        <f>IF(LEN(TRIM(E939))=0,"",VLOOKUP(E939,Sheet2!$B$1:$E$19,2,FALSE))</f>
        <v>1073</v>
      </c>
      <c r="L939">
        <f>IF(LEN(TRIM(E939))=0,"",VLOOKUP(E939,Sheet2!$B$1:$E$19,3,FALSE))</f>
        <v>1108959</v>
      </c>
      <c r="M939">
        <f>IF(LEN(TRIM(E939))=0,"",VLOOKUP(E939,Sheet2!$B$1:$E$19,4,FALSE))+(F939-1)</f>
        <v>3780170</v>
      </c>
      <c r="N939" s="1"/>
      <c r="O939" s="1"/>
      <c r="P939" s="1"/>
      <c r="Q939" s="1"/>
    </row>
    <row r="940" spans="1:17" ht="15" customHeight="1" x14ac:dyDescent="0.25">
      <c r="A940" s="29" t="s">
        <v>2818</v>
      </c>
      <c r="B940" s="28" t="s">
        <v>13</v>
      </c>
      <c r="C940" s="6" t="s">
        <v>2420</v>
      </c>
      <c r="D940" s="1" t="s">
        <v>454</v>
      </c>
      <c r="E940" s="1">
        <v>2173</v>
      </c>
      <c r="F940" s="28">
        <v>203</v>
      </c>
      <c r="G940" s="1">
        <v>16</v>
      </c>
      <c r="H940" s="1" t="s">
        <v>3073</v>
      </c>
      <c r="I940" s="1" t="s">
        <v>3073</v>
      </c>
      <c r="J940" t="str">
        <f t="shared" si="14"/>
        <v>http://www.badatelna.eu/reprodukce/?fondId=1073&amp;zaznamId=1108959&amp;reproId=3780196</v>
      </c>
      <c r="K940">
        <f>IF(LEN(TRIM(E940))=0,"",VLOOKUP(E940,Sheet2!$B$1:$E$19,2,FALSE))</f>
        <v>1073</v>
      </c>
      <c r="L940">
        <f>IF(LEN(TRIM(E940))=0,"",VLOOKUP(E940,Sheet2!$B$1:$E$19,3,FALSE))</f>
        <v>1108959</v>
      </c>
      <c r="M940">
        <f>IF(LEN(TRIM(E940))=0,"",VLOOKUP(E940,Sheet2!$B$1:$E$19,4,FALSE))+(F940-1)</f>
        <v>3780196</v>
      </c>
      <c r="N940" s="1"/>
      <c r="O940" s="1"/>
      <c r="P940" s="1"/>
      <c r="Q940" s="1"/>
    </row>
    <row r="941" spans="1:17" ht="15" customHeight="1" x14ac:dyDescent="0.25">
      <c r="A941" s="28" t="s">
        <v>823</v>
      </c>
      <c r="B941" s="28" t="s">
        <v>874</v>
      </c>
      <c r="C941" s="6" t="s">
        <v>1813</v>
      </c>
      <c r="D941" s="1" t="s">
        <v>454</v>
      </c>
      <c r="E941" s="1">
        <v>2172</v>
      </c>
      <c r="F941" s="28">
        <v>166</v>
      </c>
      <c r="G941" s="9">
        <v>159</v>
      </c>
      <c r="H941" s="1" t="s">
        <v>3073</v>
      </c>
      <c r="I941" s="1" t="s">
        <v>3073</v>
      </c>
      <c r="J941" t="str">
        <f t="shared" si="14"/>
        <v>http://www.badatelna.eu/reprodukce/?fondId=1073&amp;zaznamId=1108958&amp;reproId=3779907</v>
      </c>
      <c r="K941">
        <f>IF(LEN(TRIM(E941))=0,"",VLOOKUP(E941,Sheet2!$B$1:$E$19,2,FALSE))</f>
        <v>1073</v>
      </c>
      <c r="L941">
        <f>IF(LEN(TRIM(E941))=0,"",VLOOKUP(E941,Sheet2!$B$1:$E$19,3,FALSE))</f>
        <v>1108958</v>
      </c>
      <c r="M941">
        <f>IF(LEN(TRIM(E941))=0,"",VLOOKUP(E941,Sheet2!$B$1:$E$19,4,FALSE))+(F941-1)</f>
        <v>3779907</v>
      </c>
      <c r="N941" s="1"/>
      <c r="O941" s="1"/>
      <c r="P941" s="1"/>
      <c r="Q941" s="1"/>
    </row>
    <row r="942" spans="1:17" ht="15" customHeight="1" x14ac:dyDescent="0.25">
      <c r="A942" s="28" t="s">
        <v>32</v>
      </c>
      <c r="B942" s="28" t="s">
        <v>29</v>
      </c>
      <c r="C942" s="6" t="s">
        <v>2228</v>
      </c>
      <c r="D942" s="1" t="s">
        <v>454</v>
      </c>
      <c r="E942" s="1">
        <v>2173</v>
      </c>
      <c r="F942" s="28">
        <v>196</v>
      </c>
      <c r="G942" s="9">
        <v>2</v>
      </c>
      <c r="H942" s="1" t="s">
        <v>3073</v>
      </c>
      <c r="I942" s="1" t="s">
        <v>3073</v>
      </c>
      <c r="J942" t="str">
        <f t="shared" si="14"/>
        <v>http://www.badatelna.eu/reprodukce/?fondId=1073&amp;zaznamId=1108959&amp;reproId=3780189</v>
      </c>
      <c r="K942">
        <f>IF(LEN(TRIM(E942))=0,"",VLOOKUP(E942,Sheet2!$B$1:$E$19,2,FALSE))</f>
        <v>1073</v>
      </c>
      <c r="L942">
        <f>IF(LEN(TRIM(E942))=0,"",VLOOKUP(E942,Sheet2!$B$1:$E$19,3,FALSE))</f>
        <v>1108959</v>
      </c>
      <c r="M942">
        <f>IF(LEN(TRIM(E942))=0,"",VLOOKUP(E942,Sheet2!$B$1:$E$19,4,FALSE))+(F942-1)</f>
        <v>3780189</v>
      </c>
      <c r="N942" s="1"/>
      <c r="O942" s="1"/>
      <c r="P942" s="1"/>
      <c r="Q942" s="1"/>
    </row>
    <row r="943" spans="1:17" ht="15" customHeight="1" x14ac:dyDescent="0.25">
      <c r="A943" s="28" t="s">
        <v>875</v>
      </c>
      <c r="B943" s="28" t="s">
        <v>838</v>
      </c>
      <c r="C943" s="6" t="s">
        <v>1501</v>
      </c>
      <c r="D943" s="1" t="s">
        <v>454</v>
      </c>
      <c r="E943" s="1">
        <v>2172</v>
      </c>
      <c r="F943" s="28">
        <v>5</v>
      </c>
      <c r="G943" s="9">
        <v>2</v>
      </c>
      <c r="H943" s="1">
        <v>8</v>
      </c>
      <c r="I943" s="1">
        <v>1</v>
      </c>
      <c r="J943" t="str">
        <f t="shared" si="14"/>
        <v>http://www.badatelna.eu/reprodukce/?fondId=1073&amp;zaznamId=1108958&amp;reproId=3779746</v>
      </c>
      <c r="K943">
        <f>IF(LEN(TRIM(E943))=0,"",VLOOKUP(E943,Sheet2!$B$1:$E$19,2,FALSE))</f>
        <v>1073</v>
      </c>
      <c r="L943">
        <f>IF(LEN(TRIM(E943))=0,"",VLOOKUP(E943,Sheet2!$B$1:$E$19,3,FALSE))</f>
        <v>1108958</v>
      </c>
      <c r="M943">
        <f>IF(LEN(TRIM(E943))=0,"",VLOOKUP(E943,Sheet2!$B$1:$E$19,4,FALSE))+(F943-1)</f>
        <v>3779746</v>
      </c>
      <c r="N943" s="1"/>
      <c r="O943" s="1"/>
      <c r="P943" s="1"/>
      <c r="Q943" s="1"/>
    </row>
    <row r="944" spans="1:17" ht="15" customHeight="1" x14ac:dyDescent="0.25">
      <c r="A944" s="27" t="s">
        <v>85</v>
      </c>
      <c r="B944" s="27" t="s">
        <v>450</v>
      </c>
      <c r="C944" s="5" t="s">
        <v>1184</v>
      </c>
      <c r="D944" s="3" t="s">
        <v>454</v>
      </c>
      <c r="E944" s="3">
        <v>2170</v>
      </c>
      <c r="F944" s="28">
        <v>35</v>
      </c>
      <c r="G944" s="10">
        <v>31</v>
      </c>
      <c r="H944" s="3">
        <v>62</v>
      </c>
      <c r="I944" s="3">
        <v>58</v>
      </c>
      <c r="J944" t="str">
        <f t="shared" si="14"/>
        <v>http://www.badatelna.eu/reprodukce/?fondId=1073&amp;zaznamId=1108956&amp;reproId=3779627</v>
      </c>
      <c r="K944">
        <f>IF(LEN(TRIM(E944))=0,"",VLOOKUP(E944,Sheet2!$B$1:$E$19,2,FALSE))</f>
        <v>1073</v>
      </c>
      <c r="L944">
        <f>IF(LEN(TRIM(E944))=0,"",VLOOKUP(E944,Sheet2!$B$1:$E$19,3,FALSE))</f>
        <v>1108956</v>
      </c>
      <c r="M944">
        <f>IF(LEN(TRIM(E944))=0,"",VLOOKUP(E944,Sheet2!$B$1:$E$19,4,FALSE))+(F944-1)</f>
        <v>3779627</v>
      </c>
      <c r="N944" s="1"/>
      <c r="O944" s="1"/>
      <c r="P944" s="1"/>
      <c r="Q944" s="1"/>
    </row>
    <row r="945" spans="1:17" ht="15" customHeight="1" x14ac:dyDescent="0.25">
      <c r="A945" s="28" t="s">
        <v>85</v>
      </c>
      <c r="B945" s="28" t="s">
        <v>876</v>
      </c>
      <c r="C945" s="6" t="s">
        <v>1826</v>
      </c>
      <c r="D945" s="1" t="s">
        <v>454</v>
      </c>
      <c r="E945" s="1">
        <v>2172</v>
      </c>
      <c r="F945" s="28">
        <v>170</v>
      </c>
      <c r="G945" s="9">
        <v>163</v>
      </c>
      <c r="H945" s="1" t="s">
        <v>3073</v>
      </c>
      <c r="I945" s="1" t="s">
        <v>3073</v>
      </c>
      <c r="J945" t="str">
        <f t="shared" si="14"/>
        <v>http://www.badatelna.eu/reprodukce/?fondId=1073&amp;zaznamId=1108958&amp;reproId=3779911</v>
      </c>
      <c r="K945">
        <f>IF(LEN(TRIM(E945))=0,"",VLOOKUP(E945,Sheet2!$B$1:$E$19,2,FALSE))</f>
        <v>1073</v>
      </c>
      <c r="L945">
        <f>IF(LEN(TRIM(E945))=0,"",VLOOKUP(E945,Sheet2!$B$1:$E$19,3,FALSE))</f>
        <v>1108958</v>
      </c>
      <c r="M945">
        <f>IF(LEN(TRIM(E945))=0,"",VLOOKUP(E945,Sheet2!$B$1:$E$19,4,FALSE))+(F945-1)</f>
        <v>3779911</v>
      </c>
      <c r="N945" s="1"/>
      <c r="O945" s="1"/>
      <c r="P945" s="1"/>
      <c r="Q945" s="1"/>
    </row>
    <row r="946" spans="1:17" ht="15" customHeight="1" x14ac:dyDescent="0.25">
      <c r="A946" s="28" t="s">
        <v>85</v>
      </c>
      <c r="B946" s="28" t="s">
        <v>290</v>
      </c>
      <c r="C946" s="1">
        <v>1863</v>
      </c>
      <c r="D946" s="1" t="s">
        <v>2919</v>
      </c>
      <c r="E946" s="1">
        <v>999</v>
      </c>
      <c r="F946" s="28">
        <v>83</v>
      </c>
      <c r="G946" s="1">
        <v>4</v>
      </c>
      <c r="H946" s="1">
        <v>100</v>
      </c>
      <c r="I946" s="1">
        <v>159</v>
      </c>
      <c r="J946" t="str">
        <f t="shared" si="14"/>
        <v>http://www.badatelna.eu/reprodukce/?fondId=241&amp;zaznamId=1133739&amp;reproId=3885812</v>
      </c>
      <c r="K946">
        <f>IF(LEN(TRIM(E946))=0,"",VLOOKUP(E946,Sheet2!$B$1:$E$19,2,FALSE))</f>
        <v>241</v>
      </c>
      <c r="L946">
        <f>IF(LEN(TRIM(E946))=0,"",VLOOKUP(E946,Sheet2!$B$1:$E$19,3,FALSE))</f>
        <v>1133739</v>
      </c>
      <c r="M946">
        <f>IF(LEN(TRIM(E946))=0,"",VLOOKUP(E946,Sheet2!$B$1:$E$19,4,FALSE))+(F946-1)</f>
        <v>3885812</v>
      </c>
    </row>
    <row r="947" spans="1:17" ht="15" customHeight="1" x14ac:dyDescent="0.25">
      <c r="A947" s="28" t="s">
        <v>85</v>
      </c>
      <c r="B947" s="28" t="s">
        <v>290</v>
      </c>
      <c r="C947" s="1">
        <v>1883</v>
      </c>
      <c r="D947" s="1" t="s">
        <v>454</v>
      </c>
      <c r="E947" s="1">
        <v>2172</v>
      </c>
      <c r="F947" s="28">
        <v>33</v>
      </c>
      <c r="G947" s="9">
        <v>32</v>
      </c>
      <c r="H947" s="1">
        <v>36</v>
      </c>
      <c r="I947" s="1">
        <v>35</v>
      </c>
      <c r="J947" t="str">
        <f t="shared" si="14"/>
        <v>http://www.badatelna.eu/reprodukce/?fondId=1073&amp;zaznamId=1108958&amp;reproId=3779774</v>
      </c>
      <c r="K947">
        <f>IF(LEN(TRIM(E947))=0,"",VLOOKUP(E947,Sheet2!$B$1:$E$19,2,FALSE))</f>
        <v>1073</v>
      </c>
      <c r="L947">
        <f>IF(LEN(TRIM(E947))=0,"",VLOOKUP(E947,Sheet2!$B$1:$E$19,3,FALSE))</f>
        <v>1108958</v>
      </c>
      <c r="M947">
        <f>IF(LEN(TRIM(E947))=0,"",VLOOKUP(E947,Sheet2!$B$1:$E$19,4,FALSE))+(F947-1)</f>
        <v>3779774</v>
      </c>
      <c r="N947" s="1"/>
      <c r="O947" s="1"/>
      <c r="P947" s="1"/>
      <c r="Q947" s="1"/>
    </row>
    <row r="948" spans="1:17" ht="15" customHeight="1" x14ac:dyDescent="0.25">
      <c r="A948" s="27" t="s">
        <v>85</v>
      </c>
      <c r="B948" s="27" t="s">
        <v>290</v>
      </c>
      <c r="C948" s="5" t="s">
        <v>1183</v>
      </c>
      <c r="D948" s="3" t="s">
        <v>454</v>
      </c>
      <c r="E948" s="3">
        <v>2170</v>
      </c>
      <c r="F948" s="28">
        <v>47</v>
      </c>
      <c r="G948" s="10">
        <v>43</v>
      </c>
      <c r="H948" s="3">
        <v>62</v>
      </c>
      <c r="I948" s="3">
        <v>58</v>
      </c>
      <c r="J948" t="str">
        <f t="shared" si="14"/>
        <v>http://www.badatelna.eu/reprodukce/?fondId=1073&amp;zaznamId=1108956&amp;reproId=3779639</v>
      </c>
      <c r="K948">
        <f>IF(LEN(TRIM(E948))=0,"",VLOOKUP(E948,Sheet2!$B$1:$E$19,2,FALSE))</f>
        <v>1073</v>
      </c>
      <c r="L948">
        <f>IF(LEN(TRIM(E948))=0,"",VLOOKUP(E948,Sheet2!$B$1:$E$19,3,FALSE))</f>
        <v>1108956</v>
      </c>
      <c r="M948">
        <f>IF(LEN(TRIM(E948))=0,"",VLOOKUP(E948,Sheet2!$B$1:$E$19,4,FALSE))+(F948-1)</f>
        <v>3779639</v>
      </c>
      <c r="N948" s="1"/>
      <c r="O948" s="1"/>
      <c r="P948" s="1"/>
      <c r="Q948" s="1"/>
    </row>
    <row r="949" spans="1:17" ht="15" customHeight="1" x14ac:dyDescent="0.25">
      <c r="A949" s="28" t="s">
        <v>85</v>
      </c>
      <c r="B949" s="28" t="s">
        <v>877</v>
      </c>
      <c r="C949" s="6" t="s">
        <v>1838</v>
      </c>
      <c r="D949" s="1" t="s">
        <v>454</v>
      </c>
      <c r="E949" s="1">
        <v>2172</v>
      </c>
      <c r="F949" s="28">
        <v>174</v>
      </c>
      <c r="G949" s="9">
        <v>167</v>
      </c>
      <c r="H949" s="1" t="s">
        <v>3073</v>
      </c>
      <c r="I949" s="1" t="s">
        <v>3073</v>
      </c>
      <c r="J949" t="str">
        <f t="shared" si="14"/>
        <v>http://www.badatelna.eu/reprodukce/?fondId=1073&amp;zaznamId=1108958&amp;reproId=3779915</v>
      </c>
      <c r="K949">
        <f>IF(LEN(TRIM(E949))=0,"",VLOOKUP(E949,Sheet2!$B$1:$E$19,2,FALSE))</f>
        <v>1073</v>
      </c>
      <c r="L949">
        <f>IF(LEN(TRIM(E949))=0,"",VLOOKUP(E949,Sheet2!$B$1:$E$19,3,FALSE))</f>
        <v>1108958</v>
      </c>
      <c r="M949">
        <f>IF(LEN(TRIM(E949))=0,"",VLOOKUP(E949,Sheet2!$B$1:$E$19,4,FALSE))+(F949-1)</f>
        <v>3779915</v>
      </c>
    </row>
    <row r="950" spans="1:17" ht="15" customHeight="1" x14ac:dyDescent="0.25">
      <c r="A950" s="28" t="s">
        <v>85</v>
      </c>
      <c r="B950" s="28" t="s">
        <v>562</v>
      </c>
      <c r="C950" s="1">
        <v>1863</v>
      </c>
      <c r="D950" s="1" t="s">
        <v>2919</v>
      </c>
      <c r="E950" s="1">
        <v>999</v>
      </c>
      <c r="F950" s="28">
        <v>83</v>
      </c>
      <c r="G950" s="1">
        <v>4</v>
      </c>
      <c r="H950" s="1">
        <v>100</v>
      </c>
      <c r="I950" s="1">
        <v>159</v>
      </c>
      <c r="J950" t="str">
        <f t="shared" si="14"/>
        <v>http://www.badatelna.eu/reprodukce/?fondId=241&amp;zaznamId=1133739&amp;reproId=3885812</v>
      </c>
      <c r="K950">
        <f>IF(LEN(TRIM(E950))=0,"",VLOOKUP(E950,Sheet2!$B$1:$E$19,2,FALSE))</f>
        <v>241</v>
      </c>
      <c r="L950">
        <f>IF(LEN(TRIM(E950))=0,"",VLOOKUP(E950,Sheet2!$B$1:$E$19,3,FALSE))</f>
        <v>1133739</v>
      </c>
      <c r="M950">
        <f>IF(LEN(TRIM(E950))=0,"",VLOOKUP(E950,Sheet2!$B$1:$E$19,4,FALSE))+(F950-1)</f>
        <v>3885812</v>
      </c>
    </row>
    <row r="951" spans="1:17" ht="15" customHeight="1" x14ac:dyDescent="0.25">
      <c r="A951" s="28" t="s">
        <v>85</v>
      </c>
      <c r="B951" s="28" t="s">
        <v>538</v>
      </c>
      <c r="C951" s="6" t="s">
        <v>1695</v>
      </c>
      <c r="D951" s="1" t="s">
        <v>454</v>
      </c>
      <c r="E951" s="1">
        <v>2172</v>
      </c>
      <c r="F951" s="28">
        <v>113</v>
      </c>
      <c r="G951" s="9" t="s">
        <v>2769</v>
      </c>
      <c r="H951" s="1">
        <v>116</v>
      </c>
      <c r="I951" s="1">
        <v>115</v>
      </c>
      <c r="J951" t="str">
        <f t="shared" si="14"/>
        <v>http://www.badatelna.eu/reprodukce/?fondId=1073&amp;zaznamId=1108958&amp;reproId=3779854</v>
      </c>
      <c r="K951">
        <f>IF(LEN(TRIM(E951))=0,"",VLOOKUP(E951,Sheet2!$B$1:$E$19,2,FALSE))</f>
        <v>1073</v>
      </c>
      <c r="L951">
        <f>IF(LEN(TRIM(E951))=0,"",VLOOKUP(E951,Sheet2!$B$1:$E$19,3,FALSE))</f>
        <v>1108958</v>
      </c>
      <c r="M951">
        <f>IF(LEN(TRIM(E951))=0,"",VLOOKUP(E951,Sheet2!$B$1:$E$19,4,FALSE))+(F951-1)</f>
        <v>3779854</v>
      </c>
    </row>
    <row r="952" spans="1:17" ht="15" customHeight="1" x14ac:dyDescent="0.25">
      <c r="A952" s="28" t="s">
        <v>85</v>
      </c>
      <c r="B952" s="29" t="s">
        <v>280</v>
      </c>
      <c r="C952" s="1">
        <v>1857</v>
      </c>
      <c r="D952" s="1" t="s">
        <v>2919</v>
      </c>
      <c r="E952" s="1">
        <v>998</v>
      </c>
      <c r="F952" s="28">
        <v>51</v>
      </c>
      <c r="G952" s="1">
        <v>49</v>
      </c>
      <c r="H952" s="1">
        <v>69</v>
      </c>
      <c r="I952" s="1">
        <v>66</v>
      </c>
      <c r="J952" t="str">
        <f t="shared" si="14"/>
        <v>http://www.badatelna.eu/reprodukce/?fondId=241&amp;zaznamId=1133738&amp;reproId=3885697</v>
      </c>
      <c r="K952">
        <f>IF(LEN(TRIM(E952))=0,"",VLOOKUP(E952,Sheet2!$B$1:$E$19,2,FALSE))</f>
        <v>241</v>
      </c>
      <c r="L952">
        <f>IF(LEN(TRIM(E952))=0,"",VLOOKUP(E952,Sheet2!$B$1:$E$19,3,FALSE))</f>
        <v>1133738</v>
      </c>
      <c r="M952">
        <f>IF(LEN(TRIM(E952))=0,"",VLOOKUP(E952,Sheet2!$B$1:$E$19,4,FALSE))+(F952-1)</f>
        <v>3885697</v>
      </c>
      <c r="N952" s="1"/>
      <c r="O952" s="1"/>
      <c r="P952" s="1"/>
      <c r="Q952" s="1"/>
    </row>
    <row r="953" spans="1:17" ht="15" customHeight="1" x14ac:dyDescent="0.25">
      <c r="A953" s="28" t="s">
        <v>85</v>
      </c>
      <c r="B953" s="28" t="s">
        <v>498</v>
      </c>
      <c r="C953" s="1">
        <v>1885</v>
      </c>
      <c r="D953" s="1" t="s">
        <v>454</v>
      </c>
      <c r="E953" s="1">
        <v>2172</v>
      </c>
      <c r="F953" s="28">
        <v>47</v>
      </c>
      <c r="G953" s="9">
        <v>46</v>
      </c>
      <c r="H953" s="1">
        <v>48</v>
      </c>
      <c r="I953" s="1">
        <v>49</v>
      </c>
      <c r="J953" t="str">
        <f t="shared" si="14"/>
        <v>http://www.badatelna.eu/reprodukce/?fondId=1073&amp;zaznamId=1108958&amp;reproId=3779788</v>
      </c>
      <c r="K953">
        <f>IF(LEN(TRIM(E953))=0,"",VLOOKUP(E953,Sheet2!$B$1:$E$19,2,FALSE))</f>
        <v>1073</v>
      </c>
      <c r="L953">
        <f>IF(LEN(TRIM(E953))=0,"",VLOOKUP(E953,Sheet2!$B$1:$E$19,3,FALSE))</f>
        <v>1108958</v>
      </c>
      <c r="M953">
        <f>IF(LEN(TRIM(E953))=0,"",VLOOKUP(E953,Sheet2!$B$1:$E$19,4,FALSE))+(F953-1)</f>
        <v>3779788</v>
      </c>
      <c r="N953" s="1"/>
      <c r="O953" s="1"/>
      <c r="P953" s="1"/>
      <c r="Q953" s="1"/>
    </row>
    <row r="954" spans="1:17" ht="15" customHeight="1" x14ac:dyDescent="0.25">
      <c r="A954" s="28" t="s">
        <v>85</v>
      </c>
      <c r="B954" s="28" t="s">
        <v>498</v>
      </c>
      <c r="C954" s="1">
        <v>1893</v>
      </c>
      <c r="D954" s="1" t="s">
        <v>454</v>
      </c>
      <c r="E954" s="1">
        <v>2172</v>
      </c>
      <c r="F954" s="28">
        <v>88</v>
      </c>
      <c r="G954" s="9">
        <v>87</v>
      </c>
      <c r="H954" s="1">
        <v>89</v>
      </c>
      <c r="I954" s="1">
        <v>88</v>
      </c>
      <c r="J954" t="str">
        <f t="shared" si="14"/>
        <v>http://www.badatelna.eu/reprodukce/?fondId=1073&amp;zaznamId=1108958&amp;reproId=3779829</v>
      </c>
      <c r="K954">
        <f>IF(LEN(TRIM(E954))=0,"",VLOOKUP(E954,Sheet2!$B$1:$E$19,2,FALSE))</f>
        <v>1073</v>
      </c>
      <c r="L954">
        <f>IF(LEN(TRIM(E954))=0,"",VLOOKUP(E954,Sheet2!$B$1:$E$19,3,FALSE))</f>
        <v>1108958</v>
      </c>
      <c r="M954">
        <f>IF(LEN(TRIM(E954))=0,"",VLOOKUP(E954,Sheet2!$B$1:$E$19,4,FALSE))+(F954-1)</f>
        <v>3779829</v>
      </c>
      <c r="N954" s="1"/>
      <c r="O954" s="1"/>
      <c r="P954" s="1"/>
      <c r="Q954" s="1"/>
    </row>
    <row r="955" spans="1:17" ht="15" customHeight="1" x14ac:dyDescent="0.25">
      <c r="A955" s="28" t="s">
        <v>85</v>
      </c>
      <c r="B955" s="28" t="s">
        <v>552</v>
      </c>
      <c r="C955" s="1">
        <v>1883</v>
      </c>
      <c r="D955" s="1" t="s">
        <v>454</v>
      </c>
      <c r="E955" s="1">
        <v>2172</v>
      </c>
      <c r="F955" s="28">
        <v>35</v>
      </c>
      <c r="G955" s="9">
        <v>34</v>
      </c>
      <c r="H955" s="1">
        <v>36</v>
      </c>
      <c r="I955" s="1">
        <v>35</v>
      </c>
      <c r="J955" t="str">
        <f t="shared" si="14"/>
        <v>http://www.badatelna.eu/reprodukce/?fondId=1073&amp;zaznamId=1108958&amp;reproId=3779776</v>
      </c>
      <c r="K955">
        <f>IF(LEN(TRIM(E955))=0,"",VLOOKUP(E955,Sheet2!$B$1:$E$19,2,FALSE))</f>
        <v>1073</v>
      </c>
      <c r="L955">
        <f>IF(LEN(TRIM(E955))=0,"",VLOOKUP(E955,Sheet2!$B$1:$E$19,3,FALSE))</f>
        <v>1108958</v>
      </c>
      <c r="M955">
        <f>IF(LEN(TRIM(E955))=0,"",VLOOKUP(E955,Sheet2!$B$1:$E$19,4,FALSE))+(F955-1)</f>
        <v>3779776</v>
      </c>
      <c r="N955" s="1"/>
      <c r="O955" s="1"/>
      <c r="P955" s="1"/>
      <c r="Q955" s="1"/>
    </row>
    <row r="956" spans="1:17" ht="15" customHeight="1" x14ac:dyDescent="0.25">
      <c r="A956" s="28" t="s">
        <v>85</v>
      </c>
      <c r="B956" s="28" t="s">
        <v>84</v>
      </c>
      <c r="C956" s="6" t="s">
        <v>1880</v>
      </c>
      <c r="D956" s="1" t="s">
        <v>454</v>
      </c>
      <c r="E956" s="1">
        <v>2172</v>
      </c>
      <c r="F956" s="28">
        <v>193</v>
      </c>
      <c r="G956" s="9">
        <v>183</v>
      </c>
      <c r="H956" s="1" t="s">
        <v>3073</v>
      </c>
      <c r="I956" s="1" t="s">
        <v>3073</v>
      </c>
      <c r="J956" t="str">
        <f t="shared" si="14"/>
        <v>http://www.badatelna.eu/reprodukce/?fondId=1073&amp;zaznamId=1108958&amp;reproId=3779934</v>
      </c>
      <c r="K956">
        <f>IF(LEN(TRIM(E956))=0,"",VLOOKUP(E956,Sheet2!$B$1:$E$19,2,FALSE))</f>
        <v>1073</v>
      </c>
      <c r="L956">
        <f>IF(LEN(TRIM(E956))=0,"",VLOOKUP(E956,Sheet2!$B$1:$E$19,3,FALSE))</f>
        <v>1108958</v>
      </c>
      <c r="M956">
        <f>IF(LEN(TRIM(E956))=0,"",VLOOKUP(E956,Sheet2!$B$1:$E$19,4,FALSE))+(F956-1)</f>
        <v>3779934</v>
      </c>
      <c r="N956" s="1"/>
      <c r="O956" s="1"/>
      <c r="P956" s="1"/>
      <c r="Q956" s="1"/>
    </row>
    <row r="957" spans="1:17" ht="15" customHeight="1" x14ac:dyDescent="0.25">
      <c r="A957" s="28" t="s">
        <v>85</v>
      </c>
      <c r="B957" s="28" t="s">
        <v>80</v>
      </c>
      <c r="C957" s="6" t="s">
        <v>2347</v>
      </c>
      <c r="D957" s="1" t="s">
        <v>454</v>
      </c>
      <c r="E957" s="1">
        <v>2173</v>
      </c>
      <c r="F957" s="28">
        <v>200</v>
      </c>
      <c r="G957" s="9">
        <v>9</v>
      </c>
      <c r="H957" s="1" t="s">
        <v>3073</v>
      </c>
      <c r="I957" s="1" t="s">
        <v>3073</v>
      </c>
      <c r="J957" t="str">
        <f t="shared" si="14"/>
        <v>http://www.badatelna.eu/reprodukce/?fondId=1073&amp;zaznamId=1108959&amp;reproId=3780193</v>
      </c>
      <c r="K957">
        <f>IF(LEN(TRIM(E957))=0,"",VLOOKUP(E957,Sheet2!$B$1:$E$19,2,FALSE))</f>
        <v>1073</v>
      </c>
      <c r="L957">
        <f>IF(LEN(TRIM(E957))=0,"",VLOOKUP(E957,Sheet2!$B$1:$E$19,3,FALSE))</f>
        <v>1108959</v>
      </c>
      <c r="M957">
        <f>IF(LEN(TRIM(E957))=0,"",VLOOKUP(E957,Sheet2!$B$1:$E$19,4,FALSE))+(F957-1)</f>
        <v>3780193</v>
      </c>
      <c r="N957" s="1"/>
      <c r="O957" s="1"/>
      <c r="P957" s="1"/>
      <c r="Q957" s="1"/>
    </row>
    <row r="958" spans="1:17" ht="15" customHeight="1" x14ac:dyDescent="0.25">
      <c r="A958" s="28" t="s">
        <v>85</v>
      </c>
      <c r="B958" s="28" t="s">
        <v>45</v>
      </c>
      <c r="C958" s="1">
        <v>1854</v>
      </c>
      <c r="D958" s="1" t="s">
        <v>2919</v>
      </c>
      <c r="E958" s="1">
        <v>998</v>
      </c>
      <c r="F958" s="28">
        <v>39</v>
      </c>
      <c r="G958" s="1">
        <v>37</v>
      </c>
      <c r="H958" s="1">
        <v>69</v>
      </c>
      <c r="I958" s="1">
        <v>66</v>
      </c>
      <c r="J958" t="str">
        <f t="shared" si="14"/>
        <v>http://www.badatelna.eu/reprodukce/?fondId=241&amp;zaznamId=1133738&amp;reproId=3885685</v>
      </c>
      <c r="K958">
        <f>IF(LEN(TRIM(E958))=0,"",VLOOKUP(E958,Sheet2!$B$1:$E$19,2,FALSE))</f>
        <v>241</v>
      </c>
      <c r="L958">
        <f>IF(LEN(TRIM(E958))=0,"",VLOOKUP(E958,Sheet2!$B$1:$E$19,3,FALSE))</f>
        <v>1133738</v>
      </c>
      <c r="M958">
        <f>IF(LEN(TRIM(E958))=0,"",VLOOKUP(E958,Sheet2!$B$1:$E$19,4,FALSE))+(F958-1)</f>
        <v>3885685</v>
      </c>
      <c r="N958" s="1"/>
      <c r="O958" s="1"/>
      <c r="P958" s="1"/>
      <c r="Q958" s="1"/>
    </row>
    <row r="959" spans="1:17" ht="15" customHeight="1" x14ac:dyDescent="0.25">
      <c r="A959" s="29" t="s">
        <v>85</v>
      </c>
      <c r="B959" s="28" t="s">
        <v>45</v>
      </c>
      <c r="C959" s="6" t="s">
        <v>2616</v>
      </c>
      <c r="D959" s="1" t="s">
        <v>454</v>
      </c>
      <c r="E959" s="1">
        <v>2173</v>
      </c>
      <c r="F959" s="28">
        <v>219</v>
      </c>
      <c r="G959" s="9">
        <v>46</v>
      </c>
      <c r="H959" s="1" t="s">
        <v>3073</v>
      </c>
      <c r="I959" s="1" t="s">
        <v>3073</v>
      </c>
      <c r="J959" t="str">
        <f t="shared" si="14"/>
        <v>http://www.badatelna.eu/reprodukce/?fondId=1073&amp;zaznamId=1108959&amp;reproId=3780212</v>
      </c>
      <c r="K959">
        <f>IF(LEN(TRIM(E959))=0,"",VLOOKUP(E959,Sheet2!$B$1:$E$19,2,FALSE))</f>
        <v>1073</v>
      </c>
      <c r="L959">
        <f>IF(LEN(TRIM(E959))=0,"",VLOOKUP(E959,Sheet2!$B$1:$E$19,3,FALSE))</f>
        <v>1108959</v>
      </c>
      <c r="M959">
        <f>IF(LEN(TRIM(E959))=0,"",VLOOKUP(E959,Sheet2!$B$1:$E$19,4,FALSE))+(F959-1)</f>
        <v>3780212</v>
      </c>
      <c r="N959" s="1"/>
      <c r="O959" s="1"/>
      <c r="P959" s="1"/>
      <c r="Q959" s="1"/>
    </row>
    <row r="960" spans="1:17" ht="15" customHeight="1" x14ac:dyDescent="0.25">
      <c r="A960" s="28" t="s">
        <v>85</v>
      </c>
      <c r="B960" s="28" t="s">
        <v>443</v>
      </c>
      <c r="C960" s="1">
        <v>1864</v>
      </c>
      <c r="D960" s="1" t="s">
        <v>2919</v>
      </c>
      <c r="E960" s="1">
        <v>999</v>
      </c>
      <c r="F960" s="28">
        <v>87</v>
      </c>
      <c r="G960" s="1">
        <v>8</v>
      </c>
      <c r="H960" s="1">
        <v>100</v>
      </c>
      <c r="I960" s="1">
        <v>159</v>
      </c>
      <c r="J960" t="str">
        <f t="shared" si="14"/>
        <v>http://www.badatelna.eu/reprodukce/?fondId=241&amp;zaznamId=1133739&amp;reproId=3885816</v>
      </c>
      <c r="K960">
        <f>IF(LEN(TRIM(E960))=0,"",VLOOKUP(E960,Sheet2!$B$1:$E$19,2,FALSE))</f>
        <v>241</v>
      </c>
      <c r="L960">
        <f>IF(LEN(TRIM(E960))=0,"",VLOOKUP(E960,Sheet2!$B$1:$E$19,3,FALSE))</f>
        <v>1133739</v>
      </c>
      <c r="M960">
        <f>IF(LEN(TRIM(E960))=0,"",VLOOKUP(E960,Sheet2!$B$1:$E$19,4,FALSE))+(F960-1)</f>
        <v>3885816</v>
      </c>
      <c r="N960" s="1"/>
      <c r="O960" s="1"/>
      <c r="P960" s="1"/>
      <c r="Q960" s="1"/>
    </row>
    <row r="961" spans="1:17" ht="15" customHeight="1" x14ac:dyDescent="0.25">
      <c r="A961" s="27" t="s">
        <v>85</v>
      </c>
      <c r="B961" s="27" t="s">
        <v>443</v>
      </c>
      <c r="C961" s="5" t="s">
        <v>1186</v>
      </c>
      <c r="D961" s="3" t="s">
        <v>454</v>
      </c>
      <c r="E961" s="3">
        <v>2170</v>
      </c>
      <c r="F961" s="28">
        <v>12</v>
      </c>
      <c r="G961" s="10">
        <v>8</v>
      </c>
      <c r="H961" s="3">
        <v>62</v>
      </c>
      <c r="I961" s="3">
        <v>58</v>
      </c>
      <c r="J961" t="str">
        <f t="shared" si="14"/>
        <v>http://www.badatelna.eu/reprodukce/?fondId=1073&amp;zaznamId=1108956&amp;reproId=3779604</v>
      </c>
      <c r="K961">
        <f>IF(LEN(TRIM(E961))=0,"",VLOOKUP(E961,Sheet2!$B$1:$E$19,2,FALSE))</f>
        <v>1073</v>
      </c>
      <c r="L961">
        <f>IF(LEN(TRIM(E961))=0,"",VLOOKUP(E961,Sheet2!$B$1:$E$19,3,FALSE))</f>
        <v>1108956</v>
      </c>
      <c r="M961">
        <f>IF(LEN(TRIM(E961))=0,"",VLOOKUP(E961,Sheet2!$B$1:$E$19,4,FALSE))+(F961-1)</f>
        <v>3779604</v>
      </c>
      <c r="N961" s="1"/>
      <c r="O961" s="1"/>
      <c r="P961" s="1"/>
      <c r="Q961" s="1"/>
    </row>
    <row r="962" spans="1:17" ht="15" customHeight="1" x14ac:dyDescent="0.25">
      <c r="A962" s="28" t="s">
        <v>85</v>
      </c>
      <c r="B962" s="28" t="s">
        <v>19</v>
      </c>
      <c r="C962" s="6" t="s">
        <v>2060</v>
      </c>
      <c r="D962" s="1" t="s">
        <v>454</v>
      </c>
      <c r="E962" s="1">
        <v>2173</v>
      </c>
      <c r="F962" s="28">
        <v>182</v>
      </c>
      <c r="G962" s="9">
        <v>10</v>
      </c>
      <c r="H962" s="1">
        <v>188</v>
      </c>
      <c r="I962" s="1">
        <v>418</v>
      </c>
      <c r="J962" t="str">
        <f t="shared" si="14"/>
        <v>http://www.badatelna.eu/reprodukce/?fondId=1073&amp;zaznamId=1108959&amp;reproId=3780175</v>
      </c>
      <c r="K962">
        <f>IF(LEN(TRIM(E962))=0,"",VLOOKUP(E962,Sheet2!$B$1:$E$19,2,FALSE))</f>
        <v>1073</v>
      </c>
      <c r="L962">
        <f>IF(LEN(TRIM(E962))=0,"",VLOOKUP(E962,Sheet2!$B$1:$E$19,3,FALSE))</f>
        <v>1108959</v>
      </c>
      <c r="M962">
        <f>IF(LEN(TRIM(E962))=0,"",VLOOKUP(E962,Sheet2!$B$1:$E$19,4,FALSE))+(F962-1)</f>
        <v>3780175</v>
      </c>
    </row>
    <row r="963" spans="1:17" ht="15" customHeight="1" x14ac:dyDescent="0.25">
      <c r="A963" s="28" t="s">
        <v>85</v>
      </c>
      <c r="B963" s="28" t="s">
        <v>19</v>
      </c>
      <c r="C963" s="6" t="s">
        <v>2060</v>
      </c>
      <c r="D963" s="1" t="s">
        <v>454</v>
      </c>
      <c r="E963" s="1">
        <v>2173</v>
      </c>
      <c r="F963" s="28">
        <v>212</v>
      </c>
      <c r="G963" s="9" t="s">
        <v>2761</v>
      </c>
      <c r="H963" s="1" t="s">
        <v>3073</v>
      </c>
      <c r="I963" s="1" t="s">
        <v>3073</v>
      </c>
      <c r="J963" t="str">
        <f t="shared" ref="J963:J1026" si="15">IF(LEN(TRIM(E963))=0,"","http://www.badatelna.eu/reprodukce/?fondId="&amp;K963&amp;"&amp;zaznamId="&amp;L963&amp;"&amp;reproId="&amp;M963)</f>
        <v>http://www.badatelna.eu/reprodukce/?fondId=1073&amp;zaznamId=1108959&amp;reproId=3780205</v>
      </c>
      <c r="K963">
        <f>IF(LEN(TRIM(E963))=0,"",VLOOKUP(E963,Sheet2!$B$1:$E$19,2,FALSE))</f>
        <v>1073</v>
      </c>
      <c r="L963">
        <f>IF(LEN(TRIM(E963))=0,"",VLOOKUP(E963,Sheet2!$B$1:$E$19,3,FALSE))</f>
        <v>1108959</v>
      </c>
      <c r="M963">
        <f>IF(LEN(TRIM(E963))=0,"",VLOOKUP(E963,Sheet2!$B$1:$E$19,4,FALSE))+(F963-1)</f>
        <v>3780205</v>
      </c>
      <c r="N963" s="1"/>
      <c r="O963" s="1"/>
      <c r="P963" s="1"/>
      <c r="Q963" s="1"/>
    </row>
    <row r="964" spans="1:17" ht="15" customHeight="1" x14ac:dyDescent="0.25">
      <c r="A964" s="28" t="s">
        <v>85</v>
      </c>
      <c r="B964" s="28" t="s">
        <v>25</v>
      </c>
      <c r="C964" s="6" t="s">
        <v>1780</v>
      </c>
      <c r="D964" s="1" t="s">
        <v>454</v>
      </c>
      <c r="E964" s="1">
        <v>2172</v>
      </c>
      <c r="F964" s="28">
        <v>153</v>
      </c>
      <c r="G964" s="9">
        <v>148</v>
      </c>
      <c r="H964" s="1">
        <v>154</v>
      </c>
      <c r="I964" s="1">
        <v>149</v>
      </c>
      <c r="J964" t="str">
        <f t="shared" si="15"/>
        <v>http://www.badatelna.eu/reprodukce/?fondId=1073&amp;zaznamId=1108958&amp;reproId=3779894</v>
      </c>
      <c r="K964">
        <f>IF(LEN(TRIM(E964))=0,"",VLOOKUP(E964,Sheet2!$B$1:$E$19,2,FALSE))</f>
        <v>1073</v>
      </c>
      <c r="L964">
        <f>IF(LEN(TRIM(E964))=0,"",VLOOKUP(E964,Sheet2!$B$1:$E$19,3,FALSE))</f>
        <v>1108958</v>
      </c>
      <c r="M964">
        <f>IF(LEN(TRIM(E964))=0,"",VLOOKUP(E964,Sheet2!$B$1:$E$19,4,FALSE))+(F964-1)</f>
        <v>3779894</v>
      </c>
      <c r="N964" s="1"/>
      <c r="O964" s="1"/>
      <c r="P964" s="1"/>
      <c r="Q964" s="1"/>
    </row>
    <row r="965" spans="1:17" ht="15" customHeight="1" x14ac:dyDescent="0.25">
      <c r="A965" s="28" t="s">
        <v>85</v>
      </c>
      <c r="B965" s="28" t="s">
        <v>2965</v>
      </c>
      <c r="C965" s="1">
        <v>1854</v>
      </c>
      <c r="D965" s="1" t="s">
        <v>2919</v>
      </c>
      <c r="E965" s="1">
        <v>998</v>
      </c>
      <c r="F965" s="28">
        <v>39</v>
      </c>
      <c r="G965" s="1">
        <v>37</v>
      </c>
      <c r="H965" s="1">
        <v>69</v>
      </c>
      <c r="I965" s="1">
        <v>66</v>
      </c>
      <c r="J965" t="str">
        <f t="shared" si="15"/>
        <v>http://www.badatelna.eu/reprodukce/?fondId=241&amp;zaznamId=1133738&amp;reproId=3885685</v>
      </c>
      <c r="K965">
        <f>IF(LEN(TRIM(E965))=0,"",VLOOKUP(E965,Sheet2!$B$1:$E$19,2,FALSE))</f>
        <v>241</v>
      </c>
      <c r="L965">
        <f>IF(LEN(TRIM(E965))=0,"",VLOOKUP(E965,Sheet2!$B$1:$E$19,3,FALSE))</f>
        <v>1133738</v>
      </c>
      <c r="M965">
        <f>IF(LEN(TRIM(E965))=0,"",VLOOKUP(E965,Sheet2!$B$1:$E$19,4,FALSE))+(F965-1)</f>
        <v>3885685</v>
      </c>
      <c r="N965" s="1"/>
      <c r="O965" s="1"/>
      <c r="P965" s="1"/>
      <c r="Q965" s="1"/>
    </row>
    <row r="966" spans="1:17" ht="15" customHeight="1" x14ac:dyDescent="0.25">
      <c r="A966" s="28" t="s">
        <v>85</v>
      </c>
      <c r="B966" s="28" t="s">
        <v>654</v>
      </c>
      <c r="C966" s="1">
        <v>1849</v>
      </c>
      <c r="D966" s="1" t="s">
        <v>2919</v>
      </c>
      <c r="E966" s="1">
        <v>998</v>
      </c>
      <c r="F966" s="28">
        <v>22</v>
      </c>
      <c r="G966" s="1">
        <v>20</v>
      </c>
      <c r="H966" s="1">
        <v>69</v>
      </c>
      <c r="I966" s="1">
        <v>66</v>
      </c>
      <c r="J966" t="str">
        <f t="shared" si="15"/>
        <v>http://www.badatelna.eu/reprodukce/?fondId=241&amp;zaznamId=1133738&amp;reproId=3885668</v>
      </c>
      <c r="K966">
        <f>IF(LEN(TRIM(E966))=0,"",VLOOKUP(E966,Sheet2!$B$1:$E$19,2,FALSE))</f>
        <v>241</v>
      </c>
      <c r="L966">
        <f>IF(LEN(TRIM(E966))=0,"",VLOOKUP(E966,Sheet2!$B$1:$E$19,3,FALSE))</f>
        <v>1133738</v>
      </c>
      <c r="M966">
        <f>IF(LEN(TRIM(E966))=0,"",VLOOKUP(E966,Sheet2!$B$1:$E$19,4,FALSE))+(F966-1)</f>
        <v>3885668</v>
      </c>
      <c r="N966" s="1"/>
      <c r="O966" s="1"/>
      <c r="P966" s="1"/>
      <c r="Q966" s="1"/>
    </row>
    <row r="967" spans="1:17" ht="15" customHeight="1" x14ac:dyDescent="0.25">
      <c r="A967" s="28" t="s">
        <v>85</v>
      </c>
      <c r="B967" s="28" t="s">
        <v>86</v>
      </c>
      <c r="C967" s="6" t="s">
        <v>2291</v>
      </c>
      <c r="D967" s="1" t="s">
        <v>454</v>
      </c>
      <c r="E967" s="1">
        <v>2173</v>
      </c>
      <c r="F967" s="28">
        <v>198</v>
      </c>
      <c r="G967" s="9">
        <v>5</v>
      </c>
      <c r="H967" s="1" t="s">
        <v>3073</v>
      </c>
      <c r="I967" s="1" t="s">
        <v>3073</v>
      </c>
      <c r="J967" t="str">
        <f t="shared" si="15"/>
        <v>http://www.badatelna.eu/reprodukce/?fondId=1073&amp;zaznamId=1108959&amp;reproId=3780191</v>
      </c>
      <c r="K967">
        <f>IF(LEN(TRIM(E967))=0,"",VLOOKUP(E967,Sheet2!$B$1:$E$19,2,FALSE))</f>
        <v>1073</v>
      </c>
      <c r="L967">
        <f>IF(LEN(TRIM(E967))=0,"",VLOOKUP(E967,Sheet2!$B$1:$E$19,3,FALSE))</f>
        <v>1108959</v>
      </c>
      <c r="M967">
        <f>IF(LEN(TRIM(E967))=0,"",VLOOKUP(E967,Sheet2!$B$1:$E$19,4,FALSE))+(F967-1)</f>
        <v>3780191</v>
      </c>
      <c r="N967" s="1"/>
      <c r="O967" s="1"/>
      <c r="P967" s="1"/>
      <c r="Q967" s="1"/>
    </row>
    <row r="968" spans="1:17" ht="15" customHeight="1" x14ac:dyDescent="0.25">
      <c r="A968" s="28" t="s">
        <v>85</v>
      </c>
      <c r="B968" s="28" t="s">
        <v>571</v>
      </c>
      <c r="C968" s="1">
        <v>1860</v>
      </c>
      <c r="D968" s="1" t="s">
        <v>2919</v>
      </c>
      <c r="E968" s="1">
        <v>998</v>
      </c>
      <c r="F968" s="28">
        <v>59</v>
      </c>
      <c r="G968" s="1">
        <v>56</v>
      </c>
      <c r="H968" s="1">
        <v>69</v>
      </c>
      <c r="I968" s="1">
        <v>66</v>
      </c>
      <c r="J968" t="str">
        <f t="shared" si="15"/>
        <v>http://www.badatelna.eu/reprodukce/?fondId=241&amp;zaznamId=1133738&amp;reproId=3885705</v>
      </c>
      <c r="K968">
        <f>IF(LEN(TRIM(E968))=0,"",VLOOKUP(E968,Sheet2!$B$1:$E$19,2,FALSE))</f>
        <v>241</v>
      </c>
      <c r="L968">
        <f>IF(LEN(TRIM(E968))=0,"",VLOOKUP(E968,Sheet2!$B$1:$E$19,3,FALSE))</f>
        <v>1133738</v>
      </c>
      <c r="M968">
        <f>IF(LEN(TRIM(E968))=0,"",VLOOKUP(E968,Sheet2!$B$1:$E$19,4,FALSE))+(F968-1)</f>
        <v>3885705</v>
      </c>
      <c r="N968" s="1"/>
      <c r="O968" s="1"/>
      <c r="P968" s="1"/>
      <c r="Q968" s="1"/>
    </row>
    <row r="969" spans="1:17" ht="15" customHeight="1" x14ac:dyDescent="0.25">
      <c r="A969" s="27" t="s">
        <v>85</v>
      </c>
      <c r="B969" s="27" t="s">
        <v>530</v>
      </c>
      <c r="C969" s="5" t="s">
        <v>1181</v>
      </c>
      <c r="D969" s="3" t="s">
        <v>454</v>
      </c>
      <c r="E969" s="3">
        <v>2170</v>
      </c>
      <c r="F969" s="28">
        <v>7</v>
      </c>
      <c r="G969" s="10">
        <v>3</v>
      </c>
      <c r="H969" s="3">
        <v>62</v>
      </c>
      <c r="I969" s="3">
        <v>58</v>
      </c>
      <c r="J969" t="str">
        <f t="shared" si="15"/>
        <v>http://www.badatelna.eu/reprodukce/?fondId=1073&amp;zaznamId=1108956&amp;reproId=3779599</v>
      </c>
      <c r="K969">
        <f>IF(LEN(TRIM(E969))=0,"",VLOOKUP(E969,Sheet2!$B$1:$E$19,2,FALSE))</f>
        <v>1073</v>
      </c>
      <c r="L969">
        <f>IF(LEN(TRIM(E969))=0,"",VLOOKUP(E969,Sheet2!$B$1:$E$19,3,FALSE))</f>
        <v>1108956</v>
      </c>
      <c r="M969">
        <f>IF(LEN(TRIM(E969))=0,"",VLOOKUP(E969,Sheet2!$B$1:$E$19,4,FALSE))+(F969-1)</f>
        <v>3779599</v>
      </c>
      <c r="N969" s="1"/>
      <c r="O969" s="1"/>
      <c r="P969" s="1"/>
      <c r="Q969" s="1"/>
    </row>
    <row r="970" spans="1:17" ht="15" customHeight="1" x14ac:dyDescent="0.25">
      <c r="A970" s="27" t="s">
        <v>85</v>
      </c>
      <c r="B970" s="27" t="s">
        <v>482</v>
      </c>
      <c r="C970" s="5" t="s">
        <v>1185</v>
      </c>
      <c r="D970" s="3" t="s">
        <v>454</v>
      </c>
      <c r="E970" s="3">
        <v>2170</v>
      </c>
      <c r="F970" s="28">
        <v>47</v>
      </c>
      <c r="G970" s="10">
        <v>43</v>
      </c>
      <c r="H970" s="3">
        <v>62</v>
      </c>
      <c r="I970" s="3">
        <v>58</v>
      </c>
      <c r="J970" t="str">
        <f t="shared" si="15"/>
        <v>http://www.badatelna.eu/reprodukce/?fondId=1073&amp;zaznamId=1108956&amp;reproId=3779639</v>
      </c>
      <c r="K970">
        <f>IF(LEN(TRIM(E970))=0,"",VLOOKUP(E970,Sheet2!$B$1:$E$19,2,FALSE))</f>
        <v>1073</v>
      </c>
      <c r="L970">
        <f>IF(LEN(TRIM(E970))=0,"",VLOOKUP(E970,Sheet2!$B$1:$E$19,3,FALSE))</f>
        <v>1108956</v>
      </c>
      <c r="M970">
        <f>IF(LEN(TRIM(E970))=0,"",VLOOKUP(E970,Sheet2!$B$1:$E$19,4,FALSE))+(F970-1)</f>
        <v>3779639</v>
      </c>
      <c r="N970" s="1"/>
      <c r="O970" s="1"/>
      <c r="P970" s="1"/>
      <c r="Q970" s="1"/>
    </row>
    <row r="971" spans="1:17" ht="15" customHeight="1" x14ac:dyDescent="0.25">
      <c r="A971" s="27" t="s">
        <v>85</v>
      </c>
      <c r="B971" s="27" t="s">
        <v>239</v>
      </c>
      <c r="C971" s="5" t="s">
        <v>1182</v>
      </c>
      <c r="D971" s="3" t="s">
        <v>454</v>
      </c>
      <c r="E971" s="3">
        <v>2170</v>
      </c>
      <c r="F971" s="28">
        <v>56</v>
      </c>
      <c r="G971" s="10">
        <v>52</v>
      </c>
      <c r="H971" s="3">
        <v>62</v>
      </c>
      <c r="I971" s="3">
        <v>58</v>
      </c>
      <c r="J971" t="str">
        <f t="shared" si="15"/>
        <v>http://www.badatelna.eu/reprodukce/?fondId=1073&amp;zaznamId=1108956&amp;reproId=3779648</v>
      </c>
      <c r="K971">
        <f>IF(LEN(TRIM(E971))=0,"",VLOOKUP(E971,Sheet2!$B$1:$E$19,2,FALSE))</f>
        <v>1073</v>
      </c>
      <c r="L971">
        <f>IF(LEN(TRIM(E971))=0,"",VLOOKUP(E971,Sheet2!$B$1:$E$19,3,FALSE))</f>
        <v>1108956</v>
      </c>
      <c r="M971">
        <f>IF(LEN(TRIM(E971))=0,"",VLOOKUP(E971,Sheet2!$B$1:$E$19,4,FALSE))+(F971-1)</f>
        <v>3779648</v>
      </c>
      <c r="N971" s="1"/>
      <c r="O971" s="1"/>
      <c r="P971" s="1"/>
      <c r="Q971" s="1"/>
    </row>
    <row r="972" spans="1:17" ht="15" customHeight="1" x14ac:dyDescent="0.25">
      <c r="A972" s="28" t="s">
        <v>85</v>
      </c>
      <c r="B972" s="28" t="s">
        <v>878</v>
      </c>
      <c r="C972" s="6" t="s">
        <v>1778</v>
      </c>
      <c r="D972" s="1" t="s">
        <v>454</v>
      </c>
      <c r="E972" s="1">
        <v>2172</v>
      </c>
      <c r="F972" s="28">
        <v>148</v>
      </c>
      <c r="G972" s="9">
        <v>144</v>
      </c>
      <c r="H972" s="1">
        <v>149</v>
      </c>
      <c r="I972" s="1">
        <v>145</v>
      </c>
      <c r="J972" t="str">
        <f t="shared" si="15"/>
        <v>http://www.badatelna.eu/reprodukce/?fondId=1073&amp;zaznamId=1108958&amp;reproId=3779889</v>
      </c>
      <c r="K972">
        <f>IF(LEN(TRIM(E972))=0,"",VLOOKUP(E972,Sheet2!$B$1:$E$19,2,FALSE))</f>
        <v>1073</v>
      </c>
      <c r="L972">
        <f>IF(LEN(TRIM(E972))=0,"",VLOOKUP(E972,Sheet2!$B$1:$E$19,3,FALSE))</f>
        <v>1108958</v>
      </c>
      <c r="M972">
        <f>IF(LEN(TRIM(E972))=0,"",VLOOKUP(E972,Sheet2!$B$1:$E$19,4,FALSE))+(F972-1)</f>
        <v>3779889</v>
      </c>
      <c r="N972" s="1"/>
      <c r="O972" s="1"/>
      <c r="P972" s="1"/>
      <c r="Q972" s="1"/>
    </row>
    <row r="973" spans="1:17" ht="15" customHeight="1" x14ac:dyDescent="0.25">
      <c r="A973" s="28" t="s">
        <v>85</v>
      </c>
      <c r="B973" s="28" t="s">
        <v>254</v>
      </c>
      <c r="C973" s="6" t="s">
        <v>1637</v>
      </c>
      <c r="D973" s="1" t="s">
        <v>454</v>
      </c>
      <c r="E973" s="1">
        <v>2172</v>
      </c>
      <c r="F973" s="28">
        <v>94</v>
      </c>
      <c r="G973" s="9">
        <v>93</v>
      </c>
      <c r="H973" s="1">
        <v>96</v>
      </c>
      <c r="I973" s="1">
        <v>95</v>
      </c>
      <c r="J973" t="str">
        <f t="shared" si="15"/>
        <v>http://www.badatelna.eu/reprodukce/?fondId=1073&amp;zaznamId=1108958&amp;reproId=3779835</v>
      </c>
      <c r="K973">
        <f>IF(LEN(TRIM(E973))=0,"",VLOOKUP(E973,Sheet2!$B$1:$E$19,2,FALSE))</f>
        <v>1073</v>
      </c>
      <c r="L973">
        <f>IF(LEN(TRIM(E973))=0,"",VLOOKUP(E973,Sheet2!$B$1:$E$19,3,FALSE))</f>
        <v>1108958</v>
      </c>
      <c r="M973">
        <f>IF(LEN(TRIM(E973))=0,"",VLOOKUP(E973,Sheet2!$B$1:$E$19,4,FALSE))+(F973-1)</f>
        <v>3779835</v>
      </c>
      <c r="N973" s="1"/>
      <c r="O973" s="1"/>
      <c r="P973" s="1"/>
      <c r="Q973" s="1"/>
    </row>
    <row r="974" spans="1:17" ht="15" customHeight="1" x14ac:dyDescent="0.25">
      <c r="A974" s="28" t="s">
        <v>85</v>
      </c>
      <c r="B974" s="28" t="s">
        <v>91</v>
      </c>
      <c r="C974" s="1">
        <v>1855</v>
      </c>
      <c r="D974" s="1" t="s">
        <v>2919</v>
      </c>
      <c r="E974" s="1">
        <v>998</v>
      </c>
      <c r="F974" s="28">
        <v>44</v>
      </c>
      <c r="G974" s="1">
        <v>42</v>
      </c>
      <c r="H974" s="1">
        <v>69</v>
      </c>
      <c r="I974" s="1">
        <v>66</v>
      </c>
      <c r="J974" t="str">
        <f t="shared" si="15"/>
        <v>http://www.badatelna.eu/reprodukce/?fondId=241&amp;zaznamId=1133738&amp;reproId=3885690</v>
      </c>
      <c r="K974">
        <f>IF(LEN(TRIM(E974))=0,"",VLOOKUP(E974,Sheet2!$B$1:$E$19,2,FALSE))</f>
        <v>241</v>
      </c>
      <c r="L974">
        <f>IF(LEN(TRIM(E974))=0,"",VLOOKUP(E974,Sheet2!$B$1:$E$19,3,FALSE))</f>
        <v>1133738</v>
      </c>
      <c r="M974">
        <f>IF(LEN(TRIM(E974))=0,"",VLOOKUP(E974,Sheet2!$B$1:$E$19,4,FALSE))+(F974-1)</f>
        <v>3885690</v>
      </c>
      <c r="N974" s="1"/>
      <c r="O974" s="1"/>
      <c r="P974" s="1"/>
      <c r="Q974" s="1"/>
    </row>
    <row r="975" spans="1:17" ht="15" customHeight="1" x14ac:dyDescent="0.25">
      <c r="A975" s="28" t="s">
        <v>85</v>
      </c>
      <c r="B975" s="28" t="s">
        <v>82</v>
      </c>
      <c r="C975" s="6" t="s">
        <v>1738</v>
      </c>
      <c r="D975" s="1" t="s">
        <v>454</v>
      </c>
      <c r="E975" s="1">
        <v>2172</v>
      </c>
      <c r="F975" s="28">
        <v>127</v>
      </c>
      <c r="G975" s="9" t="s">
        <v>2780</v>
      </c>
      <c r="H975" s="1">
        <v>132</v>
      </c>
      <c r="I975" s="1">
        <v>131</v>
      </c>
      <c r="J975" t="str">
        <f t="shared" si="15"/>
        <v>http://www.badatelna.eu/reprodukce/?fondId=1073&amp;zaznamId=1108958&amp;reproId=3779868</v>
      </c>
      <c r="K975">
        <f>IF(LEN(TRIM(E975))=0,"",VLOOKUP(E975,Sheet2!$B$1:$E$19,2,FALSE))</f>
        <v>1073</v>
      </c>
      <c r="L975">
        <f>IF(LEN(TRIM(E975))=0,"",VLOOKUP(E975,Sheet2!$B$1:$E$19,3,FALSE))</f>
        <v>1108958</v>
      </c>
      <c r="M975">
        <f>IF(LEN(TRIM(E975))=0,"",VLOOKUP(E975,Sheet2!$B$1:$E$19,4,FALSE))+(F975-1)</f>
        <v>3779868</v>
      </c>
      <c r="N975" s="1"/>
      <c r="O975" s="1"/>
      <c r="P975" s="1"/>
      <c r="Q975" s="1"/>
    </row>
    <row r="976" spans="1:17" ht="15" customHeight="1" x14ac:dyDescent="0.25">
      <c r="A976" s="28" t="s">
        <v>879</v>
      </c>
      <c r="B976" s="28" t="s">
        <v>581</v>
      </c>
      <c r="C976" s="6" t="s">
        <v>1931</v>
      </c>
      <c r="D976" s="1" t="s">
        <v>454</v>
      </c>
      <c r="E976" s="1">
        <v>2172</v>
      </c>
      <c r="F976" s="28">
        <v>217</v>
      </c>
      <c r="G976" s="9">
        <v>201</v>
      </c>
      <c r="H976" s="1" t="s">
        <v>3073</v>
      </c>
      <c r="I976" s="1" t="s">
        <v>3073</v>
      </c>
      <c r="J976" t="str">
        <f t="shared" si="15"/>
        <v>http://www.badatelna.eu/reprodukce/?fondId=1073&amp;zaznamId=1108958&amp;reproId=3779958</v>
      </c>
      <c r="K976">
        <f>IF(LEN(TRIM(E976))=0,"",VLOOKUP(E976,Sheet2!$B$1:$E$19,2,FALSE))</f>
        <v>1073</v>
      </c>
      <c r="L976">
        <f>IF(LEN(TRIM(E976))=0,"",VLOOKUP(E976,Sheet2!$B$1:$E$19,3,FALSE))</f>
        <v>1108958</v>
      </c>
      <c r="M976">
        <f>IF(LEN(TRIM(E976))=0,"",VLOOKUP(E976,Sheet2!$B$1:$E$19,4,FALSE))+(F976-1)</f>
        <v>3779958</v>
      </c>
      <c r="N976" s="1"/>
      <c r="O976" s="1"/>
      <c r="P976" s="1"/>
      <c r="Q976" s="1"/>
    </row>
    <row r="977" spans="1:17" ht="15" customHeight="1" x14ac:dyDescent="0.25">
      <c r="A977" s="27" t="s">
        <v>539</v>
      </c>
      <c r="B977" s="27" t="s">
        <v>290</v>
      </c>
      <c r="C977" s="5" t="s">
        <v>1187</v>
      </c>
      <c r="D977" s="3" t="s">
        <v>454</v>
      </c>
      <c r="E977" s="3">
        <v>2170</v>
      </c>
      <c r="F977" s="31">
        <v>8</v>
      </c>
      <c r="G977" s="10">
        <v>4</v>
      </c>
      <c r="H977" s="3">
        <v>62</v>
      </c>
      <c r="I977" s="3">
        <v>58</v>
      </c>
      <c r="J977" t="str">
        <f t="shared" si="15"/>
        <v>http://www.badatelna.eu/reprodukce/?fondId=1073&amp;zaznamId=1108956&amp;reproId=3779600</v>
      </c>
      <c r="K977">
        <f>IF(LEN(TRIM(E977))=0,"",VLOOKUP(E977,Sheet2!$B$1:$E$19,2,FALSE))</f>
        <v>1073</v>
      </c>
      <c r="L977">
        <f>IF(LEN(TRIM(E977))=0,"",VLOOKUP(E977,Sheet2!$B$1:$E$19,3,FALSE))</f>
        <v>1108956</v>
      </c>
      <c r="M977">
        <f>IF(LEN(TRIM(E977))=0,"",VLOOKUP(E977,Sheet2!$B$1:$E$19,4,FALSE))+(F977-1)</f>
        <v>3779600</v>
      </c>
      <c r="N977" s="1"/>
      <c r="O977" s="1"/>
      <c r="P977" s="1"/>
      <c r="Q977" s="1"/>
    </row>
    <row r="978" spans="1:17" ht="15" customHeight="1" x14ac:dyDescent="0.25">
      <c r="A978" s="29" t="s">
        <v>64</v>
      </c>
      <c r="B978" s="29" t="s">
        <v>421</v>
      </c>
      <c r="C978" s="6" t="s">
        <v>2636</v>
      </c>
      <c r="D978" s="1" t="s">
        <v>454</v>
      </c>
      <c r="E978" s="1">
        <v>2173</v>
      </c>
      <c r="F978" s="28">
        <v>221</v>
      </c>
      <c r="G978" s="9">
        <v>49</v>
      </c>
      <c r="H978" s="1" t="s">
        <v>3073</v>
      </c>
      <c r="I978" s="1" t="s">
        <v>3073</v>
      </c>
      <c r="J978" t="str">
        <f t="shared" si="15"/>
        <v>http://www.badatelna.eu/reprodukce/?fondId=1073&amp;zaznamId=1108959&amp;reproId=3780214</v>
      </c>
      <c r="K978">
        <f>IF(LEN(TRIM(E978))=0,"",VLOOKUP(E978,Sheet2!$B$1:$E$19,2,FALSE))</f>
        <v>1073</v>
      </c>
      <c r="L978">
        <f>IF(LEN(TRIM(E978))=0,"",VLOOKUP(E978,Sheet2!$B$1:$E$19,3,FALSE))</f>
        <v>1108959</v>
      </c>
      <c r="M978">
        <f>IF(LEN(TRIM(E978))=0,"",VLOOKUP(E978,Sheet2!$B$1:$E$19,4,FALSE))+(F978-1)</f>
        <v>3780214</v>
      </c>
      <c r="N978" s="1"/>
      <c r="O978" s="1"/>
      <c r="P978" s="1"/>
      <c r="Q978" s="1"/>
    </row>
    <row r="979" spans="1:17" ht="15" customHeight="1" x14ac:dyDescent="0.2">
      <c r="A979" s="31" t="s">
        <v>64</v>
      </c>
      <c r="B979" s="32" t="s">
        <v>459</v>
      </c>
      <c r="C979" s="7" t="s">
        <v>2241</v>
      </c>
      <c r="D979" s="1" t="s">
        <v>454</v>
      </c>
      <c r="E979" s="1">
        <v>2173</v>
      </c>
      <c r="F979" s="31">
        <v>197</v>
      </c>
      <c r="G979" s="12">
        <v>3</v>
      </c>
      <c r="H979" s="1" t="s">
        <v>3073</v>
      </c>
      <c r="I979" s="1" t="s">
        <v>3073</v>
      </c>
      <c r="J979" t="str">
        <f t="shared" si="15"/>
        <v>http://www.badatelna.eu/reprodukce/?fondId=1073&amp;zaznamId=1108959&amp;reproId=3780190</v>
      </c>
      <c r="K979">
        <f>IF(LEN(TRIM(E979))=0,"",VLOOKUP(E979,Sheet2!$B$1:$E$19,2,FALSE))</f>
        <v>1073</v>
      </c>
      <c r="L979">
        <f>IF(LEN(TRIM(E979))=0,"",VLOOKUP(E979,Sheet2!$B$1:$E$19,3,FALSE))</f>
        <v>1108959</v>
      </c>
      <c r="M979">
        <f>IF(LEN(TRIM(E979))=0,"",VLOOKUP(E979,Sheet2!$B$1:$E$19,4,FALSE))+(F979-1)</f>
        <v>3780190</v>
      </c>
      <c r="N979" s="1"/>
      <c r="O979" s="1"/>
      <c r="P979" s="1"/>
      <c r="Q979" s="1"/>
    </row>
    <row r="980" spans="1:17" s="1" customFormat="1" ht="15" customHeight="1" x14ac:dyDescent="0.25">
      <c r="A980" s="27" t="s">
        <v>64</v>
      </c>
      <c r="B980" s="27" t="s">
        <v>523</v>
      </c>
      <c r="C980" s="5" t="s">
        <v>1148</v>
      </c>
      <c r="D980" s="3" t="s">
        <v>454</v>
      </c>
      <c r="E980" s="3">
        <v>2170</v>
      </c>
      <c r="F980" s="28">
        <v>28</v>
      </c>
      <c r="G980" s="10">
        <v>24</v>
      </c>
      <c r="H980" s="3">
        <v>62</v>
      </c>
      <c r="I980" s="3">
        <v>58</v>
      </c>
      <c r="J980" t="str">
        <f t="shared" si="15"/>
        <v>http://www.badatelna.eu/reprodukce/?fondId=1073&amp;zaznamId=1108956&amp;reproId=3779620</v>
      </c>
      <c r="K980">
        <f>IF(LEN(TRIM(E980))=0,"",VLOOKUP(E980,Sheet2!$B$1:$E$19,2,FALSE))</f>
        <v>1073</v>
      </c>
      <c r="L980">
        <f>IF(LEN(TRIM(E980))=0,"",VLOOKUP(E980,Sheet2!$B$1:$E$19,3,FALSE))</f>
        <v>1108956</v>
      </c>
      <c r="M980">
        <f>IF(LEN(TRIM(E980))=0,"",VLOOKUP(E980,Sheet2!$B$1:$E$19,4,FALSE))+(F980-1)</f>
        <v>3779620</v>
      </c>
    </row>
    <row r="981" spans="1:17" ht="15" customHeight="1" x14ac:dyDescent="0.25">
      <c r="A981" s="28" t="s">
        <v>64</v>
      </c>
      <c r="B981" s="28" t="s">
        <v>622</v>
      </c>
      <c r="C981" s="6" t="s">
        <v>1877</v>
      </c>
      <c r="D981" s="1" t="s">
        <v>454</v>
      </c>
      <c r="E981" s="1">
        <v>2172</v>
      </c>
      <c r="F981" s="28">
        <v>191</v>
      </c>
      <c r="G981" s="9">
        <v>181</v>
      </c>
      <c r="H981" s="1" t="s">
        <v>3073</v>
      </c>
      <c r="I981" s="1" t="s">
        <v>3073</v>
      </c>
      <c r="J981" t="str">
        <f t="shared" si="15"/>
        <v>http://www.badatelna.eu/reprodukce/?fondId=1073&amp;zaznamId=1108958&amp;reproId=3779932</v>
      </c>
      <c r="K981">
        <f>IF(LEN(TRIM(E981))=0,"",VLOOKUP(E981,Sheet2!$B$1:$E$19,2,FALSE))</f>
        <v>1073</v>
      </c>
      <c r="L981">
        <f>IF(LEN(TRIM(E981))=0,"",VLOOKUP(E981,Sheet2!$B$1:$E$19,3,FALSE))</f>
        <v>1108958</v>
      </c>
      <c r="M981">
        <f>IF(LEN(TRIM(E981))=0,"",VLOOKUP(E981,Sheet2!$B$1:$E$19,4,FALSE))+(F981-1)</f>
        <v>3779932</v>
      </c>
    </row>
    <row r="982" spans="1:17" ht="15" customHeight="1" x14ac:dyDescent="0.25">
      <c r="A982" s="28" t="s">
        <v>64</v>
      </c>
      <c r="B982" s="28" t="s">
        <v>437</v>
      </c>
      <c r="C982" s="1">
        <v>1849</v>
      </c>
      <c r="D982" s="1" t="s">
        <v>2919</v>
      </c>
      <c r="E982" s="1">
        <v>998</v>
      </c>
      <c r="F982" s="28">
        <v>20</v>
      </c>
      <c r="G982" s="1">
        <v>18</v>
      </c>
      <c r="H982" s="1">
        <v>69</v>
      </c>
      <c r="I982" s="1">
        <v>66</v>
      </c>
      <c r="J982" t="str">
        <f t="shared" si="15"/>
        <v>http://www.badatelna.eu/reprodukce/?fondId=241&amp;zaznamId=1133738&amp;reproId=3885666</v>
      </c>
      <c r="K982">
        <f>IF(LEN(TRIM(E982))=0,"",VLOOKUP(E982,Sheet2!$B$1:$E$19,2,FALSE))</f>
        <v>241</v>
      </c>
      <c r="L982">
        <f>IF(LEN(TRIM(E982))=0,"",VLOOKUP(E982,Sheet2!$B$1:$E$19,3,FALSE))</f>
        <v>1133738</v>
      </c>
      <c r="M982">
        <f>IF(LEN(TRIM(E982))=0,"",VLOOKUP(E982,Sheet2!$B$1:$E$19,4,FALSE))+(F982-1)</f>
        <v>3885666</v>
      </c>
      <c r="N982" s="1"/>
      <c r="O982" s="1"/>
      <c r="P982" s="1"/>
      <c r="Q982" s="1"/>
    </row>
    <row r="983" spans="1:17" ht="15" customHeight="1" x14ac:dyDescent="0.25">
      <c r="A983" s="28" t="s">
        <v>64</v>
      </c>
      <c r="B983" s="28" t="s">
        <v>437</v>
      </c>
      <c r="C983" s="6" t="s">
        <v>2691</v>
      </c>
      <c r="D983" s="1" t="s">
        <v>454</v>
      </c>
      <c r="E983" s="1">
        <v>2173</v>
      </c>
      <c r="F983" s="28">
        <v>224</v>
      </c>
      <c r="G983" s="9">
        <v>54</v>
      </c>
      <c r="H983" s="1" t="s">
        <v>3073</v>
      </c>
      <c r="I983" s="1" t="s">
        <v>3073</v>
      </c>
      <c r="J983" t="str">
        <f t="shared" si="15"/>
        <v>http://www.badatelna.eu/reprodukce/?fondId=1073&amp;zaznamId=1108959&amp;reproId=3780217</v>
      </c>
      <c r="K983">
        <f>IF(LEN(TRIM(E983))=0,"",VLOOKUP(E983,Sheet2!$B$1:$E$19,2,FALSE))</f>
        <v>1073</v>
      </c>
      <c r="L983">
        <f>IF(LEN(TRIM(E983))=0,"",VLOOKUP(E983,Sheet2!$B$1:$E$19,3,FALSE))</f>
        <v>1108959</v>
      </c>
      <c r="M983">
        <f>IF(LEN(TRIM(E983))=0,"",VLOOKUP(E983,Sheet2!$B$1:$E$19,4,FALSE))+(F983-1)</f>
        <v>3780217</v>
      </c>
      <c r="N983" s="1"/>
      <c r="O983" s="1"/>
      <c r="P983" s="1"/>
      <c r="Q983" s="1"/>
    </row>
    <row r="984" spans="1:17" ht="15" customHeight="1" x14ac:dyDescent="0.25">
      <c r="A984" s="28" t="s">
        <v>64</v>
      </c>
      <c r="B984" s="28" t="s">
        <v>478</v>
      </c>
      <c r="C984" s="1">
        <v>1849</v>
      </c>
      <c r="D984" s="1" t="s">
        <v>2919</v>
      </c>
      <c r="E984" s="1">
        <v>998</v>
      </c>
      <c r="F984" s="28">
        <v>23</v>
      </c>
      <c r="G984" s="1">
        <v>21</v>
      </c>
      <c r="H984" s="1">
        <v>69</v>
      </c>
      <c r="I984" s="1">
        <v>66</v>
      </c>
      <c r="J984" t="str">
        <f t="shared" si="15"/>
        <v>http://www.badatelna.eu/reprodukce/?fondId=241&amp;zaznamId=1133738&amp;reproId=3885669</v>
      </c>
      <c r="K984">
        <f>IF(LEN(TRIM(E984))=0,"",VLOOKUP(E984,Sheet2!$B$1:$E$19,2,FALSE))</f>
        <v>241</v>
      </c>
      <c r="L984">
        <f>IF(LEN(TRIM(E984))=0,"",VLOOKUP(E984,Sheet2!$B$1:$E$19,3,FALSE))</f>
        <v>1133738</v>
      </c>
      <c r="M984">
        <f>IF(LEN(TRIM(E984))=0,"",VLOOKUP(E984,Sheet2!$B$1:$E$19,4,FALSE))+(F984-1)</f>
        <v>3885669</v>
      </c>
      <c r="N984" s="1"/>
      <c r="O984" s="1"/>
      <c r="P984" s="1"/>
      <c r="Q984" s="1"/>
    </row>
    <row r="985" spans="1:17" ht="15" customHeight="1" x14ac:dyDescent="0.25">
      <c r="A985" s="27" t="s">
        <v>64</v>
      </c>
      <c r="B985" s="27" t="s">
        <v>523</v>
      </c>
      <c r="C985" s="5" t="s">
        <v>1148</v>
      </c>
      <c r="D985" s="3" t="s">
        <v>454</v>
      </c>
      <c r="E985" s="3">
        <v>2171</v>
      </c>
      <c r="F985" s="28">
        <v>16</v>
      </c>
      <c r="G985" s="10">
        <v>14</v>
      </c>
      <c r="H985" s="3">
        <v>44</v>
      </c>
      <c r="I985" s="3">
        <v>32</v>
      </c>
      <c r="J985" t="str">
        <f t="shared" si="15"/>
        <v>http://www.badatelna.eu/reprodukce/?fondId=1073&amp;zaznamId=1108957&amp;reproId=3779683</v>
      </c>
      <c r="K985">
        <f>IF(LEN(TRIM(E985))=0,"",VLOOKUP(E985,Sheet2!$B$1:$E$19,2,FALSE))</f>
        <v>1073</v>
      </c>
      <c r="L985">
        <f>IF(LEN(TRIM(E985))=0,"",VLOOKUP(E985,Sheet2!$B$1:$E$19,3,FALSE))</f>
        <v>1108957</v>
      </c>
      <c r="M985">
        <f>IF(LEN(TRIM(E985))=0,"",VLOOKUP(E985,Sheet2!$B$1:$E$19,4,FALSE))+(F985-1)</f>
        <v>3779683</v>
      </c>
      <c r="N985" s="1"/>
      <c r="O985" s="1"/>
      <c r="P985" s="1"/>
      <c r="Q985" s="1"/>
    </row>
    <row r="986" spans="1:17" ht="15" customHeight="1" x14ac:dyDescent="0.25">
      <c r="A986" s="27" t="s">
        <v>64</v>
      </c>
      <c r="B986" s="27" t="s">
        <v>340</v>
      </c>
      <c r="C986" s="5" t="s">
        <v>1189</v>
      </c>
      <c r="D986" s="3" t="s">
        <v>454</v>
      </c>
      <c r="E986" s="3">
        <v>2170</v>
      </c>
      <c r="F986" s="28">
        <v>35</v>
      </c>
      <c r="G986" s="10">
        <v>31</v>
      </c>
      <c r="H986" s="3">
        <v>62</v>
      </c>
      <c r="I986" s="3">
        <v>58</v>
      </c>
      <c r="J986" t="str">
        <f t="shared" si="15"/>
        <v>http://www.badatelna.eu/reprodukce/?fondId=1073&amp;zaznamId=1108956&amp;reproId=3779627</v>
      </c>
      <c r="K986">
        <f>IF(LEN(TRIM(E986))=0,"",VLOOKUP(E986,Sheet2!$B$1:$E$19,2,FALSE))</f>
        <v>1073</v>
      </c>
      <c r="L986">
        <f>IF(LEN(TRIM(E986))=0,"",VLOOKUP(E986,Sheet2!$B$1:$E$19,3,FALSE))</f>
        <v>1108956</v>
      </c>
      <c r="M986">
        <f>IF(LEN(TRIM(E986))=0,"",VLOOKUP(E986,Sheet2!$B$1:$E$19,4,FALSE))+(F986-1)</f>
        <v>3779627</v>
      </c>
      <c r="N986" s="1"/>
      <c r="O986" s="1"/>
      <c r="P986" s="1"/>
      <c r="Q986" s="1"/>
    </row>
    <row r="987" spans="1:17" ht="15" customHeight="1" x14ac:dyDescent="0.25">
      <c r="A987" s="29" t="s">
        <v>64</v>
      </c>
      <c r="B987" s="28" t="s">
        <v>16</v>
      </c>
      <c r="C987" s="6" t="s">
        <v>2626</v>
      </c>
      <c r="D987" s="1" t="s">
        <v>454</v>
      </c>
      <c r="E987" s="1">
        <v>2173</v>
      </c>
      <c r="F987" s="28">
        <v>220</v>
      </c>
      <c r="G987" s="9">
        <v>47</v>
      </c>
      <c r="H987" s="1" t="s">
        <v>3073</v>
      </c>
      <c r="I987" s="1" t="s">
        <v>3073</v>
      </c>
      <c r="J987" t="str">
        <f t="shared" si="15"/>
        <v>http://www.badatelna.eu/reprodukce/?fondId=1073&amp;zaznamId=1108959&amp;reproId=3780213</v>
      </c>
      <c r="K987">
        <f>IF(LEN(TRIM(E987))=0,"",VLOOKUP(E987,Sheet2!$B$1:$E$19,2,FALSE))</f>
        <v>1073</v>
      </c>
      <c r="L987">
        <f>IF(LEN(TRIM(E987))=0,"",VLOOKUP(E987,Sheet2!$B$1:$E$19,3,FALSE))</f>
        <v>1108959</v>
      </c>
      <c r="M987">
        <f>IF(LEN(TRIM(E987))=0,"",VLOOKUP(E987,Sheet2!$B$1:$E$19,4,FALSE))+(F987-1)</f>
        <v>3780213</v>
      </c>
    </row>
    <row r="988" spans="1:17" ht="15" customHeight="1" x14ac:dyDescent="0.25">
      <c r="A988" s="28" t="s">
        <v>64</v>
      </c>
      <c r="B988" s="28" t="s">
        <v>49</v>
      </c>
      <c r="C988" s="6" t="s">
        <v>2840</v>
      </c>
      <c r="D988" s="1" t="s">
        <v>454</v>
      </c>
      <c r="E988" s="1">
        <v>2173</v>
      </c>
      <c r="F988" s="28">
        <v>209</v>
      </c>
      <c r="G988" s="9" t="s">
        <v>2757</v>
      </c>
      <c r="H988" s="1" t="s">
        <v>3073</v>
      </c>
      <c r="I988" s="1" t="s">
        <v>3073</v>
      </c>
      <c r="J988" t="str">
        <f t="shared" si="15"/>
        <v>http://www.badatelna.eu/reprodukce/?fondId=1073&amp;zaznamId=1108959&amp;reproId=3780202</v>
      </c>
      <c r="K988">
        <f>IF(LEN(TRIM(E988))=0,"",VLOOKUP(E988,Sheet2!$B$1:$E$19,2,FALSE))</f>
        <v>1073</v>
      </c>
      <c r="L988">
        <f>IF(LEN(TRIM(E988))=0,"",VLOOKUP(E988,Sheet2!$B$1:$E$19,3,FALSE))</f>
        <v>1108959</v>
      </c>
      <c r="M988">
        <f>IF(LEN(TRIM(E988))=0,"",VLOOKUP(E988,Sheet2!$B$1:$E$19,4,FALSE))+(F988-1)</f>
        <v>3780202</v>
      </c>
      <c r="N988" s="1"/>
      <c r="O988" s="1"/>
      <c r="P988" s="1"/>
      <c r="Q988" s="1"/>
    </row>
    <row r="989" spans="1:17" ht="15" customHeight="1" x14ac:dyDescent="0.25">
      <c r="A989" s="27" t="s">
        <v>64</v>
      </c>
      <c r="B989" s="27" t="s">
        <v>49</v>
      </c>
      <c r="C989" s="5" t="s">
        <v>1188</v>
      </c>
      <c r="D989" s="3" t="s">
        <v>454</v>
      </c>
      <c r="E989" s="3">
        <v>2170</v>
      </c>
      <c r="F989" s="28">
        <v>49</v>
      </c>
      <c r="G989" s="10">
        <v>45</v>
      </c>
      <c r="H989" s="3">
        <v>62</v>
      </c>
      <c r="I989" s="3">
        <v>58</v>
      </c>
      <c r="J989" t="str">
        <f t="shared" si="15"/>
        <v>http://www.badatelna.eu/reprodukce/?fondId=1073&amp;zaznamId=1108956&amp;reproId=3779641</v>
      </c>
      <c r="K989">
        <f>IF(LEN(TRIM(E989))=0,"",VLOOKUP(E989,Sheet2!$B$1:$E$19,2,FALSE))</f>
        <v>1073</v>
      </c>
      <c r="L989">
        <f>IF(LEN(TRIM(E989))=0,"",VLOOKUP(E989,Sheet2!$B$1:$E$19,3,FALSE))</f>
        <v>1108956</v>
      </c>
      <c r="M989">
        <f>IF(LEN(TRIM(E989))=0,"",VLOOKUP(E989,Sheet2!$B$1:$E$19,4,FALSE))+(F989-1)</f>
        <v>3779641</v>
      </c>
    </row>
    <row r="990" spans="1:17" ht="15" customHeight="1" x14ac:dyDescent="0.25">
      <c r="A990" s="28" t="s">
        <v>64</v>
      </c>
      <c r="B990" s="28" t="s">
        <v>359</v>
      </c>
      <c r="C990" s="1">
        <v>1855</v>
      </c>
      <c r="D990" s="1" t="s">
        <v>2919</v>
      </c>
      <c r="E990" s="1">
        <v>998</v>
      </c>
      <c r="F990" s="28">
        <v>48</v>
      </c>
      <c r="G990" s="1">
        <v>46</v>
      </c>
      <c r="H990" s="1">
        <v>69</v>
      </c>
      <c r="I990" s="1">
        <v>66</v>
      </c>
      <c r="J990" t="str">
        <f t="shared" si="15"/>
        <v>http://www.badatelna.eu/reprodukce/?fondId=241&amp;zaznamId=1133738&amp;reproId=3885694</v>
      </c>
      <c r="K990">
        <f>IF(LEN(TRIM(E990))=0,"",VLOOKUP(E990,Sheet2!$B$1:$E$19,2,FALSE))</f>
        <v>241</v>
      </c>
      <c r="L990">
        <f>IF(LEN(TRIM(E990))=0,"",VLOOKUP(E990,Sheet2!$B$1:$E$19,3,FALSE))</f>
        <v>1133738</v>
      </c>
      <c r="M990">
        <f>IF(LEN(TRIM(E990))=0,"",VLOOKUP(E990,Sheet2!$B$1:$E$19,4,FALSE))+(F990-1)</f>
        <v>3885694</v>
      </c>
    </row>
    <row r="991" spans="1:17" ht="15" customHeight="1" x14ac:dyDescent="0.25">
      <c r="A991" s="28" t="s">
        <v>64</v>
      </c>
      <c r="B991" s="28" t="s">
        <v>272</v>
      </c>
      <c r="C991" s="1">
        <v>1885</v>
      </c>
      <c r="D991" s="1" t="s">
        <v>454</v>
      </c>
      <c r="E991" s="1">
        <v>2172</v>
      </c>
      <c r="F991" s="28">
        <v>48</v>
      </c>
      <c r="G991" s="9">
        <v>47</v>
      </c>
      <c r="H991" s="1">
        <v>48</v>
      </c>
      <c r="I991" s="1">
        <v>49</v>
      </c>
      <c r="J991" t="str">
        <f t="shared" si="15"/>
        <v>http://www.badatelna.eu/reprodukce/?fondId=1073&amp;zaznamId=1108958&amp;reproId=3779789</v>
      </c>
      <c r="K991">
        <f>IF(LEN(TRIM(E991))=0,"",VLOOKUP(E991,Sheet2!$B$1:$E$19,2,FALSE))</f>
        <v>1073</v>
      </c>
      <c r="L991">
        <f>IF(LEN(TRIM(E991))=0,"",VLOOKUP(E991,Sheet2!$B$1:$E$19,3,FALSE))</f>
        <v>1108958</v>
      </c>
      <c r="M991">
        <f>IF(LEN(TRIM(E991))=0,"",VLOOKUP(E991,Sheet2!$B$1:$E$19,4,FALSE))+(F991-1)</f>
        <v>3779789</v>
      </c>
      <c r="N991" s="1"/>
      <c r="O991" s="1"/>
      <c r="P991" s="1"/>
      <c r="Q991" s="1"/>
    </row>
    <row r="992" spans="1:17" ht="15" customHeight="1" x14ac:dyDescent="0.25">
      <c r="A992" s="28" t="s">
        <v>64</v>
      </c>
      <c r="B992" s="28" t="s">
        <v>272</v>
      </c>
      <c r="C992" s="1">
        <v>1887</v>
      </c>
      <c r="D992" s="1" t="s">
        <v>454</v>
      </c>
      <c r="E992" s="1">
        <v>2172</v>
      </c>
      <c r="F992" s="28">
        <v>57</v>
      </c>
      <c r="G992" s="9">
        <v>58</v>
      </c>
      <c r="H992" s="1">
        <v>60</v>
      </c>
      <c r="I992" s="1">
        <v>61</v>
      </c>
      <c r="J992" t="str">
        <f t="shared" si="15"/>
        <v>http://www.badatelna.eu/reprodukce/?fondId=1073&amp;zaznamId=1108958&amp;reproId=3779798</v>
      </c>
      <c r="K992">
        <f>IF(LEN(TRIM(E992))=0,"",VLOOKUP(E992,Sheet2!$B$1:$E$19,2,FALSE))</f>
        <v>1073</v>
      </c>
      <c r="L992">
        <f>IF(LEN(TRIM(E992))=0,"",VLOOKUP(E992,Sheet2!$B$1:$E$19,3,FALSE))</f>
        <v>1108958</v>
      </c>
      <c r="M992">
        <f>IF(LEN(TRIM(E992))=0,"",VLOOKUP(E992,Sheet2!$B$1:$E$19,4,FALSE))+(F992-1)</f>
        <v>3779798</v>
      </c>
      <c r="N992" s="1"/>
      <c r="O992" s="1"/>
      <c r="P992" s="1"/>
      <c r="Q992" s="1"/>
    </row>
    <row r="993" spans="1:17" ht="15" customHeight="1" x14ac:dyDescent="0.25">
      <c r="A993" s="28" t="s">
        <v>64</v>
      </c>
      <c r="B993" s="28" t="s">
        <v>184</v>
      </c>
      <c r="C993" s="6" t="s">
        <v>2853</v>
      </c>
      <c r="D993" s="1" t="s">
        <v>454</v>
      </c>
      <c r="E993" s="1">
        <v>2173</v>
      </c>
      <c r="F993" s="28">
        <v>209</v>
      </c>
      <c r="G993" s="9" t="s">
        <v>2758</v>
      </c>
      <c r="H993" s="1" t="s">
        <v>3073</v>
      </c>
      <c r="I993" s="1" t="s">
        <v>3073</v>
      </c>
      <c r="J993" t="str">
        <f t="shared" si="15"/>
        <v>http://www.badatelna.eu/reprodukce/?fondId=1073&amp;zaznamId=1108959&amp;reproId=3780202</v>
      </c>
      <c r="K993">
        <f>IF(LEN(TRIM(E993))=0,"",VLOOKUP(E993,Sheet2!$B$1:$E$19,2,FALSE))</f>
        <v>1073</v>
      </c>
      <c r="L993">
        <f>IF(LEN(TRIM(E993))=0,"",VLOOKUP(E993,Sheet2!$B$1:$E$19,3,FALSE))</f>
        <v>1108959</v>
      </c>
      <c r="M993">
        <f>IF(LEN(TRIM(E993))=0,"",VLOOKUP(E993,Sheet2!$B$1:$E$19,4,FALSE))+(F993-1)</f>
        <v>3780202</v>
      </c>
      <c r="N993" s="1"/>
      <c r="O993" s="1"/>
      <c r="P993" s="1"/>
      <c r="Q993" s="1"/>
    </row>
    <row r="994" spans="1:17" ht="15" customHeight="1" x14ac:dyDescent="0.25">
      <c r="A994" s="28" t="s">
        <v>64</v>
      </c>
      <c r="B994" s="28" t="s">
        <v>184</v>
      </c>
      <c r="C994" s="6" t="s">
        <v>1514</v>
      </c>
      <c r="D994" s="1" t="s">
        <v>454</v>
      </c>
      <c r="E994" s="1">
        <v>2172</v>
      </c>
      <c r="F994" s="28">
        <v>11</v>
      </c>
      <c r="G994" s="9">
        <v>10</v>
      </c>
      <c r="H994" s="1" t="s">
        <v>3073</v>
      </c>
      <c r="I994" s="1" t="s">
        <v>3073</v>
      </c>
      <c r="J994" t="str">
        <f t="shared" si="15"/>
        <v>http://www.badatelna.eu/reprodukce/?fondId=1073&amp;zaznamId=1108958&amp;reproId=3779752</v>
      </c>
      <c r="K994">
        <f>IF(LEN(TRIM(E994))=0,"",VLOOKUP(E994,Sheet2!$B$1:$E$19,2,FALSE))</f>
        <v>1073</v>
      </c>
      <c r="L994">
        <f>IF(LEN(TRIM(E994))=0,"",VLOOKUP(E994,Sheet2!$B$1:$E$19,3,FALSE))</f>
        <v>1108958</v>
      </c>
      <c r="M994">
        <f>IF(LEN(TRIM(E994))=0,"",VLOOKUP(E994,Sheet2!$B$1:$E$19,4,FALSE))+(F994-1)</f>
        <v>3779752</v>
      </c>
      <c r="N994" s="1"/>
      <c r="O994" s="1"/>
      <c r="P994" s="1"/>
      <c r="Q994" s="1"/>
    </row>
    <row r="995" spans="1:17" ht="15" customHeight="1" x14ac:dyDescent="0.25">
      <c r="A995" s="28" t="s">
        <v>64</v>
      </c>
      <c r="B995" s="28" t="s">
        <v>645</v>
      </c>
      <c r="C995" s="1">
        <v>1858</v>
      </c>
      <c r="D995" s="1" t="s">
        <v>2919</v>
      </c>
      <c r="E995" s="1">
        <v>998</v>
      </c>
      <c r="F995" s="28">
        <v>54</v>
      </c>
      <c r="G995" s="1">
        <v>52</v>
      </c>
      <c r="H995" s="1">
        <v>69</v>
      </c>
      <c r="I995" s="1">
        <v>66</v>
      </c>
      <c r="J995" t="str">
        <f t="shared" si="15"/>
        <v>http://www.badatelna.eu/reprodukce/?fondId=241&amp;zaznamId=1133738&amp;reproId=3885700</v>
      </c>
      <c r="K995">
        <f>IF(LEN(TRIM(E995))=0,"",VLOOKUP(E995,Sheet2!$B$1:$E$19,2,FALSE))</f>
        <v>241</v>
      </c>
      <c r="L995">
        <f>IF(LEN(TRIM(E995))=0,"",VLOOKUP(E995,Sheet2!$B$1:$E$19,3,FALSE))</f>
        <v>1133738</v>
      </c>
      <c r="M995">
        <f>IF(LEN(TRIM(E995))=0,"",VLOOKUP(E995,Sheet2!$B$1:$E$19,4,FALSE))+(F995-1)</f>
        <v>3885700</v>
      </c>
      <c r="N995" s="1"/>
      <c r="O995" s="1"/>
      <c r="P995" s="1"/>
      <c r="Q995" s="1"/>
    </row>
    <row r="996" spans="1:17" ht="15" customHeight="1" x14ac:dyDescent="0.25">
      <c r="A996" s="28" t="s">
        <v>64</v>
      </c>
      <c r="B996" s="28" t="s">
        <v>880</v>
      </c>
      <c r="C996" s="1">
        <v>1885</v>
      </c>
      <c r="D996" s="1" t="s">
        <v>454</v>
      </c>
      <c r="E996" s="1">
        <v>2172</v>
      </c>
      <c r="F996" s="28">
        <v>48</v>
      </c>
      <c r="G996" s="9">
        <v>47</v>
      </c>
      <c r="H996" s="1">
        <v>48</v>
      </c>
      <c r="I996" s="1">
        <v>49</v>
      </c>
      <c r="J996" t="str">
        <f t="shared" si="15"/>
        <v>http://www.badatelna.eu/reprodukce/?fondId=1073&amp;zaznamId=1108958&amp;reproId=3779789</v>
      </c>
      <c r="K996">
        <f>IF(LEN(TRIM(E996))=0,"",VLOOKUP(E996,Sheet2!$B$1:$E$19,2,FALSE))</f>
        <v>1073</v>
      </c>
      <c r="L996">
        <f>IF(LEN(TRIM(E996))=0,"",VLOOKUP(E996,Sheet2!$B$1:$E$19,3,FALSE))</f>
        <v>1108958</v>
      </c>
      <c r="M996">
        <f>IF(LEN(TRIM(E996))=0,"",VLOOKUP(E996,Sheet2!$B$1:$E$19,4,FALSE))+(F996-1)</f>
        <v>3779789</v>
      </c>
      <c r="N996" s="1"/>
      <c r="O996" s="1"/>
      <c r="P996" s="1"/>
      <c r="Q996" s="1"/>
    </row>
    <row r="997" spans="1:17" ht="15" customHeight="1" x14ac:dyDescent="0.25">
      <c r="A997" s="28" t="s">
        <v>64</v>
      </c>
      <c r="B997" s="28" t="s">
        <v>881</v>
      </c>
      <c r="C997" s="6" t="s">
        <v>1739</v>
      </c>
      <c r="D997" s="1" t="s">
        <v>454</v>
      </c>
      <c r="E997" s="1">
        <v>2172</v>
      </c>
      <c r="F997" s="28">
        <v>130</v>
      </c>
      <c r="G997" s="9" t="s">
        <v>2781</v>
      </c>
      <c r="H997" s="1">
        <v>132</v>
      </c>
      <c r="I997" s="1">
        <v>131</v>
      </c>
      <c r="J997" t="str">
        <f t="shared" si="15"/>
        <v>http://www.badatelna.eu/reprodukce/?fondId=1073&amp;zaznamId=1108958&amp;reproId=3779871</v>
      </c>
      <c r="K997">
        <f>IF(LEN(TRIM(E997))=0,"",VLOOKUP(E997,Sheet2!$B$1:$E$19,2,FALSE))</f>
        <v>1073</v>
      </c>
      <c r="L997">
        <f>IF(LEN(TRIM(E997))=0,"",VLOOKUP(E997,Sheet2!$B$1:$E$19,3,FALSE))</f>
        <v>1108958</v>
      </c>
      <c r="M997">
        <f>IF(LEN(TRIM(E997))=0,"",VLOOKUP(E997,Sheet2!$B$1:$E$19,4,FALSE))+(F997-1)</f>
        <v>3779871</v>
      </c>
      <c r="N997" s="1"/>
      <c r="O997" s="1"/>
      <c r="P997" s="1"/>
      <c r="Q997" s="1"/>
    </row>
    <row r="998" spans="1:17" ht="15" customHeight="1" x14ac:dyDescent="0.25">
      <c r="A998" s="28" t="s">
        <v>64</v>
      </c>
      <c r="B998" s="28" t="s">
        <v>672</v>
      </c>
      <c r="C998" s="1">
        <v>1886</v>
      </c>
      <c r="D998" s="1" t="s">
        <v>454</v>
      </c>
      <c r="E998" s="1">
        <v>2172</v>
      </c>
      <c r="F998" s="28">
        <v>51</v>
      </c>
      <c r="G998" s="9">
        <v>52</v>
      </c>
      <c r="H998" s="1">
        <v>54</v>
      </c>
      <c r="I998" s="1">
        <v>55</v>
      </c>
      <c r="J998" t="str">
        <f t="shared" si="15"/>
        <v>http://www.badatelna.eu/reprodukce/?fondId=1073&amp;zaznamId=1108958&amp;reproId=3779792</v>
      </c>
      <c r="K998">
        <f>IF(LEN(TRIM(E998))=0,"",VLOOKUP(E998,Sheet2!$B$1:$E$19,2,FALSE))</f>
        <v>1073</v>
      </c>
      <c r="L998">
        <f>IF(LEN(TRIM(E998))=0,"",VLOOKUP(E998,Sheet2!$B$1:$E$19,3,FALSE))</f>
        <v>1108958</v>
      </c>
      <c r="M998">
        <f>IF(LEN(TRIM(E998))=0,"",VLOOKUP(E998,Sheet2!$B$1:$E$19,4,FALSE))+(F998-1)</f>
        <v>3779792</v>
      </c>
      <c r="N998" s="1"/>
      <c r="O998" s="1"/>
      <c r="P998" s="1"/>
      <c r="Q998" s="1"/>
    </row>
    <row r="999" spans="1:17" ht="15" customHeight="1" x14ac:dyDescent="0.25">
      <c r="A999" s="28" t="s">
        <v>64</v>
      </c>
      <c r="B999" s="28"/>
      <c r="C999" s="6" t="s">
        <v>2061</v>
      </c>
      <c r="D999" s="1" t="s">
        <v>454</v>
      </c>
      <c r="E999" s="1">
        <v>2173</v>
      </c>
      <c r="F999" s="28">
        <v>182</v>
      </c>
      <c r="G999" s="9">
        <v>11</v>
      </c>
      <c r="H999" s="1">
        <v>188</v>
      </c>
      <c r="I999" s="1">
        <v>418</v>
      </c>
      <c r="J999" t="str">
        <f t="shared" si="15"/>
        <v>http://www.badatelna.eu/reprodukce/?fondId=1073&amp;zaznamId=1108959&amp;reproId=3780175</v>
      </c>
      <c r="K999">
        <f>IF(LEN(TRIM(E999))=0,"",VLOOKUP(E999,Sheet2!$B$1:$E$19,2,FALSE))</f>
        <v>1073</v>
      </c>
      <c r="L999">
        <f>IF(LEN(TRIM(E999))=0,"",VLOOKUP(E999,Sheet2!$B$1:$E$19,3,FALSE))</f>
        <v>1108959</v>
      </c>
      <c r="M999">
        <f>IF(LEN(TRIM(E999))=0,"",VLOOKUP(E999,Sheet2!$B$1:$E$19,4,FALSE))+(F999-1)</f>
        <v>3780175</v>
      </c>
    </row>
    <row r="1000" spans="1:17" ht="15" customHeight="1" x14ac:dyDescent="0.25">
      <c r="A1000" s="28" t="s">
        <v>882</v>
      </c>
      <c r="B1000" s="28" t="s">
        <v>843</v>
      </c>
      <c r="C1000" s="6" t="s">
        <v>1941</v>
      </c>
      <c r="D1000" s="1" t="s">
        <v>454</v>
      </c>
      <c r="E1000" s="1">
        <v>2172</v>
      </c>
      <c r="F1000" s="28">
        <v>223</v>
      </c>
      <c r="G1000" s="9">
        <v>204</v>
      </c>
      <c r="H1000" s="1" t="s">
        <v>3073</v>
      </c>
      <c r="I1000" s="1" t="s">
        <v>3073</v>
      </c>
      <c r="J1000" t="str">
        <f t="shared" si="15"/>
        <v>http://www.badatelna.eu/reprodukce/?fondId=1073&amp;zaznamId=1108958&amp;reproId=3779964</v>
      </c>
      <c r="K1000">
        <f>IF(LEN(TRIM(E1000))=0,"",VLOOKUP(E1000,Sheet2!$B$1:$E$19,2,FALSE))</f>
        <v>1073</v>
      </c>
      <c r="L1000">
        <f>IF(LEN(TRIM(E1000))=0,"",VLOOKUP(E1000,Sheet2!$B$1:$E$19,3,FALSE))</f>
        <v>1108958</v>
      </c>
      <c r="M1000">
        <f>IF(LEN(TRIM(E1000))=0,"",VLOOKUP(E1000,Sheet2!$B$1:$E$19,4,FALSE))+(F1000-1)</f>
        <v>3779964</v>
      </c>
      <c r="N1000" s="1"/>
      <c r="O1000" s="1"/>
      <c r="P1000" s="1"/>
      <c r="Q1000" s="1"/>
    </row>
    <row r="1001" spans="1:17" ht="15" customHeight="1" x14ac:dyDescent="0.25">
      <c r="A1001" s="27" t="s">
        <v>540</v>
      </c>
      <c r="B1001" s="27" t="s">
        <v>343</v>
      </c>
      <c r="C1001" s="5" t="s">
        <v>1190</v>
      </c>
      <c r="D1001" s="3" t="s">
        <v>454</v>
      </c>
      <c r="E1001" s="3">
        <v>2170</v>
      </c>
      <c r="F1001" s="28">
        <v>5</v>
      </c>
      <c r="G1001" s="10">
        <v>1</v>
      </c>
      <c r="H1001" s="3">
        <v>62</v>
      </c>
      <c r="I1001" s="3">
        <v>58</v>
      </c>
      <c r="J1001" t="str">
        <f t="shared" si="15"/>
        <v>http://www.badatelna.eu/reprodukce/?fondId=1073&amp;zaznamId=1108956&amp;reproId=3779597</v>
      </c>
      <c r="K1001">
        <f>IF(LEN(TRIM(E1001))=0,"",VLOOKUP(E1001,Sheet2!$B$1:$E$19,2,FALSE))</f>
        <v>1073</v>
      </c>
      <c r="L1001">
        <f>IF(LEN(TRIM(E1001))=0,"",VLOOKUP(E1001,Sheet2!$B$1:$E$19,3,FALSE))</f>
        <v>1108956</v>
      </c>
      <c r="M1001">
        <f>IF(LEN(TRIM(E1001))=0,"",VLOOKUP(E1001,Sheet2!$B$1:$E$19,4,FALSE))+(F1001-1)</f>
        <v>3779597</v>
      </c>
      <c r="N1001" s="1"/>
      <c r="O1001" s="1"/>
      <c r="P1001" s="1"/>
      <c r="Q1001" s="1"/>
    </row>
    <row r="1002" spans="1:17" ht="15" customHeight="1" x14ac:dyDescent="0.25">
      <c r="A1002" s="28" t="s">
        <v>540</v>
      </c>
      <c r="B1002" s="28" t="s">
        <v>328</v>
      </c>
      <c r="C1002" s="1">
        <v>1862</v>
      </c>
      <c r="D1002" s="1" t="s">
        <v>2919</v>
      </c>
      <c r="E1002" s="1">
        <v>999</v>
      </c>
      <c r="F1002" s="28">
        <v>81</v>
      </c>
      <c r="G1002" s="1">
        <v>2</v>
      </c>
      <c r="H1002" s="1">
        <v>100</v>
      </c>
      <c r="I1002" s="1">
        <v>159</v>
      </c>
      <c r="J1002" t="str">
        <f t="shared" si="15"/>
        <v>http://www.badatelna.eu/reprodukce/?fondId=241&amp;zaznamId=1133739&amp;reproId=3885810</v>
      </c>
      <c r="K1002">
        <f>IF(LEN(TRIM(E1002))=0,"",VLOOKUP(E1002,Sheet2!$B$1:$E$19,2,FALSE))</f>
        <v>241</v>
      </c>
      <c r="L1002">
        <f>IF(LEN(TRIM(E1002))=0,"",VLOOKUP(E1002,Sheet2!$B$1:$E$19,3,FALSE))</f>
        <v>1133739</v>
      </c>
      <c r="M1002">
        <f>IF(LEN(TRIM(E1002))=0,"",VLOOKUP(E1002,Sheet2!$B$1:$E$19,4,FALSE))+(F1002-1)</f>
        <v>3885810</v>
      </c>
    </row>
    <row r="1003" spans="1:17" ht="15" customHeight="1" x14ac:dyDescent="0.25">
      <c r="A1003" s="28" t="s">
        <v>183</v>
      </c>
      <c r="B1003" s="28" t="s">
        <v>52</v>
      </c>
      <c r="C1003" s="6" t="s">
        <v>2448</v>
      </c>
      <c r="D1003" s="1" t="s">
        <v>454</v>
      </c>
      <c r="E1003" s="1">
        <v>2173</v>
      </c>
      <c r="F1003" s="28">
        <v>204</v>
      </c>
      <c r="G1003" s="1">
        <v>18</v>
      </c>
      <c r="H1003" s="1" t="s">
        <v>3073</v>
      </c>
      <c r="I1003" s="1" t="s">
        <v>3073</v>
      </c>
      <c r="J1003" t="str">
        <f t="shared" si="15"/>
        <v>http://www.badatelna.eu/reprodukce/?fondId=1073&amp;zaznamId=1108959&amp;reproId=3780197</v>
      </c>
      <c r="K1003">
        <f>IF(LEN(TRIM(E1003))=0,"",VLOOKUP(E1003,Sheet2!$B$1:$E$19,2,FALSE))</f>
        <v>1073</v>
      </c>
      <c r="L1003">
        <f>IF(LEN(TRIM(E1003))=0,"",VLOOKUP(E1003,Sheet2!$B$1:$E$19,3,FALSE))</f>
        <v>1108959</v>
      </c>
      <c r="M1003">
        <f>IF(LEN(TRIM(E1003))=0,"",VLOOKUP(E1003,Sheet2!$B$1:$E$19,4,FALSE))+(F1003-1)</f>
        <v>3780197</v>
      </c>
      <c r="N1003" s="1"/>
      <c r="O1003" s="1"/>
      <c r="P1003" s="1"/>
      <c r="Q1003" s="1"/>
    </row>
    <row r="1004" spans="1:17" ht="15" customHeight="1" x14ac:dyDescent="0.25">
      <c r="A1004" s="28" t="s">
        <v>183</v>
      </c>
      <c r="B1004" s="28" t="s">
        <v>60</v>
      </c>
      <c r="C1004" s="6" t="s">
        <v>2534</v>
      </c>
      <c r="D1004" s="1" t="s">
        <v>454</v>
      </c>
      <c r="E1004" s="1">
        <v>2173</v>
      </c>
      <c r="F1004" s="28">
        <v>207</v>
      </c>
      <c r="G1004" s="1">
        <v>24</v>
      </c>
      <c r="H1004" s="1" t="s">
        <v>3073</v>
      </c>
      <c r="I1004" s="1" t="s">
        <v>3073</v>
      </c>
      <c r="J1004" t="str">
        <f t="shared" si="15"/>
        <v>http://www.badatelna.eu/reprodukce/?fondId=1073&amp;zaznamId=1108959&amp;reproId=3780200</v>
      </c>
      <c r="K1004">
        <f>IF(LEN(TRIM(E1004))=0,"",VLOOKUP(E1004,Sheet2!$B$1:$E$19,2,FALSE))</f>
        <v>1073</v>
      </c>
      <c r="L1004">
        <f>IF(LEN(TRIM(E1004))=0,"",VLOOKUP(E1004,Sheet2!$B$1:$E$19,3,FALSE))</f>
        <v>1108959</v>
      </c>
      <c r="M1004">
        <f>IF(LEN(TRIM(E1004))=0,"",VLOOKUP(E1004,Sheet2!$B$1:$E$19,4,FALSE))+(F1004-1)</f>
        <v>3780200</v>
      </c>
    </row>
    <row r="1005" spans="1:17" ht="15" customHeight="1" x14ac:dyDescent="0.25">
      <c r="A1005" s="28" t="s">
        <v>84</v>
      </c>
      <c r="B1005" s="28" t="s">
        <v>83</v>
      </c>
      <c r="C1005" s="6" t="s">
        <v>2256</v>
      </c>
      <c r="D1005" s="1" t="s">
        <v>454</v>
      </c>
      <c r="E1005" s="1">
        <v>2173</v>
      </c>
      <c r="F1005" s="31">
        <v>197</v>
      </c>
      <c r="G1005" s="12">
        <v>4</v>
      </c>
      <c r="H1005" s="1" t="s">
        <v>3073</v>
      </c>
      <c r="I1005" s="1" t="s">
        <v>3073</v>
      </c>
      <c r="J1005" t="str">
        <f t="shared" si="15"/>
        <v>http://www.badatelna.eu/reprodukce/?fondId=1073&amp;zaznamId=1108959&amp;reproId=3780190</v>
      </c>
      <c r="K1005">
        <f>IF(LEN(TRIM(E1005))=0,"",VLOOKUP(E1005,Sheet2!$B$1:$E$19,2,FALSE))</f>
        <v>1073</v>
      </c>
      <c r="L1005">
        <f>IF(LEN(TRIM(E1005))=0,"",VLOOKUP(E1005,Sheet2!$B$1:$E$19,3,FALSE))</f>
        <v>1108959</v>
      </c>
      <c r="M1005">
        <f>IF(LEN(TRIM(E1005))=0,"",VLOOKUP(E1005,Sheet2!$B$1:$E$19,4,FALSE))+(F1005-1)</f>
        <v>3780190</v>
      </c>
      <c r="N1005" s="1"/>
      <c r="O1005" s="1"/>
      <c r="P1005" s="1"/>
      <c r="Q1005" s="1"/>
    </row>
    <row r="1006" spans="1:17" ht="15" customHeight="1" x14ac:dyDescent="0.25">
      <c r="A1006" s="28" t="s">
        <v>84</v>
      </c>
      <c r="B1006" s="29" t="s">
        <v>2801</v>
      </c>
      <c r="C1006" s="6" t="s">
        <v>2292</v>
      </c>
      <c r="D1006" s="1" t="s">
        <v>454</v>
      </c>
      <c r="E1006" s="1">
        <v>2173</v>
      </c>
      <c r="F1006" s="28">
        <v>198</v>
      </c>
      <c r="G1006" s="9">
        <v>6</v>
      </c>
      <c r="H1006" s="1" t="s">
        <v>3073</v>
      </c>
      <c r="I1006" s="1" t="s">
        <v>3073</v>
      </c>
      <c r="J1006" t="str">
        <f t="shared" si="15"/>
        <v>http://www.badatelna.eu/reprodukce/?fondId=1073&amp;zaznamId=1108959&amp;reproId=3780191</v>
      </c>
      <c r="K1006">
        <f>IF(LEN(TRIM(E1006))=0,"",VLOOKUP(E1006,Sheet2!$B$1:$E$19,2,FALSE))</f>
        <v>1073</v>
      </c>
      <c r="L1006">
        <f>IF(LEN(TRIM(E1006))=0,"",VLOOKUP(E1006,Sheet2!$B$1:$E$19,3,FALSE))</f>
        <v>1108959</v>
      </c>
      <c r="M1006">
        <f>IF(LEN(TRIM(E1006))=0,"",VLOOKUP(E1006,Sheet2!$B$1:$E$19,4,FALSE))+(F1006-1)</f>
        <v>3780191</v>
      </c>
      <c r="N1006" s="1"/>
      <c r="O1006" s="1"/>
      <c r="P1006" s="1"/>
      <c r="Q1006" s="1"/>
    </row>
    <row r="1007" spans="1:17" ht="15" customHeight="1" x14ac:dyDescent="0.25">
      <c r="A1007" s="28" t="s">
        <v>84</v>
      </c>
      <c r="B1007" s="28" t="s">
        <v>40</v>
      </c>
      <c r="C1007" s="6" t="s">
        <v>2062</v>
      </c>
      <c r="D1007" s="1" t="s">
        <v>454</v>
      </c>
      <c r="E1007" s="1">
        <v>2173</v>
      </c>
      <c r="F1007" s="28">
        <v>181</v>
      </c>
      <c r="G1007" s="9">
        <v>8</v>
      </c>
      <c r="H1007" s="1">
        <v>188</v>
      </c>
      <c r="I1007" s="1">
        <v>418</v>
      </c>
      <c r="J1007" t="str">
        <f t="shared" si="15"/>
        <v>http://www.badatelna.eu/reprodukce/?fondId=1073&amp;zaznamId=1108959&amp;reproId=3780174</v>
      </c>
      <c r="K1007">
        <f>IF(LEN(TRIM(E1007))=0,"",VLOOKUP(E1007,Sheet2!$B$1:$E$19,2,FALSE))</f>
        <v>1073</v>
      </c>
      <c r="L1007">
        <f>IF(LEN(TRIM(E1007))=0,"",VLOOKUP(E1007,Sheet2!$B$1:$E$19,3,FALSE))</f>
        <v>1108959</v>
      </c>
      <c r="M1007">
        <f>IF(LEN(TRIM(E1007))=0,"",VLOOKUP(E1007,Sheet2!$B$1:$E$19,4,FALSE))+(F1007-1)</f>
        <v>3780174</v>
      </c>
      <c r="N1007" s="1"/>
      <c r="O1007" s="1"/>
      <c r="P1007" s="1"/>
      <c r="Q1007" s="1"/>
    </row>
    <row r="1008" spans="1:17" ht="15" customHeight="1" x14ac:dyDescent="0.25">
      <c r="A1008" s="29" t="s">
        <v>84</v>
      </c>
      <c r="B1008" s="28" t="s">
        <v>25</v>
      </c>
      <c r="C1008" s="6" t="s">
        <v>2559</v>
      </c>
      <c r="D1008" s="1" t="s">
        <v>454</v>
      </c>
      <c r="E1008" s="1">
        <v>2173</v>
      </c>
      <c r="F1008" s="28">
        <v>208</v>
      </c>
      <c r="G1008" s="1">
        <v>25</v>
      </c>
      <c r="H1008" s="1" t="s">
        <v>3073</v>
      </c>
      <c r="I1008" s="1" t="s">
        <v>3073</v>
      </c>
      <c r="J1008" t="str">
        <f t="shared" si="15"/>
        <v>http://www.badatelna.eu/reprodukce/?fondId=1073&amp;zaznamId=1108959&amp;reproId=3780201</v>
      </c>
      <c r="K1008">
        <f>IF(LEN(TRIM(E1008))=0,"",VLOOKUP(E1008,Sheet2!$B$1:$E$19,2,FALSE))</f>
        <v>1073</v>
      </c>
      <c r="L1008">
        <f>IF(LEN(TRIM(E1008))=0,"",VLOOKUP(E1008,Sheet2!$B$1:$E$19,3,FALSE))</f>
        <v>1108959</v>
      </c>
      <c r="M1008">
        <f>IF(LEN(TRIM(E1008))=0,"",VLOOKUP(E1008,Sheet2!$B$1:$E$19,4,FALSE))+(F1008-1)</f>
        <v>3780201</v>
      </c>
      <c r="N1008" s="1"/>
      <c r="O1008" s="1"/>
      <c r="P1008" s="1"/>
      <c r="Q1008" s="1"/>
    </row>
    <row r="1009" spans="1:17" ht="15" customHeight="1" x14ac:dyDescent="0.25">
      <c r="A1009" s="28" t="s">
        <v>84</v>
      </c>
      <c r="B1009" s="28" t="s">
        <v>16</v>
      </c>
      <c r="C1009" s="6" t="s">
        <v>175</v>
      </c>
      <c r="D1009" s="1" t="s">
        <v>454</v>
      </c>
      <c r="E1009" s="1">
        <v>2173</v>
      </c>
      <c r="F1009" s="28">
        <v>203</v>
      </c>
      <c r="G1009" s="1">
        <v>15</v>
      </c>
      <c r="H1009" s="1" t="s">
        <v>3073</v>
      </c>
      <c r="I1009" s="1" t="s">
        <v>3073</v>
      </c>
      <c r="J1009" t="str">
        <f t="shared" si="15"/>
        <v>http://www.badatelna.eu/reprodukce/?fondId=1073&amp;zaznamId=1108959&amp;reproId=3780196</v>
      </c>
      <c r="K1009">
        <f>IF(LEN(TRIM(E1009))=0,"",VLOOKUP(E1009,Sheet2!$B$1:$E$19,2,FALSE))</f>
        <v>1073</v>
      </c>
      <c r="L1009">
        <f>IF(LEN(TRIM(E1009))=0,"",VLOOKUP(E1009,Sheet2!$B$1:$E$19,3,FALSE))</f>
        <v>1108959</v>
      </c>
      <c r="M1009">
        <f>IF(LEN(TRIM(E1009))=0,"",VLOOKUP(E1009,Sheet2!$B$1:$E$19,4,FALSE))+(F1009-1)</f>
        <v>3780196</v>
      </c>
      <c r="N1009" s="1"/>
      <c r="O1009" s="1"/>
      <c r="P1009" s="1"/>
      <c r="Q1009" s="1"/>
    </row>
    <row r="1010" spans="1:17" ht="15" customHeight="1" x14ac:dyDescent="0.25">
      <c r="A1010" s="27" t="s">
        <v>541</v>
      </c>
      <c r="B1010" s="27" t="s">
        <v>274</v>
      </c>
      <c r="C1010" s="5" t="s">
        <v>1191</v>
      </c>
      <c r="D1010" s="3" t="s">
        <v>454</v>
      </c>
      <c r="E1010" s="3">
        <v>2170</v>
      </c>
      <c r="F1010" s="31">
        <v>8</v>
      </c>
      <c r="G1010" s="10">
        <v>4</v>
      </c>
      <c r="H1010" s="3">
        <v>62</v>
      </c>
      <c r="I1010" s="3">
        <v>58</v>
      </c>
      <c r="J1010" t="str">
        <f t="shared" si="15"/>
        <v>http://www.badatelna.eu/reprodukce/?fondId=1073&amp;zaznamId=1108956&amp;reproId=3779600</v>
      </c>
      <c r="K1010">
        <f>IF(LEN(TRIM(E1010))=0,"",VLOOKUP(E1010,Sheet2!$B$1:$E$19,2,FALSE))</f>
        <v>1073</v>
      </c>
      <c r="L1010">
        <f>IF(LEN(TRIM(E1010))=0,"",VLOOKUP(E1010,Sheet2!$B$1:$E$19,3,FALSE))</f>
        <v>1108956</v>
      </c>
      <c r="M1010">
        <f>IF(LEN(TRIM(E1010))=0,"",VLOOKUP(E1010,Sheet2!$B$1:$E$19,4,FALSE))+(F1010-1)</f>
        <v>3779600</v>
      </c>
      <c r="N1010" s="1"/>
      <c r="O1010" s="1"/>
      <c r="P1010" s="1"/>
      <c r="Q1010" s="1"/>
    </row>
    <row r="1011" spans="1:17" ht="15" customHeight="1" x14ac:dyDescent="0.25">
      <c r="A1011" s="28" t="s">
        <v>434</v>
      </c>
      <c r="B1011" s="28" t="s">
        <v>562</v>
      </c>
      <c r="C1011" s="1">
        <v>1847</v>
      </c>
      <c r="D1011" s="1" t="s">
        <v>2919</v>
      </c>
      <c r="E1011" s="1">
        <v>998</v>
      </c>
      <c r="F1011" s="28">
        <v>9</v>
      </c>
      <c r="G1011" s="1">
        <v>7</v>
      </c>
      <c r="H1011" s="1">
        <v>69</v>
      </c>
      <c r="I1011" s="1">
        <v>66</v>
      </c>
      <c r="J1011" t="str">
        <f t="shared" si="15"/>
        <v>http://www.badatelna.eu/reprodukce/?fondId=241&amp;zaznamId=1133738&amp;reproId=3885655</v>
      </c>
      <c r="K1011">
        <f>IF(LEN(TRIM(E1011))=0,"",VLOOKUP(E1011,Sheet2!$B$1:$E$19,2,FALSE))</f>
        <v>241</v>
      </c>
      <c r="L1011">
        <f>IF(LEN(TRIM(E1011))=0,"",VLOOKUP(E1011,Sheet2!$B$1:$E$19,3,FALSE))</f>
        <v>1133738</v>
      </c>
      <c r="M1011">
        <f>IF(LEN(TRIM(E1011))=0,"",VLOOKUP(E1011,Sheet2!$B$1:$E$19,4,FALSE))+(F1011-1)</f>
        <v>3885655</v>
      </c>
    </row>
    <row r="1012" spans="1:17" ht="15" customHeight="1" x14ac:dyDescent="0.25">
      <c r="A1012" s="28" t="s">
        <v>434</v>
      </c>
      <c r="B1012" s="28" t="s">
        <v>274</v>
      </c>
      <c r="C1012" s="1">
        <v>1863</v>
      </c>
      <c r="D1012" s="1" t="s">
        <v>2919</v>
      </c>
      <c r="E1012" s="1">
        <v>999</v>
      </c>
      <c r="F1012" s="28">
        <v>83</v>
      </c>
      <c r="G1012" s="1">
        <v>4</v>
      </c>
      <c r="H1012" s="1">
        <v>100</v>
      </c>
      <c r="I1012" s="1">
        <v>159</v>
      </c>
      <c r="J1012" t="str">
        <f t="shared" si="15"/>
        <v>http://www.badatelna.eu/reprodukce/?fondId=241&amp;zaznamId=1133739&amp;reproId=3885812</v>
      </c>
      <c r="K1012">
        <f>IF(LEN(TRIM(E1012))=0,"",VLOOKUP(E1012,Sheet2!$B$1:$E$19,2,FALSE))</f>
        <v>241</v>
      </c>
      <c r="L1012">
        <f>IF(LEN(TRIM(E1012))=0,"",VLOOKUP(E1012,Sheet2!$B$1:$E$19,3,FALSE))</f>
        <v>1133739</v>
      </c>
      <c r="M1012">
        <f>IF(LEN(TRIM(E1012))=0,"",VLOOKUP(E1012,Sheet2!$B$1:$E$19,4,FALSE))+(F1012-1)</f>
        <v>3885812</v>
      </c>
      <c r="N1012" s="1"/>
      <c r="O1012" s="1"/>
      <c r="P1012" s="1"/>
      <c r="Q1012" s="1"/>
    </row>
    <row r="1013" spans="1:17" ht="15" customHeight="1" x14ac:dyDescent="0.25">
      <c r="A1013" s="27" t="s">
        <v>434</v>
      </c>
      <c r="B1013" s="27" t="s">
        <v>60</v>
      </c>
      <c r="C1013" s="5" t="s">
        <v>1192</v>
      </c>
      <c r="D1013" s="3" t="s">
        <v>454</v>
      </c>
      <c r="E1013" s="3">
        <v>2170</v>
      </c>
      <c r="F1013" s="28">
        <v>56</v>
      </c>
      <c r="G1013" s="10">
        <v>52</v>
      </c>
      <c r="H1013" s="3">
        <v>62</v>
      </c>
      <c r="I1013" s="3">
        <v>58</v>
      </c>
      <c r="J1013" t="str">
        <f t="shared" si="15"/>
        <v>http://www.badatelna.eu/reprodukce/?fondId=1073&amp;zaznamId=1108956&amp;reproId=3779648</v>
      </c>
      <c r="K1013">
        <f>IF(LEN(TRIM(E1013))=0,"",VLOOKUP(E1013,Sheet2!$B$1:$E$19,2,FALSE))</f>
        <v>1073</v>
      </c>
      <c r="L1013">
        <f>IF(LEN(TRIM(E1013))=0,"",VLOOKUP(E1013,Sheet2!$B$1:$E$19,3,FALSE))</f>
        <v>1108956</v>
      </c>
      <c r="M1013">
        <f>IF(LEN(TRIM(E1013))=0,"",VLOOKUP(E1013,Sheet2!$B$1:$E$19,4,FALSE))+(F1013-1)</f>
        <v>3779648</v>
      </c>
      <c r="N1013" s="1"/>
      <c r="O1013" s="1"/>
      <c r="P1013" s="1"/>
      <c r="Q1013" s="1"/>
    </row>
    <row r="1014" spans="1:17" ht="15" customHeight="1" x14ac:dyDescent="0.25">
      <c r="A1014" s="28" t="s">
        <v>434</v>
      </c>
      <c r="B1014" s="28" t="s">
        <v>883</v>
      </c>
      <c r="C1014" s="6" t="s">
        <v>1593</v>
      </c>
      <c r="D1014" s="1" t="s">
        <v>454</v>
      </c>
      <c r="E1014" s="1">
        <v>2172</v>
      </c>
      <c r="F1014" s="28">
        <v>65</v>
      </c>
      <c r="G1014" s="9">
        <v>64</v>
      </c>
      <c r="H1014" s="1" t="s">
        <v>3073</v>
      </c>
      <c r="I1014" s="1" t="s">
        <v>3073</v>
      </c>
      <c r="J1014" t="str">
        <f t="shared" si="15"/>
        <v>http://www.badatelna.eu/reprodukce/?fondId=1073&amp;zaznamId=1108958&amp;reproId=3779806</v>
      </c>
      <c r="K1014">
        <f>IF(LEN(TRIM(E1014))=0,"",VLOOKUP(E1014,Sheet2!$B$1:$E$19,2,FALSE))</f>
        <v>1073</v>
      </c>
      <c r="L1014">
        <f>IF(LEN(TRIM(E1014))=0,"",VLOOKUP(E1014,Sheet2!$B$1:$E$19,3,FALSE))</f>
        <v>1108958</v>
      </c>
      <c r="M1014">
        <f>IF(LEN(TRIM(E1014))=0,"",VLOOKUP(E1014,Sheet2!$B$1:$E$19,4,FALSE))+(F1014-1)</f>
        <v>3779806</v>
      </c>
      <c r="N1014" s="1"/>
      <c r="O1014" s="1"/>
      <c r="P1014" s="1"/>
      <c r="Q1014" s="1"/>
    </row>
    <row r="1015" spans="1:17" ht="15" customHeight="1" x14ac:dyDescent="0.25">
      <c r="A1015" s="28" t="s">
        <v>80</v>
      </c>
      <c r="B1015" s="28" t="s">
        <v>40</v>
      </c>
      <c r="C1015" s="6" t="s">
        <v>2316</v>
      </c>
      <c r="D1015" s="1" t="s">
        <v>454</v>
      </c>
      <c r="E1015" s="1">
        <v>2173</v>
      </c>
      <c r="F1015" s="31">
        <v>199</v>
      </c>
      <c r="G1015" s="9">
        <v>7</v>
      </c>
      <c r="H1015" s="1" t="s">
        <v>3073</v>
      </c>
      <c r="I1015" s="1" t="s">
        <v>3073</v>
      </c>
      <c r="J1015" t="str">
        <f t="shared" si="15"/>
        <v>http://www.badatelna.eu/reprodukce/?fondId=1073&amp;zaznamId=1108959&amp;reproId=3780192</v>
      </c>
      <c r="K1015">
        <f>IF(LEN(TRIM(E1015))=0,"",VLOOKUP(E1015,Sheet2!$B$1:$E$19,2,FALSE))</f>
        <v>1073</v>
      </c>
      <c r="L1015">
        <f>IF(LEN(TRIM(E1015))=0,"",VLOOKUP(E1015,Sheet2!$B$1:$E$19,3,FALSE))</f>
        <v>1108959</v>
      </c>
      <c r="M1015">
        <f>IF(LEN(TRIM(E1015))=0,"",VLOOKUP(E1015,Sheet2!$B$1:$E$19,4,FALSE))+(F1015-1)</f>
        <v>3780192</v>
      </c>
    </row>
    <row r="1016" spans="1:17" ht="15" customHeight="1" x14ac:dyDescent="0.25">
      <c r="A1016" s="28" t="s">
        <v>45</v>
      </c>
      <c r="B1016" s="28" t="s">
        <v>234</v>
      </c>
      <c r="C1016" s="15">
        <v>9689</v>
      </c>
      <c r="D1016" s="1" t="s">
        <v>454</v>
      </c>
      <c r="E1016" s="1">
        <v>2172</v>
      </c>
      <c r="F1016" s="28">
        <v>209</v>
      </c>
      <c r="G1016" s="9">
        <v>193</v>
      </c>
      <c r="H1016" s="1" t="s">
        <v>3073</v>
      </c>
      <c r="I1016" s="1" t="s">
        <v>3073</v>
      </c>
      <c r="J1016" t="str">
        <f t="shared" si="15"/>
        <v>http://www.badatelna.eu/reprodukce/?fondId=1073&amp;zaznamId=1108958&amp;reproId=3779950</v>
      </c>
      <c r="K1016">
        <f>IF(LEN(TRIM(E1016))=0,"",VLOOKUP(E1016,Sheet2!$B$1:$E$19,2,FALSE))</f>
        <v>1073</v>
      </c>
      <c r="L1016">
        <f>IF(LEN(TRIM(E1016))=0,"",VLOOKUP(E1016,Sheet2!$B$1:$E$19,3,FALSE))</f>
        <v>1108958</v>
      </c>
      <c r="M1016">
        <f>IF(LEN(TRIM(E1016))=0,"",VLOOKUP(E1016,Sheet2!$B$1:$E$19,4,FALSE))+(F1016-1)</f>
        <v>3779950</v>
      </c>
      <c r="N1016" s="1"/>
      <c r="O1016" s="1"/>
      <c r="P1016" s="1"/>
      <c r="Q1016" s="1"/>
    </row>
    <row r="1017" spans="1:17" ht="15" customHeight="1" x14ac:dyDescent="0.25">
      <c r="A1017" s="28" t="s">
        <v>45</v>
      </c>
      <c r="B1017" s="28" t="s">
        <v>13</v>
      </c>
      <c r="C1017" s="15">
        <v>3658</v>
      </c>
      <c r="D1017" s="1" t="s">
        <v>454</v>
      </c>
      <c r="E1017" s="1">
        <v>2172</v>
      </c>
      <c r="F1017" s="28">
        <v>176</v>
      </c>
      <c r="G1017" s="9">
        <v>169</v>
      </c>
      <c r="H1017" s="1" t="s">
        <v>3073</v>
      </c>
      <c r="I1017" s="1" t="s">
        <v>3073</v>
      </c>
      <c r="J1017" t="str">
        <f t="shared" si="15"/>
        <v>http://www.badatelna.eu/reprodukce/?fondId=1073&amp;zaznamId=1108958&amp;reproId=3779917</v>
      </c>
      <c r="K1017">
        <f>IF(LEN(TRIM(E1017))=0,"",VLOOKUP(E1017,Sheet2!$B$1:$E$19,2,FALSE))</f>
        <v>1073</v>
      </c>
      <c r="L1017">
        <f>IF(LEN(TRIM(E1017))=0,"",VLOOKUP(E1017,Sheet2!$B$1:$E$19,3,FALSE))</f>
        <v>1108958</v>
      </c>
      <c r="M1017">
        <f>IF(LEN(TRIM(E1017))=0,"",VLOOKUP(E1017,Sheet2!$B$1:$E$19,4,FALSE))+(F1017-1)</f>
        <v>3779917</v>
      </c>
      <c r="N1017" s="1"/>
      <c r="O1017" s="1"/>
      <c r="P1017" s="1"/>
      <c r="Q1017" s="1"/>
    </row>
    <row r="1018" spans="1:17" ht="15" customHeight="1" x14ac:dyDescent="0.25">
      <c r="A1018" s="28" t="s">
        <v>884</v>
      </c>
      <c r="B1018" s="28" t="s">
        <v>675</v>
      </c>
      <c r="C1018" s="6" t="s">
        <v>1945</v>
      </c>
      <c r="D1018" s="1" t="s">
        <v>454</v>
      </c>
      <c r="E1018" s="1">
        <v>2172</v>
      </c>
      <c r="F1018" s="28">
        <v>226</v>
      </c>
      <c r="G1018" s="9">
        <v>207</v>
      </c>
      <c r="H1018" s="1" t="s">
        <v>3073</v>
      </c>
      <c r="I1018" s="1" t="s">
        <v>3073</v>
      </c>
      <c r="J1018" t="str">
        <f t="shared" si="15"/>
        <v>http://www.badatelna.eu/reprodukce/?fondId=1073&amp;zaznamId=1108958&amp;reproId=3779967</v>
      </c>
      <c r="K1018">
        <f>IF(LEN(TRIM(E1018))=0,"",VLOOKUP(E1018,Sheet2!$B$1:$E$19,2,FALSE))</f>
        <v>1073</v>
      </c>
      <c r="L1018">
        <f>IF(LEN(TRIM(E1018))=0,"",VLOOKUP(E1018,Sheet2!$B$1:$E$19,3,FALSE))</f>
        <v>1108958</v>
      </c>
      <c r="M1018">
        <f>IF(LEN(TRIM(E1018))=0,"",VLOOKUP(E1018,Sheet2!$B$1:$E$19,4,FALSE))+(F1018-1)</f>
        <v>3779967</v>
      </c>
      <c r="N1018" s="1"/>
      <c r="O1018" s="1"/>
      <c r="P1018" s="1"/>
      <c r="Q1018" s="1"/>
    </row>
    <row r="1019" spans="1:17" ht="15" customHeight="1" x14ac:dyDescent="0.25">
      <c r="A1019" s="28" t="s">
        <v>158</v>
      </c>
      <c r="B1019" s="28" t="s">
        <v>49</v>
      </c>
      <c r="C1019" s="6" t="s">
        <v>2403</v>
      </c>
      <c r="D1019" s="1" t="s">
        <v>454</v>
      </c>
      <c r="E1019" s="1">
        <v>2173</v>
      </c>
      <c r="F1019" s="28">
        <v>202</v>
      </c>
      <c r="G1019" s="9">
        <v>13</v>
      </c>
      <c r="H1019" s="1" t="s">
        <v>3073</v>
      </c>
      <c r="I1019" s="1" t="s">
        <v>3073</v>
      </c>
      <c r="J1019" t="str">
        <f t="shared" si="15"/>
        <v>http://www.badatelna.eu/reprodukce/?fondId=1073&amp;zaznamId=1108959&amp;reproId=3780195</v>
      </c>
      <c r="K1019">
        <f>IF(LEN(TRIM(E1019))=0,"",VLOOKUP(E1019,Sheet2!$B$1:$E$19,2,FALSE))</f>
        <v>1073</v>
      </c>
      <c r="L1019">
        <f>IF(LEN(TRIM(E1019))=0,"",VLOOKUP(E1019,Sheet2!$B$1:$E$19,3,FALSE))</f>
        <v>1108959</v>
      </c>
      <c r="M1019">
        <f>IF(LEN(TRIM(E1019))=0,"",VLOOKUP(E1019,Sheet2!$B$1:$E$19,4,FALSE))+(F1019-1)</f>
        <v>3780195</v>
      </c>
      <c r="N1019" s="1"/>
      <c r="O1019" s="1"/>
      <c r="P1019" s="1"/>
      <c r="Q1019" s="1"/>
    </row>
    <row r="1020" spans="1:17" ht="15" customHeight="1" x14ac:dyDescent="0.25">
      <c r="A1020" s="28" t="s">
        <v>151</v>
      </c>
      <c r="B1020" s="28" t="s">
        <v>363</v>
      </c>
      <c r="C1020" s="1">
        <v>1884</v>
      </c>
      <c r="D1020" s="1" t="s">
        <v>454</v>
      </c>
      <c r="E1020" s="1">
        <v>2172</v>
      </c>
      <c r="F1020" s="28">
        <v>39</v>
      </c>
      <c r="G1020" s="20" t="s">
        <v>3080</v>
      </c>
      <c r="H1020" s="1">
        <v>42</v>
      </c>
      <c r="I1020" s="1">
        <v>41</v>
      </c>
      <c r="J1020" t="str">
        <f t="shared" si="15"/>
        <v>http://www.badatelna.eu/reprodukce/?fondId=1073&amp;zaznamId=1108958&amp;reproId=3779780</v>
      </c>
      <c r="K1020">
        <f>IF(LEN(TRIM(E1020))=0,"",VLOOKUP(E1020,Sheet2!$B$1:$E$19,2,FALSE))</f>
        <v>1073</v>
      </c>
      <c r="L1020">
        <f>IF(LEN(TRIM(E1020))=0,"",VLOOKUP(E1020,Sheet2!$B$1:$E$19,3,FALSE))</f>
        <v>1108958</v>
      </c>
      <c r="M1020">
        <f>IF(LEN(TRIM(E1020))=0,"",VLOOKUP(E1020,Sheet2!$B$1:$E$19,4,FALSE))+(F1020-1)</f>
        <v>3779780</v>
      </c>
      <c r="N1020" s="1"/>
      <c r="O1020" s="1"/>
      <c r="P1020" s="1"/>
      <c r="Q1020" s="1"/>
    </row>
    <row r="1021" spans="1:17" ht="15" customHeight="1" x14ac:dyDescent="0.25">
      <c r="A1021" s="28" t="s">
        <v>151</v>
      </c>
      <c r="B1021" s="28" t="s">
        <v>137</v>
      </c>
      <c r="C1021" s="6" t="s">
        <v>2560</v>
      </c>
      <c r="D1021" s="1" t="s">
        <v>454</v>
      </c>
      <c r="E1021" s="1">
        <v>2173</v>
      </c>
      <c r="F1021" s="28">
        <v>208</v>
      </c>
      <c r="G1021" s="1">
        <v>25</v>
      </c>
      <c r="H1021" s="1" t="s">
        <v>3073</v>
      </c>
      <c r="I1021" s="1" t="s">
        <v>3073</v>
      </c>
      <c r="J1021" t="str">
        <f t="shared" si="15"/>
        <v>http://www.badatelna.eu/reprodukce/?fondId=1073&amp;zaznamId=1108959&amp;reproId=3780201</v>
      </c>
      <c r="K1021">
        <f>IF(LEN(TRIM(E1021))=0,"",VLOOKUP(E1021,Sheet2!$B$1:$E$19,2,FALSE))</f>
        <v>1073</v>
      </c>
      <c r="L1021">
        <f>IF(LEN(TRIM(E1021))=0,"",VLOOKUP(E1021,Sheet2!$B$1:$E$19,3,FALSE))</f>
        <v>1108959</v>
      </c>
      <c r="M1021">
        <f>IF(LEN(TRIM(E1021))=0,"",VLOOKUP(E1021,Sheet2!$B$1:$E$19,4,FALSE))+(F1021-1)</f>
        <v>3780201</v>
      </c>
    </row>
    <row r="1022" spans="1:17" ht="15" customHeight="1" x14ac:dyDescent="0.25">
      <c r="A1022" s="28" t="s">
        <v>151</v>
      </c>
      <c r="B1022" s="28" t="s">
        <v>172</v>
      </c>
      <c r="C1022" s="6" t="s">
        <v>2370</v>
      </c>
      <c r="D1022" s="1" t="s">
        <v>454</v>
      </c>
      <c r="E1022" s="1">
        <v>2173</v>
      </c>
      <c r="F1022" s="28">
        <v>201</v>
      </c>
      <c r="G1022" s="9">
        <v>12</v>
      </c>
      <c r="H1022" s="1" t="s">
        <v>3073</v>
      </c>
      <c r="I1022" s="1" t="s">
        <v>3073</v>
      </c>
      <c r="J1022" t="str">
        <f t="shared" si="15"/>
        <v>http://www.badatelna.eu/reprodukce/?fondId=1073&amp;zaznamId=1108959&amp;reproId=3780194</v>
      </c>
      <c r="K1022">
        <f>IF(LEN(TRIM(E1022))=0,"",VLOOKUP(E1022,Sheet2!$B$1:$E$19,2,FALSE))</f>
        <v>1073</v>
      </c>
      <c r="L1022">
        <f>IF(LEN(TRIM(E1022))=0,"",VLOOKUP(E1022,Sheet2!$B$1:$E$19,3,FALSE))</f>
        <v>1108959</v>
      </c>
      <c r="M1022">
        <f>IF(LEN(TRIM(E1022))=0,"",VLOOKUP(E1022,Sheet2!$B$1:$E$19,4,FALSE))+(F1022-1)</f>
        <v>3780194</v>
      </c>
    </row>
    <row r="1023" spans="1:17" ht="15" customHeight="1" x14ac:dyDescent="0.25">
      <c r="A1023" s="28" t="s">
        <v>151</v>
      </c>
      <c r="B1023" s="28" t="s">
        <v>172</v>
      </c>
      <c r="C1023" s="6" t="s">
        <v>2063</v>
      </c>
      <c r="D1023" s="1" t="s">
        <v>454</v>
      </c>
      <c r="E1023" s="1">
        <v>2173</v>
      </c>
      <c r="F1023" s="28">
        <v>180</v>
      </c>
      <c r="G1023" s="9">
        <v>7</v>
      </c>
      <c r="H1023" s="1">
        <v>188</v>
      </c>
      <c r="I1023" s="1">
        <v>418</v>
      </c>
      <c r="J1023" t="str">
        <f t="shared" si="15"/>
        <v>http://www.badatelna.eu/reprodukce/?fondId=1073&amp;zaznamId=1108959&amp;reproId=3780173</v>
      </c>
      <c r="K1023">
        <f>IF(LEN(TRIM(E1023))=0,"",VLOOKUP(E1023,Sheet2!$B$1:$E$19,2,FALSE))</f>
        <v>1073</v>
      </c>
      <c r="L1023">
        <f>IF(LEN(TRIM(E1023))=0,"",VLOOKUP(E1023,Sheet2!$B$1:$E$19,3,FALSE))</f>
        <v>1108959</v>
      </c>
      <c r="M1023">
        <f>IF(LEN(TRIM(E1023))=0,"",VLOOKUP(E1023,Sheet2!$B$1:$E$19,4,FALSE))+(F1023-1)</f>
        <v>3780173</v>
      </c>
      <c r="N1023" s="1"/>
      <c r="O1023" s="1"/>
      <c r="P1023" s="1"/>
      <c r="Q1023" s="1"/>
    </row>
    <row r="1024" spans="1:17" ht="15" customHeight="1" x14ac:dyDescent="0.25">
      <c r="A1024" s="28" t="s">
        <v>151</v>
      </c>
      <c r="B1024" s="28" t="s">
        <v>18</v>
      </c>
      <c r="C1024" s="6" t="s">
        <v>2404</v>
      </c>
      <c r="D1024" s="1" t="s">
        <v>454</v>
      </c>
      <c r="E1024" s="1">
        <v>2173</v>
      </c>
      <c r="F1024" s="28">
        <v>202</v>
      </c>
      <c r="G1024" s="9">
        <v>13</v>
      </c>
      <c r="H1024" s="1" t="s">
        <v>3073</v>
      </c>
      <c r="I1024" s="1" t="s">
        <v>3073</v>
      </c>
      <c r="J1024" t="str">
        <f t="shared" si="15"/>
        <v>http://www.badatelna.eu/reprodukce/?fondId=1073&amp;zaznamId=1108959&amp;reproId=3780195</v>
      </c>
      <c r="K1024">
        <f>IF(LEN(TRIM(E1024))=0,"",VLOOKUP(E1024,Sheet2!$B$1:$E$19,2,FALSE))</f>
        <v>1073</v>
      </c>
      <c r="L1024">
        <f>IF(LEN(TRIM(E1024))=0,"",VLOOKUP(E1024,Sheet2!$B$1:$E$19,3,FALSE))</f>
        <v>1108959</v>
      </c>
      <c r="M1024">
        <f>IF(LEN(TRIM(E1024))=0,"",VLOOKUP(E1024,Sheet2!$B$1:$E$19,4,FALSE))+(F1024-1)</f>
        <v>3780195</v>
      </c>
      <c r="N1024" s="1"/>
      <c r="O1024" s="1"/>
      <c r="P1024" s="1"/>
      <c r="Q1024" s="1"/>
    </row>
    <row r="1025" spans="1:17" ht="15" customHeight="1" x14ac:dyDescent="0.25">
      <c r="A1025" s="28" t="s">
        <v>151</v>
      </c>
      <c r="B1025" s="28" t="s">
        <v>308</v>
      </c>
      <c r="C1025" s="6" t="s">
        <v>2729</v>
      </c>
      <c r="D1025" s="1" t="s">
        <v>454</v>
      </c>
      <c r="E1025" s="1">
        <v>2173</v>
      </c>
      <c r="F1025" s="28">
        <v>226</v>
      </c>
      <c r="G1025" s="9">
        <v>57</v>
      </c>
      <c r="H1025" s="1" t="s">
        <v>3073</v>
      </c>
      <c r="I1025" s="1" t="s">
        <v>3073</v>
      </c>
      <c r="J1025" t="str">
        <f t="shared" si="15"/>
        <v>http://www.badatelna.eu/reprodukce/?fondId=1073&amp;zaznamId=1108959&amp;reproId=3780219</v>
      </c>
      <c r="K1025">
        <f>IF(LEN(TRIM(E1025))=0,"",VLOOKUP(E1025,Sheet2!$B$1:$E$19,2,FALSE))</f>
        <v>1073</v>
      </c>
      <c r="L1025">
        <f>IF(LEN(TRIM(E1025))=0,"",VLOOKUP(E1025,Sheet2!$B$1:$E$19,3,FALSE))</f>
        <v>1108959</v>
      </c>
      <c r="M1025">
        <f>IF(LEN(TRIM(E1025))=0,"",VLOOKUP(E1025,Sheet2!$B$1:$E$19,4,FALSE))+(F1025-1)</f>
        <v>3780219</v>
      </c>
      <c r="N1025" s="1"/>
      <c r="O1025" s="1"/>
      <c r="P1025" s="1"/>
      <c r="Q1025" s="1"/>
    </row>
    <row r="1026" spans="1:17" ht="15" customHeight="1" x14ac:dyDescent="0.25">
      <c r="A1026" s="28" t="s">
        <v>151</v>
      </c>
      <c r="B1026" s="28" t="s">
        <v>39</v>
      </c>
      <c r="C1026" s="6" t="s">
        <v>2064</v>
      </c>
      <c r="D1026" s="1" t="s">
        <v>454</v>
      </c>
      <c r="E1026" s="1">
        <v>2173</v>
      </c>
      <c r="F1026" s="28">
        <v>179</v>
      </c>
      <c r="G1026" s="9">
        <v>5</v>
      </c>
      <c r="H1026" s="1">
        <v>188</v>
      </c>
      <c r="I1026" s="1">
        <v>418</v>
      </c>
      <c r="J1026" t="str">
        <f t="shared" si="15"/>
        <v>http://www.badatelna.eu/reprodukce/?fondId=1073&amp;zaznamId=1108959&amp;reproId=3780172</v>
      </c>
      <c r="K1026">
        <f>IF(LEN(TRIM(E1026))=0,"",VLOOKUP(E1026,Sheet2!$B$1:$E$19,2,FALSE))</f>
        <v>1073</v>
      </c>
      <c r="L1026">
        <f>IF(LEN(TRIM(E1026))=0,"",VLOOKUP(E1026,Sheet2!$B$1:$E$19,3,FALSE))</f>
        <v>1108959</v>
      </c>
      <c r="M1026">
        <f>IF(LEN(TRIM(E1026))=0,"",VLOOKUP(E1026,Sheet2!$B$1:$E$19,4,FALSE))+(F1026-1)</f>
        <v>3780172</v>
      </c>
      <c r="N1026" s="1"/>
      <c r="O1026" s="1"/>
      <c r="P1026" s="1"/>
      <c r="Q1026" s="1"/>
    </row>
    <row r="1027" spans="1:17" ht="15" customHeight="1" x14ac:dyDescent="0.25">
      <c r="A1027" s="28" t="s">
        <v>151</v>
      </c>
      <c r="B1027" s="28" t="s">
        <v>475</v>
      </c>
      <c r="C1027" s="1">
        <v>1886</v>
      </c>
      <c r="D1027" s="1" t="s">
        <v>454</v>
      </c>
      <c r="E1027" s="1">
        <v>2172</v>
      </c>
      <c r="F1027" s="28">
        <v>53</v>
      </c>
      <c r="G1027" s="9">
        <v>54</v>
      </c>
      <c r="H1027" s="1">
        <v>54</v>
      </c>
      <c r="I1027" s="1">
        <v>55</v>
      </c>
      <c r="J1027" t="str">
        <f t="shared" ref="J1027:J1090" si="16">IF(LEN(TRIM(E1027))=0,"","http://www.badatelna.eu/reprodukce/?fondId="&amp;K1027&amp;"&amp;zaznamId="&amp;L1027&amp;"&amp;reproId="&amp;M1027)</f>
        <v>http://www.badatelna.eu/reprodukce/?fondId=1073&amp;zaznamId=1108958&amp;reproId=3779794</v>
      </c>
      <c r="K1027">
        <f>IF(LEN(TRIM(E1027))=0,"",VLOOKUP(E1027,Sheet2!$B$1:$E$19,2,FALSE))</f>
        <v>1073</v>
      </c>
      <c r="L1027">
        <f>IF(LEN(TRIM(E1027))=0,"",VLOOKUP(E1027,Sheet2!$B$1:$E$19,3,FALSE))</f>
        <v>1108958</v>
      </c>
      <c r="M1027">
        <f>IF(LEN(TRIM(E1027))=0,"",VLOOKUP(E1027,Sheet2!$B$1:$E$19,4,FALSE))+(F1027-1)</f>
        <v>3779794</v>
      </c>
      <c r="N1027" s="1"/>
      <c r="O1027" s="1"/>
      <c r="P1027" s="1"/>
      <c r="Q1027" s="1"/>
    </row>
    <row r="1028" spans="1:17" ht="15" customHeight="1" x14ac:dyDescent="0.25">
      <c r="A1028" s="28" t="s">
        <v>151</v>
      </c>
      <c r="B1028" s="28" t="s">
        <v>885</v>
      </c>
      <c r="C1028" s="6" t="s">
        <v>1805</v>
      </c>
      <c r="D1028" s="1" t="s">
        <v>454</v>
      </c>
      <c r="E1028" s="1">
        <v>2172</v>
      </c>
      <c r="F1028" s="28">
        <v>163</v>
      </c>
      <c r="G1028" s="9">
        <v>157</v>
      </c>
      <c r="H1028" s="1">
        <v>164</v>
      </c>
      <c r="I1028" s="1">
        <v>158</v>
      </c>
      <c r="J1028" t="str">
        <f t="shared" si="16"/>
        <v>http://www.badatelna.eu/reprodukce/?fondId=1073&amp;zaznamId=1108958&amp;reproId=3779904</v>
      </c>
      <c r="K1028">
        <f>IF(LEN(TRIM(E1028))=0,"",VLOOKUP(E1028,Sheet2!$B$1:$E$19,2,FALSE))</f>
        <v>1073</v>
      </c>
      <c r="L1028">
        <f>IF(LEN(TRIM(E1028))=0,"",VLOOKUP(E1028,Sheet2!$B$1:$E$19,3,FALSE))</f>
        <v>1108958</v>
      </c>
      <c r="M1028">
        <f>IF(LEN(TRIM(E1028))=0,"",VLOOKUP(E1028,Sheet2!$B$1:$E$19,4,FALSE))+(F1028-1)</f>
        <v>3779904</v>
      </c>
      <c r="N1028" s="1"/>
      <c r="O1028" s="1"/>
      <c r="P1028" s="1"/>
      <c r="Q1028" s="1"/>
    </row>
    <row r="1029" spans="1:17" ht="15" customHeight="1" x14ac:dyDescent="0.25">
      <c r="A1029" s="28" t="s">
        <v>2966</v>
      </c>
      <c r="B1029" s="28" t="s">
        <v>19</v>
      </c>
      <c r="C1029" s="1">
        <v>1854</v>
      </c>
      <c r="D1029" s="1" t="s">
        <v>2919</v>
      </c>
      <c r="E1029" s="1">
        <v>998</v>
      </c>
      <c r="F1029" s="28">
        <v>39</v>
      </c>
      <c r="G1029" s="1">
        <v>37</v>
      </c>
      <c r="H1029" s="1">
        <v>69</v>
      </c>
      <c r="I1029" s="1">
        <v>66</v>
      </c>
      <c r="J1029" t="str">
        <f t="shared" si="16"/>
        <v>http://www.badatelna.eu/reprodukce/?fondId=241&amp;zaznamId=1133738&amp;reproId=3885685</v>
      </c>
      <c r="K1029">
        <f>IF(LEN(TRIM(E1029))=0,"",VLOOKUP(E1029,Sheet2!$B$1:$E$19,2,FALSE))</f>
        <v>241</v>
      </c>
      <c r="L1029">
        <f>IF(LEN(TRIM(E1029))=0,"",VLOOKUP(E1029,Sheet2!$B$1:$E$19,3,FALSE))</f>
        <v>1133738</v>
      </c>
      <c r="M1029">
        <f>IF(LEN(TRIM(E1029))=0,"",VLOOKUP(E1029,Sheet2!$B$1:$E$19,4,FALSE))+(F1029-1)</f>
        <v>3885685</v>
      </c>
      <c r="N1029" s="1"/>
      <c r="O1029" s="1"/>
      <c r="P1029" s="1"/>
      <c r="Q1029" s="1"/>
    </row>
    <row r="1030" spans="1:17" ht="15" customHeight="1" x14ac:dyDescent="0.25">
      <c r="A1030" s="28"/>
      <c r="B1030" s="28"/>
      <c r="C1030" s="28" t="s">
        <v>3118</v>
      </c>
      <c r="D1030" s="1"/>
      <c r="E1030" s="1"/>
      <c r="F1030" s="28"/>
      <c r="G1030" s="1"/>
      <c r="H1030" s="1"/>
      <c r="I1030" s="1"/>
      <c r="J1030" t="str">
        <f t="shared" si="16"/>
        <v/>
      </c>
      <c r="K1030" t="str">
        <f>IF(LEN(TRIM(E1030))=0,"",VLOOKUP(E1030,Sheet2!$B$1:$E$19,2,FALSE))</f>
        <v/>
      </c>
      <c r="L1030" t="str">
        <f>IF(LEN(TRIM(E1030))=0,"",VLOOKUP(E1030,Sheet2!$B$1:$E$19,3,FALSE))</f>
        <v/>
      </c>
      <c r="M1030" t="e">
        <f>IF(LEN(TRIM(E1030))=0,"",VLOOKUP(E1030,Sheet2!$B$1:$E$19,4,FALSE))+(F1030-1)</f>
        <v>#VALUE!</v>
      </c>
      <c r="N1030" s="1"/>
      <c r="O1030" s="1"/>
      <c r="P1030" s="1"/>
      <c r="Q1030" s="1"/>
    </row>
    <row r="1031" spans="1:17" ht="15" customHeight="1" x14ac:dyDescent="0.25">
      <c r="A1031" s="28" t="s">
        <v>886</v>
      </c>
      <c r="B1031" s="28" t="s">
        <v>665</v>
      </c>
      <c r="C1031" s="1">
        <v>1893</v>
      </c>
      <c r="D1031" s="1" t="s">
        <v>454</v>
      </c>
      <c r="E1031" s="1">
        <v>2172</v>
      </c>
      <c r="F1031" s="28">
        <v>88</v>
      </c>
      <c r="G1031" s="9">
        <v>87</v>
      </c>
      <c r="H1031" s="1">
        <v>89</v>
      </c>
      <c r="I1031" s="1">
        <v>88</v>
      </c>
      <c r="J1031" t="str">
        <f t="shared" si="16"/>
        <v>http://www.badatelna.eu/reprodukce/?fondId=1073&amp;zaznamId=1108958&amp;reproId=3779829</v>
      </c>
      <c r="K1031">
        <f>IF(LEN(TRIM(E1031))=0,"",VLOOKUP(E1031,Sheet2!$B$1:$E$19,2,FALSE))</f>
        <v>1073</v>
      </c>
      <c r="L1031">
        <f>IF(LEN(TRIM(E1031))=0,"",VLOOKUP(E1031,Sheet2!$B$1:$E$19,3,FALSE))</f>
        <v>1108958</v>
      </c>
      <c r="M1031">
        <f>IF(LEN(TRIM(E1031))=0,"",VLOOKUP(E1031,Sheet2!$B$1:$E$19,4,FALSE))+(F1031-1)</f>
        <v>3779829</v>
      </c>
      <c r="N1031" s="1"/>
      <c r="O1031" s="1"/>
      <c r="P1031" s="1"/>
      <c r="Q1031" s="1"/>
    </row>
    <row r="1032" spans="1:17" ht="15" customHeight="1" x14ac:dyDescent="0.25">
      <c r="A1032" s="28" t="s">
        <v>886</v>
      </c>
      <c r="B1032" s="28" t="s">
        <v>469</v>
      </c>
      <c r="C1032" s="6" t="s">
        <v>1711</v>
      </c>
      <c r="D1032" s="1" t="s">
        <v>454</v>
      </c>
      <c r="E1032" s="1">
        <v>2172</v>
      </c>
      <c r="F1032" s="28">
        <v>120</v>
      </c>
      <c r="G1032" s="9">
        <v>119</v>
      </c>
      <c r="H1032" s="1">
        <v>123</v>
      </c>
      <c r="I1032" s="1">
        <v>122</v>
      </c>
      <c r="J1032" t="str">
        <f t="shared" si="16"/>
        <v>http://www.badatelna.eu/reprodukce/?fondId=1073&amp;zaznamId=1108958&amp;reproId=3779861</v>
      </c>
      <c r="K1032">
        <f>IF(LEN(TRIM(E1032))=0,"",VLOOKUP(E1032,Sheet2!$B$1:$E$19,2,FALSE))</f>
        <v>1073</v>
      </c>
      <c r="L1032">
        <f>IF(LEN(TRIM(E1032))=0,"",VLOOKUP(E1032,Sheet2!$B$1:$E$19,3,FALSE))</f>
        <v>1108958</v>
      </c>
      <c r="M1032">
        <f>IF(LEN(TRIM(E1032))=0,"",VLOOKUP(E1032,Sheet2!$B$1:$E$19,4,FALSE))+(F1032-1)</f>
        <v>3779861</v>
      </c>
    </row>
    <row r="1033" spans="1:17" ht="15" customHeight="1" x14ac:dyDescent="0.25">
      <c r="A1033" s="28" t="s">
        <v>887</v>
      </c>
      <c r="B1033" s="28" t="s">
        <v>465</v>
      </c>
      <c r="C1033" s="15">
        <v>14555</v>
      </c>
      <c r="D1033" s="1" t="s">
        <v>454</v>
      </c>
      <c r="E1033" s="1">
        <v>2172</v>
      </c>
      <c r="F1033" s="28">
        <v>168</v>
      </c>
      <c r="G1033" s="9">
        <v>161</v>
      </c>
      <c r="H1033" s="1" t="s">
        <v>3073</v>
      </c>
      <c r="I1033" s="1" t="s">
        <v>3073</v>
      </c>
      <c r="J1033" t="str">
        <f t="shared" si="16"/>
        <v>http://www.badatelna.eu/reprodukce/?fondId=1073&amp;zaznamId=1108958&amp;reproId=3779909</v>
      </c>
      <c r="K1033">
        <f>IF(LEN(TRIM(E1033))=0,"",VLOOKUP(E1033,Sheet2!$B$1:$E$19,2,FALSE))</f>
        <v>1073</v>
      </c>
      <c r="L1033">
        <f>IF(LEN(TRIM(E1033))=0,"",VLOOKUP(E1033,Sheet2!$B$1:$E$19,3,FALSE))</f>
        <v>1108958</v>
      </c>
      <c r="M1033">
        <f>IF(LEN(TRIM(E1033))=0,"",VLOOKUP(E1033,Sheet2!$B$1:$E$19,4,FALSE))+(F1033-1)</f>
        <v>3779909</v>
      </c>
      <c r="N1033" s="1"/>
      <c r="O1033" s="1"/>
      <c r="P1033" s="1"/>
      <c r="Q1033" s="1"/>
    </row>
    <row r="1034" spans="1:17" ht="15" customHeight="1" x14ac:dyDescent="0.25">
      <c r="A1034" s="28" t="s">
        <v>284</v>
      </c>
      <c r="B1034" s="28" t="s">
        <v>49</v>
      </c>
      <c r="C1034" s="6" t="s">
        <v>2065</v>
      </c>
      <c r="D1034" s="1" t="s">
        <v>454</v>
      </c>
      <c r="E1034" s="1">
        <v>2173</v>
      </c>
      <c r="F1034" s="28">
        <v>183</v>
      </c>
      <c r="G1034" s="9">
        <v>13</v>
      </c>
      <c r="H1034" s="1">
        <v>188</v>
      </c>
      <c r="I1034" s="1">
        <v>418</v>
      </c>
      <c r="J1034" t="str">
        <f t="shared" si="16"/>
        <v>http://www.badatelna.eu/reprodukce/?fondId=1073&amp;zaznamId=1108959&amp;reproId=3780176</v>
      </c>
      <c r="K1034">
        <f>IF(LEN(TRIM(E1034))=0,"",VLOOKUP(E1034,Sheet2!$B$1:$E$19,2,FALSE))</f>
        <v>1073</v>
      </c>
      <c r="L1034">
        <f>IF(LEN(TRIM(E1034))=0,"",VLOOKUP(E1034,Sheet2!$B$1:$E$19,3,FALSE))</f>
        <v>1108959</v>
      </c>
      <c r="M1034">
        <f>IF(LEN(TRIM(E1034))=0,"",VLOOKUP(E1034,Sheet2!$B$1:$E$19,4,FALSE))+(F1034-1)</f>
        <v>3780176</v>
      </c>
      <c r="N1034" s="1"/>
      <c r="O1034" s="1"/>
      <c r="P1034" s="1"/>
      <c r="Q1034" s="1"/>
    </row>
    <row r="1035" spans="1:17" ht="15" customHeight="1" x14ac:dyDescent="0.25">
      <c r="A1035" s="28" t="s">
        <v>284</v>
      </c>
      <c r="B1035" s="28" t="s">
        <v>49</v>
      </c>
      <c r="C1035" s="6" t="s">
        <v>2065</v>
      </c>
      <c r="D1035" s="1" t="s">
        <v>454</v>
      </c>
      <c r="E1035" s="1">
        <v>2173</v>
      </c>
      <c r="F1035" s="28">
        <v>213</v>
      </c>
      <c r="G1035" s="9" t="s">
        <v>2915</v>
      </c>
      <c r="H1035" s="1" t="s">
        <v>3073</v>
      </c>
      <c r="I1035" s="1" t="s">
        <v>3073</v>
      </c>
      <c r="J1035" t="str">
        <f t="shared" si="16"/>
        <v>http://www.badatelna.eu/reprodukce/?fondId=1073&amp;zaznamId=1108959&amp;reproId=3780206</v>
      </c>
      <c r="K1035">
        <f>IF(LEN(TRIM(E1035))=0,"",VLOOKUP(E1035,Sheet2!$B$1:$E$19,2,FALSE))</f>
        <v>1073</v>
      </c>
      <c r="L1035">
        <f>IF(LEN(TRIM(E1035))=0,"",VLOOKUP(E1035,Sheet2!$B$1:$E$19,3,FALSE))</f>
        <v>1108959</v>
      </c>
      <c r="M1035">
        <f>IF(LEN(TRIM(E1035))=0,"",VLOOKUP(E1035,Sheet2!$B$1:$E$19,4,FALSE))+(F1035-1)</f>
        <v>3780206</v>
      </c>
      <c r="N1035" s="1"/>
      <c r="O1035" s="1"/>
      <c r="P1035" s="1"/>
      <c r="Q1035" s="1"/>
    </row>
    <row r="1036" spans="1:17" ht="15" customHeight="1" x14ac:dyDescent="0.25">
      <c r="A1036" s="28" t="s">
        <v>888</v>
      </c>
      <c r="B1036" s="28" t="s">
        <v>889</v>
      </c>
      <c r="C1036" s="6" t="s">
        <v>1638</v>
      </c>
      <c r="D1036" s="1" t="s">
        <v>454</v>
      </c>
      <c r="E1036" s="1">
        <v>2172</v>
      </c>
      <c r="F1036" s="28">
        <v>95</v>
      </c>
      <c r="G1036" s="9">
        <v>94</v>
      </c>
      <c r="H1036" s="1">
        <v>96</v>
      </c>
      <c r="I1036" s="1">
        <v>95</v>
      </c>
      <c r="J1036" t="str">
        <f t="shared" si="16"/>
        <v>http://www.badatelna.eu/reprodukce/?fondId=1073&amp;zaznamId=1108958&amp;reproId=3779836</v>
      </c>
      <c r="K1036">
        <f>IF(LEN(TRIM(E1036))=0,"",VLOOKUP(E1036,Sheet2!$B$1:$E$19,2,FALSE))</f>
        <v>1073</v>
      </c>
      <c r="L1036">
        <f>IF(LEN(TRIM(E1036))=0,"",VLOOKUP(E1036,Sheet2!$B$1:$E$19,3,FALSE))</f>
        <v>1108958</v>
      </c>
      <c r="M1036">
        <f>IF(LEN(TRIM(E1036))=0,"",VLOOKUP(E1036,Sheet2!$B$1:$E$19,4,FALSE))+(F1036-1)</f>
        <v>3779836</v>
      </c>
      <c r="N1036" s="1"/>
      <c r="O1036" s="1"/>
      <c r="P1036" s="1"/>
      <c r="Q1036" s="1"/>
    </row>
    <row r="1037" spans="1:17" ht="15" customHeight="1" x14ac:dyDescent="0.25">
      <c r="A1037" s="28" t="s">
        <v>890</v>
      </c>
      <c r="B1037" s="28" t="s">
        <v>25</v>
      </c>
      <c r="C1037" s="6" t="s">
        <v>1842</v>
      </c>
      <c r="D1037" s="1" t="s">
        <v>454</v>
      </c>
      <c r="E1037" s="1">
        <v>2172</v>
      </c>
      <c r="F1037" s="28">
        <v>176</v>
      </c>
      <c r="G1037" s="9">
        <v>169</v>
      </c>
      <c r="H1037" s="1" t="s">
        <v>3073</v>
      </c>
      <c r="I1037" s="1" t="s">
        <v>3073</v>
      </c>
      <c r="J1037" t="str">
        <f t="shared" si="16"/>
        <v>http://www.badatelna.eu/reprodukce/?fondId=1073&amp;zaznamId=1108958&amp;reproId=3779917</v>
      </c>
      <c r="K1037">
        <f>IF(LEN(TRIM(E1037))=0,"",VLOOKUP(E1037,Sheet2!$B$1:$E$19,2,FALSE))</f>
        <v>1073</v>
      </c>
      <c r="L1037">
        <f>IF(LEN(TRIM(E1037))=0,"",VLOOKUP(E1037,Sheet2!$B$1:$E$19,3,FALSE))</f>
        <v>1108958</v>
      </c>
      <c r="M1037">
        <f>IF(LEN(TRIM(E1037))=0,"",VLOOKUP(E1037,Sheet2!$B$1:$E$19,4,FALSE))+(F1037-1)</f>
        <v>3779917</v>
      </c>
      <c r="N1037" s="1"/>
      <c r="O1037" s="1"/>
      <c r="P1037" s="1"/>
      <c r="Q1037" s="1"/>
    </row>
    <row r="1038" spans="1:17" ht="15" customHeight="1" x14ac:dyDescent="0.25">
      <c r="A1038" s="28" t="s">
        <v>890</v>
      </c>
      <c r="B1038" s="28" t="s">
        <v>314</v>
      </c>
      <c r="C1038" s="15">
        <v>5845</v>
      </c>
      <c r="D1038" s="1" t="s">
        <v>454</v>
      </c>
      <c r="E1038" s="1">
        <v>2172</v>
      </c>
      <c r="F1038" s="28">
        <v>188</v>
      </c>
      <c r="G1038" s="9">
        <v>178</v>
      </c>
      <c r="H1038" s="1" t="s">
        <v>3073</v>
      </c>
      <c r="I1038" s="1" t="s">
        <v>3073</v>
      </c>
      <c r="J1038" t="str">
        <f t="shared" si="16"/>
        <v>http://www.badatelna.eu/reprodukce/?fondId=1073&amp;zaznamId=1108958&amp;reproId=3779929</v>
      </c>
      <c r="K1038">
        <f>IF(LEN(TRIM(E1038))=0,"",VLOOKUP(E1038,Sheet2!$B$1:$E$19,2,FALSE))</f>
        <v>1073</v>
      </c>
      <c r="L1038">
        <f>IF(LEN(TRIM(E1038))=0,"",VLOOKUP(E1038,Sheet2!$B$1:$E$19,3,FALSE))</f>
        <v>1108958</v>
      </c>
      <c r="M1038">
        <f>IF(LEN(TRIM(E1038))=0,"",VLOOKUP(E1038,Sheet2!$B$1:$E$19,4,FALSE))+(F1038-1)</f>
        <v>3779929</v>
      </c>
    </row>
    <row r="1039" spans="1:17" ht="15" customHeight="1" x14ac:dyDescent="0.25">
      <c r="A1039" s="28" t="s">
        <v>63</v>
      </c>
      <c r="B1039" s="28" t="s">
        <v>394</v>
      </c>
      <c r="C1039" s="6" t="s">
        <v>2587</v>
      </c>
      <c r="D1039" s="1" t="s">
        <v>454</v>
      </c>
      <c r="E1039" s="1">
        <v>2173</v>
      </c>
      <c r="F1039" s="28">
        <v>215</v>
      </c>
      <c r="G1039" s="9">
        <v>39</v>
      </c>
      <c r="H1039" s="1" t="s">
        <v>3073</v>
      </c>
      <c r="I1039" s="1" t="s">
        <v>3073</v>
      </c>
      <c r="J1039" t="str">
        <f t="shared" si="16"/>
        <v>http://www.badatelna.eu/reprodukce/?fondId=1073&amp;zaznamId=1108959&amp;reproId=3780208</v>
      </c>
      <c r="K1039">
        <f>IF(LEN(TRIM(E1039))=0,"",VLOOKUP(E1039,Sheet2!$B$1:$E$19,2,FALSE))</f>
        <v>1073</v>
      </c>
      <c r="L1039">
        <f>IF(LEN(TRIM(E1039))=0,"",VLOOKUP(E1039,Sheet2!$B$1:$E$19,3,FALSE))</f>
        <v>1108959</v>
      </c>
      <c r="M1039">
        <f>IF(LEN(TRIM(E1039))=0,"",VLOOKUP(E1039,Sheet2!$B$1:$E$19,4,FALSE))+(F1039-1)</f>
        <v>3780208</v>
      </c>
      <c r="N1039" s="1"/>
      <c r="O1039" s="1"/>
      <c r="P1039" s="1"/>
      <c r="Q1039" s="1"/>
    </row>
    <row r="1040" spans="1:17" ht="15" customHeight="1" x14ac:dyDescent="0.25">
      <c r="A1040" s="28" t="s">
        <v>63</v>
      </c>
      <c r="B1040" s="28" t="s">
        <v>394</v>
      </c>
      <c r="C1040" s="6" t="s">
        <v>2587</v>
      </c>
      <c r="D1040" s="1" t="s">
        <v>454</v>
      </c>
      <c r="E1040" s="1">
        <v>2173</v>
      </c>
      <c r="F1040" s="28">
        <v>217</v>
      </c>
      <c r="G1040" s="9">
        <v>44</v>
      </c>
      <c r="H1040" s="1" t="s">
        <v>3073</v>
      </c>
      <c r="I1040" s="1" t="s">
        <v>3073</v>
      </c>
      <c r="J1040" t="str">
        <f t="shared" si="16"/>
        <v>http://www.badatelna.eu/reprodukce/?fondId=1073&amp;zaznamId=1108959&amp;reproId=3780210</v>
      </c>
      <c r="K1040">
        <f>IF(LEN(TRIM(E1040))=0,"",VLOOKUP(E1040,Sheet2!$B$1:$E$19,2,FALSE))</f>
        <v>1073</v>
      </c>
      <c r="L1040">
        <f>IF(LEN(TRIM(E1040))=0,"",VLOOKUP(E1040,Sheet2!$B$1:$E$19,3,FALSE))</f>
        <v>1108959</v>
      </c>
      <c r="M1040">
        <f>IF(LEN(TRIM(E1040))=0,"",VLOOKUP(E1040,Sheet2!$B$1:$E$19,4,FALSE))+(F1040-1)</f>
        <v>3780210</v>
      </c>
      <c r="N1040" s="1"/>
      <c r="O1040" s="1"/>
      <c r="P1040" s="1"/>
      <c r="Q1040" s="1"/>
    </row>
    <row r="1041" spans="1:17" ht="15" customHeight="1" x14ac:dyDescent="0.2">
      <c r="A1041" s="32" t="s">
        <v>63</v>
      </c>
      <c r="B1041" s="32" t="s">
        <v>394</v>
      </c>
      <c r="C1041" s="23" t="s">
        <v>2790</v>
      </c>
      <c r="D1041" s="1" t="s">
        <v>454</v>
      </c>
      <c r="E1041" s="1">
        <v>2173</v>
      </c>
      <c r="F1041" s="31">
        <v>197</v>
      </c>
      <c r="G1041" s="12">
        <v>3</v>
      </c>
      <c r="H1041" s="1" t="s">
        <v>3073</v>
      </c>
      <c r="I1041" s="1" t="s">
        <v>3073</v>
      </c>
      <c r="J1041" t="str">
        <f t="shared" si="16"/>
        <v>http://www.badatelna.eu/reprodukce/?fondId=1073&amp;zaznamId=1108959&amp;reproId=3780190</v>
      </c>
      <c r="K1041">
        <f>IF(LEN(TRIM(E1041))=0,"",VLOOKUP(E1041,Sheet2!$B$1:$E$19,2,FALSE))</f>
        <v>1073</v>
      </c>
      <c r="L1041">
        <f>IF(LEN(TRIM(E1041))=0,"",VLOOKUP(E1041,Sheet2!$B$1:$E$19,3,FALSE))</f>
        <v>1108959</v>
      </c>
      <c r="M1041">
        <f>IF(LEN(TRIM(E1041))=0,"",VLOOKUP(E1041,Sheet2!$B$1:$E$19,4,FALSE))+(F1041-1)</f>
        <v>3780190</v>
      </c>
      <c r="N1041" s="1"/>
      <c r="O1041" s="1"/>
      <c r="P1041" s="1"/>
      <c r="Q1041" s="1"/>
    </row>
    <row r="1042" spans="1:17" ht="15" customHeight="1" x14ac:dyDescent="0.25">
      <c r="A1042" s="28" t="s">
        <v>120</v>
      </c>
      <c r="B1042" s="28" t="s">
        <v>39</v>
      </c>
      <c r="C1042" s="6" t="s">
        <v>2317</v>
      </c>
      <c r="D1042" s="1" t="s">
        <v>454</v>
      </c>
      <c r="E1042" s="1">
        <v>2173</v>
      </c>
      <c r="F1042" s="31">
        <v>199</v>
      </c>
      <c r="G1042" s="9">
        <v>8</v>
      </c>
      <c r="H1042" s="1" t="s">
        <v>3073</v>
      </c>
      <c r="I1042" s="1" t="s">
        <v>3073</v>
      </c>
      <c r="J1042" t="str">
        <f t="shared" si="16"/>
        <v>http://www.badatelna.eu/reprodukce/?fondId=1073&amp;zaznamId=1108959&amp;reproId=3780192</v>
      </c>
      <c r="K1042">
        <f>IF(LEN(TRIM(E1042))=0,"",VLOOKUP(E1042,Sheet2!$B$1:$E$19,2,FALSE))</f>
        <v>1073</v>
      </c>
      <c r="L1042">
        <f>IF(LEN(TRIM(E1042))=0,"",VLOOKUP(E1042,Sheet2!$B$1:$E$19,3,FALSE))</f>
        <v>1108959</v>
      </c>
      <c r="M1042">
        <f>IF(LEN(TRIM(E1042))=0,"",VLOOKUP(E1042,Sheet2!$B$1:$E$19,4,FALSE))+(F1042-1)</f>
        <v>3780192</v>
      </c>
      <c r="N1042" s="1"/>
      <c r="O1042" s="1"/>
      <c r="P1042" s="1"/>
      <c r="Q1042" s="1"/>
    </row>
    <row r="1043" spans="1:17" ht="15" customHeight="1" x14ac:dyDescent="0.25">
      <c r="A1043" s="28" t="s">
        <v>120</v>
      </c>
      <c r="B1043" s="28" t="s">
        <v>469</v>
      </c>
      <c r="C1043" s="1">
        <v>1849</v>
      </c>
      <c r="D1043" s="1" t="s">
        <v>2919</v>
      </c>
      <c r="E1043" s="1">
        <v>998</v>
      </c>
      <c r="F1043" s="28">
        <v>19</v>
      </c>
      <c r="G1043" s="1">
        <v>17</v>
      </c>
      <c r="H1043" s="1">
        <v>69</v>
      </c>
      <c r="I1043" s="1">
        <v>66</v>
      </c>
      <c r="J1043" t="str">
        <f t="shared" si="16"/>
        <v>http://www.badatelna.eu/reprodukce/?fondId=241&amp;zaznamId=1133738&amp;reproId=3885665</v>
      </c>
      <c r="K1043">
        <f>IF(LEN(TRIM(E1043))=0,"",VLOOKUP(E1043,Sheet2!$B$1:$E$19,2,FALSE))</f>
        <v>241</v>
      </c>
      <c r="L1043">
        <f>IF(LEN(TRIM(E1043))=0,"",VLOOKUP(E1043,Sheet2!$B$1:$E$19,3,FALSE))</f>
        <v>1133738</v>
      </c>
      <c r="M1043">
        <f>IF(LEN(TRIM(E1043))=0,"",VLOOKUP(E1043,Sheet2!$B$1:$E$19,4,FALSE))+(F1043-1)</f>
        <v>3885665</v>
      </c>
      <c r="N1043" s="1"/>
      <c r="O1043" s="1"/>
      <c r="P1043" s="1"/>
      <c r="Q1043" s="1"/>
    </row>
    <row r="1044" spans="1:17" ht="15" customHeight="1" x14ac:dyDescent="0.25">
      <c r="A1044" s="27" t="s">
        <v>120</v>
      </c>
      <c r="B1044" s="27" t="s">
        <v>54</v>
      </c>
      <c r="C1044" s="5" t="s">
        <v>1193</v>
      </c>
      <c r="D1044" s="3" t="s">
        <v>454</v>
      </c>
      <c r="E1044" s="3">
        <v>2170</v>
      </c>
      <c r="F1044" s="28">
        <v>48</v>
      </c>
      <c r="G1044" s="10">
        <v>44</v>
      </c>
      <c r="H1044" s="3">
        <v>62</v>
      </c>
      <c r="I1044" s="3">
        <v>58</v>
      </c>
      <c r="J1044" t="str">
        <f t="shared" si="16"/>
        <v>http://www.badatelna.eu/reprodukce/?fondId=1073&amp;zaznamId=1108956&amp;reproId=3779640</v>
      </c>
      <c r="K1044">
        <f>IF(LEN(TRIM(E1044))=0,"",VLOOKUP(E1044,Sheet2!$B$1:$E$19,2,FALSE))</f>
        <v>1073</v>
      </c>
      <c r="L1044">
        <f>IF(LEN(TRIM(E1044))=0,"",VLOOKUP(E1044,Sheet2!$B$1:$E$19,3,FALSE))</f>
        <v>1108956</v>
      </c>
      <c r="M1044">
        <f>IF(LEN(TRIM(E1044))=0,"",VLOOKUP(E1044,Sheet2!$B$1:$E$19,4,FALSE))+(F1044-1)</f>
        <v>3779640</v>
      </c>
      <c r="N1044" s="1"/>
      <c r="O1044" s="1"/>
      <c r="P1044" s="1"/>
      <c r="Q1044" s="1"/>
    </row>
    <row r="1045" spans="1:17" ht="15" customHeight="1" x14ac:dyDescent="0.25">
      <c r="A1045" s="29" t="s">
        <v>2807</v>
      </c>
      <c r="B1045" s="28" t="s">
        <v>1</v>
      </c>
      <c r="C1045" s="6" t="s">
        <v>2348</v>
      </c>
      <c r="D1045" s="1" t="s">
        <v>454</v>
      </c>
      <c r="E1045" s="1">
        <v>2173</v>
      </c>
      <c r="F1045" s="28">
        <v>200</v>
      </c>
      <c r="G1045" s="9">
        <v>10</v>
      </c>
      <c r="H1045" s="1" t="s">
        <v>3073</v>
      </c>
      <c r="I1045" s="1" t="s">
        <v>3073</v>
      </c>
      <c r="J1045" t="str">
        <f t="shared" si="16"/>
        <v>http://www.badatelna.eu/reprodukce/?fondId=1073&amp;zaznamId=1108959&amp;reproId=3780193</v>
      </c>
      <c r="K1045">
        <f>IF(LEN(TRIM(E1045))=0,"",VLOOKUP(E1045,Sheet2!$B$1:$E$19,2,FALSE))</f>
        <v>1073</v>
      </c>
      <c r="L1045">
        <f>IF(LEN(TRIM(E1045))=0,"",VLOOKUP(E1045,Sheet2!$B$1:$E$19,3,FALSE))</f>
        <v>1108959</v>
      </c>
      <c r="M1045">
        <f>IF(LEN(TRIM(E1045))=0,"",VLOOKUP(E1045,Sheet2!$B$1:$E$19,4,FALSE))+(F1045-1)</f>
        <v>3780193</v>
      </c>
      <c r="N1045" s="1"/>
      <c r="O1045" s="1"/>
      <c r="P1045" s="1"/>
      <c r="Q1045" s="1"/>
    </row>
    <row r="1046" spans="1:17" ht="15" customHeight="1" x14ac:dyDescent="0.25">
      <c r="A1046" s="28" t="s">
        <v>891</v>
      </c>
      <c r="B1046" s="28" t="s">
        <v>314</v>
      </c>
      <c r="C1046" s="15">
        <v>4425</v>
      </c>
      <c r="D1046" s="1" t="s">
        <v>454</v>
      </c>
      <c r="E1046" s="1">
        <v>2172</v>
      </c>
      <c r="F1046" s="28">
        <v>181</v>
      </c>
      <c r="G1046" s="9">
        <v>173</v>
      </c>
      <c r="H1046" s="1" t="s">
        <v>3073</v>
      </c>
      <c r="I1046" s="1" t="s">
        <v>3073</v>
      </c>
      <c r="J1046" t="str">
        <f t="shared" si="16"/>
        <v>http://www.badatelna.eu/reprodukce/?fondId=1073&amp;zaznamId=1108958&amp;reproId=3779922</v>
      </c>
      <c r="K1046">
        <f>IF(LEN(TRIM(E1046))=0,"",VLOOKUP(E1046,Sheet2!$B$1:$E$19,2,FALSE))</f>
        <v>1073</v>
      </c>
      <c r="L1046">
        <f>IF(LEN(TRIM(E1046))=0,"",VLOOKUP(E1046,Sheet2!$B$1:$E$19,3,FALSE))</f>
        <v>1108958</v>
      </c>
      <c r="M1046">
        <f>IF(LEN(TRIM(E1046))=0,"",VLOOKUP(E1046,Sheet2!$B$1:$E$19,4,FALSE))+(F1046-1)</f>
        <v>3779922</v>
      </c>
      <c r="N1046" s="1"/>
      <c r="O1046" s="1"/>
      <c r="P1046" s="1"/>
      <c r="Q1046" s="1"/>
    </row>
    <row r="1047" spans="1:17" ht="15" customHeight="1" x14ac:dyDescent="0.25">
      <c r="A1047" s="28" t="s">
        <v>282</v>
      </c>
      <c r="B1047" s="28" t="s">
        <v>290</v>
      </c>
      <c r="C1047" s="6" t="s">
        <v>2880</v>
      </c>
      <c r="D1047" s="1" t="s">
        <v>454</v>
      </c>
      <c r="E1047" s="1">
        <v>2173</v>
      </c>
      <c r="F1047" s="28">
        <v>210</v>
      </c>
      <c r="G1047" s="9" t="s">
        <v>2874</v>
      </c>
      <c r="H1047" s="1" t="s">
        <v>3073</v>
      </c>
      <c r="I1047" s="1" t="s">
        <v>3073</v>
      </c>
      <c r="J1047" t="str">
        <f t="shared" si="16"/>
        <v>http://www.badatelna.eu/reprodukce/?fondId=1073&amp;zaznamId=1108959&amp;reproId=3780203</v>
      </c>
      <c r="K1047">
        <f>IF(LEN(TRIM(E1047))=0,"",VLOOKUP(E1047,Sheet2!$B$1:$E$19,2,FALSE))</f>
        <v>1073</v>
      </c>
      <c r="L1047">
        <f>IF(LEN(TRIM(E1047))=0,"",VLOOKUP(E1047,Sheet2!$B$1:$E$19,3,FALSE))</f>
        <v>1108959</v>
      </c>
      <c r="M1047">
        <f>IF(LEN(TRIM(E1047))=0,"",VLOOKUP(E1047,Sheet2!$B$1:$E$19,4,FALSE))+(F1047-1)</f>
        <v>3780203</v>
      </c>
      <c r="N1047" s="1"/>
      <c r="O1047" s="1"/>
      <c r="P1047" s="1"/>
      <c r="Q1047" s="1"/>
    </row>
    <row r="1048" spans="1:17" ht="15" customHeight="1" x14ac:dyDescent="0.25">
      <c r="A1048" s="28" t="s">
        <v>282</v>
      </c>
      <c r="B1048" s="28" t="s">
        <v>29</v>
      </c>
      <c r="C1048" s="6" t="s">
        <v>2066</v>
      </c>
      <c r="D1048" s="1" t="s">
        <v>454</v>
      </c>
      <c r="E1048" s="1">
        <v>2173</v>
      </c>
      <c r="F1048" s="28">
        <v>181</v>
      </c>
      <c r="G1048" s="9">
        <v>9</v>
      </c>
      <c r="H1048" s="1">
        <v>188</v>
      </c>
      <c r="I1048" s="1">
        <v>418</v>
      </c>
      <c r="J1048" t="str">
        <f t="shared" si="16"/>
        <v>http://www.badatelna.eu/reprodukce/?fondId=1073&amp;zaznamId=1108959&amp;reproId=3780174</v>
      </c>
      <c r="K1048">
        <f>IF(LEN(TRIM(E1048))=0,"",VLOOKUP(E1048,Sheet2!$B$1:$E$19,2,FALSE))</f>
        <v>1073</v>
      </c>
      <c r="L1048">
        <f>IF(LEN(TRIM(E1048))=0,"",VLOOKUP(E1048,Sheet2!$B$1:$E$19,3,FALSE))</f>
        <v>1108959</v>
      </c>
      <c r="M1048">
        <f>IF(LEN(TRIM(E1048))=0,"",VLOOKUP(E1048,Sheet2!$B$1:$E$19,4,FALSE))+(F1048-1)</f>
        <v>3780174</v>
      </c>
    </row>
    <row r="1049" spans="1:17" ht="15" customHeight="1" x14ac:dyDescent="0.25">
      <c r="A1049" s="28" t="s">
        <v>79</v>
      </c>
      <c r="B1049" s="28" t="s">
        <v>80</v>
      </c>
      <c r="C1049" s="6" t="s">
        <v>2257</v>
      </c>
      <c r="D1049" s="1" t="s">
        <v>454</v>
      </c>
      <c r="E1049" s="1">
        <v>2173</v>
      </c>
      <c r="F1049" s="31">
        <v>197</v>
      </c>
      <c r="G1049" s="12">
        <v>4</v>
      </c>
      <c r="H1049" s="1" t="s">
        <v>3073</v>
      </c>
      <c r="I1049" s="1" t="s">
        <v>3073</v>
      </c>
      <c r="J1049" t="str">
        <f t="shared" si="16"/>
        <v>http://www.badatelna.eu/reprodukce/?fondId=1073&amp;zaznamId=1108959&amp;reproId=3780190</v>
      </c>
      <c r="K1049">
        <f>IF(LEN(TRIM(E1049))=0,"",VLOOKUP(E1049,Sheet2!$B$1:$E$19,2,FALSE))</f>
        <v>1073</v>
      </c>
      <c r="L1049">
        <f>IF(LEN(TRIM(E1049))=0,"",VLOOKUP(E1049,Sheet2!$B$1:$E$19,3,FALSE))</f>
        <v>1108959</v>
      </c>
      <c r="M1049">
        <f>IF(LEN(TRIM(E1049))=0,"",VLOOKUP(E1049,Sheet2!$B$1:$E$19,4,FALSE))+(F1049-1)</f>
        <v>3780190</v>
      </c>
    </row>
    <row r="1050" spans="1:17" ht="15" customHeight="1" x14ac:dyDescent="0.25">
      <c r="A1050" s="28" t="s">
        <v>79</v>
      </c>
      <c r="B1050" s="28"/>
      <c r="C1050" s="6"/>
      <c r="D1050" s="1"/>
      <c r="E1050" s="1"/>
      <c r="F1050" s="28"/>
      <c r="G1050" s="9"/>
      <c r="H1050" s="1"/>
      <c r="I1050" s="1"/>
      <c r="J1050" t="str">
        <f t="shared" si="16"/>
        <v/>
      </c>
      <c r="K1050" t="str">
        <f>IF(LEN(TRIM(E1050))=0,"",VLOOKUP(E1050,Sheet2!$B$1:$E$19,2,FALSE))</f>
        <v/>
      </c>
      <c r="L1050" t="str">
        <f>IF(LEN(TRIM(E1050))=0,"",VLOOKUP(E1050,Sheet2!$B$1:$E$19,3,FALSE))</f>
        <v/>
      </c>
      <c r="M1050" t="e">
        <f>IF(LEN(TRIM(E1050))=0,"",VLOOKUP(E1050,Sheet2!$B$1:$E$19,4,FALSE))+(F1050-1)</f>
        <v>#VALUE!</v>
      </c>
    </row>
    <row r="1051" spans="1:17" ht="15" customHeight="1" x14ac:dyDescent="0.25">
      <c r="A1051" s="28" t="s">
        <v>219</v>
      </c>
      <c r="B1051" s="28" t="s">
        <v>80</v>
      </c>
      <c r="C1051" s="6" t="s">
        <v>2509</v>
      </c>
      <c r="D1051" s="1" t="s">
        <v>454</v>
      </c>
      <c r="E1051" s="1">
        <v>2173</v>
      </c>
      <c r="F1051" s="28">
        <v>206</v>
      </c>
      <c r="G1051" s="1">
        <v>21</v>
      </c>
      <c r="H1051" s="1" t="s">
        <v>3073</v>
      </c>
      <c r="I1051" s="1" t="s">
        <v>3073</v>
      </c>
      <c r="J1051" t="str">
        <f t="shared" si="16"/>
        <v>http://www.badatelna.eu/reprodukce/?fondId=1073&amp;zaznamId=1108959&amp;reproId=3780199</v>
      </c>
      <c r="K1051">
        <f>IF(LEN(TRIM(E1051))=0,"",VLOOKUP(E1051,Sheet2!$B$1:$E$19,2,FALSE))</f>
        <v>1073</v>
      </c>
      <c r="L1051">
        <f>IF(LEN(TRIM(E1051))=0,"",VLOOKUP(E1051,Sheet2!$B$1:$E$19,3,FALSE))</f>
        <v>1108959</v>
      </c>
      <c r="M1051">
        <f>IF(LEN(TRIM(E1051))=0,"",VLOOKUP(E1051,Sheet2!$B$1:$E$19,4,FALSE))+(F1051-1)</f>
        <v>3780199</v>
      </c>
      <c r="N1051" s="1"/>
      <c r="O1051" s="1"/>
      <c r="P1051" s="1"/>
      <c r="Q1051" s="1"/>
    </row>
    <row r="1052" spans="1:17" ht="15" customHeight="1" x14ac:dyDescent="0.25">
      <c r="A1052" s="28" t="s">
        <v>219</v>
      </c>
      <c r="B1052" s="28" t="s">
        <v>52</v>
      </c>
      <c r="C1052" s="6" t="s">
        <v>2535</v>
      </c>
      <c r="D1052" s="1" t="s">
        <v>454</v>
      </c>
      <c r="E1052" s="1">
        <v>2173</v>
      </c>
      <c r="F1052" s="28">
        <v>207</v>
      </c>
      <c r="G1052" s="1">
        <v>24</v>
      </c>
      <c r="H1052" s="1" t="s">
        <v>3073</v>
      </c>
      <c r="I1052" s="1" t="s">
        <v>3073</v>
      </c>
      <c r="J1052" t="str">
        <f t="shared" si="16"/>
        <v>http://www.badatelna.eu/reprodukce/?fondId=1073&amp;zaznamId=1108959&amp;reproId=3780200</v>
      </c>
      <c r="K1052">
        <f>IF(LEN(TRIM(E1052))=0,"",VLOOKUP(E1052,Sheet2!$B$1:$E$19,2,FALSE))</f>
        <v>1073</v>
      </c>
      <c r="L1052">
        <f>IF(LEN(TRIM(E1052))=0,"",VLOOKUP(E1052,Sheet2!$B$1:$E$19,3,FALSE))</f>
        <v>1108959</v>
      </c>
      <c r="M1052">
        <f>IF(LEN(TRIM(E1052))=0,"",VLOOKUP(E1052,Sheet2!$B$1:$E$19,4,FALSE))+(F1052-1)</f>
        <v>3780200</v>
      </c>
      <c r="N1052" s="1"/>
      <c r="O1052" s="1"/>
      <c r="P1052" s="1"/>
      <c r="Q1052" s="1"/>
    </row>
    <row r="1053" spans="1:17" ht="15" customHeight="1" x14ac:dyDescent="0.25">
      <c r="A1053" s="29" t="s">
        <v>3103</v>
      </c>
      <c r="B1053" s="28" t="s">
        <v>80</v>
      </c>
      <c r="C1053" s="18" t="s">
        <v>2799</v>
      </c>
      <c r="D1053" s="1" t="s">
        <v>454</v>
      </c>
      <c r="E1053" s="1">
        <v>2173</v>
      </c>
      <c r="F1053" s="28">
        <v>198</v>
      </c>
      <c r="G1053" s="9">
        <v>5</v>
      </c>
      <c r="H1053" s="1" t="s">
        <v>3073</v>
      </c>
      <c r="I1053" s="1" t="s">
        <v>3073</v>
      </c>
      <c r="J1053" t="str">
        <f t="shared" si="16"/>
        <v>http://www.badatelna.eu/reprodukce/?fondId=1073&amp;zaznamId=1108959&amp;reproId=3780191</v>
      </c>
      <c r="K1053">
        <f>IF(LEN(TRIM(E1053))=0,"",VLOOKUP(E1053,Sheet2!$B$1:$E$19,2,FALSE))</f>
        <v>1073</v>
      </c>
      <c r="L1053">
        <f>IF(LEN(TRIM(E1053))=0,"",VLOOKUP(E1053,Sheet2!$B$1:$E$19,3,FALSE))</f>
        <v>1108959</v>
      </c>
      <c r="M1053">
        <f>IF(LEN(TRIM(E1053))=0,"",VLOOKUP(E1053,Sheet2!$B$1:$E$19,4,FALSE))+(F1053-1)</f>
        <v>3780191</v>
      </c>
      <c r="N1053" s="1"/>
      <c r="O1053" s="1"/>
      <c r="P1053" s="1"/>
      <c r="Q1053" s="1"/>
    </row>
    <row r="1054" spans="1:17" ht="15" customHeight="1" x14ac:dyDescent="0.25">
      <c r="A1054" s="28" t="s">
        <v>892</v>
      </c>
      <c r="B1054" s="28" t="s">
        <v>746</v>
      </c>
      <c r="C1054" s="1">
        <v>1882</v>
      </c>
      <c r="D1054" s="1" t="s">
        <v>454</v>
      </c>
      <c r="E1054" s="1">
        <v>2172</v>
      </c>
      <c r="F1054" s="29">
        <v>29</v>
      </c>
      <c r="G1054" s="9" t="s">
        <v>2758</v>
      </c>
      <c r="H1054" s="1">
        <v>30</v>
      </c>
      <c r="I1054" s="1">
        <v>29</v>
      </c>
      <c r="J1054" t="str">
        <f t="shared" si="16"/>
        <v>http://www.badatelna.eu/reprodukce/?fondId=1073&amp;zaznamId=1108958&amp;reproId=3779770</v>
      </c>
      <c r="K1054">
        <f>IF(LEN(TRIM(E1054))=0,"",VLOOKUP(E1054,Sheet2!$B$1:$E$19,2,FALSE))</f>
        <v>1073</v>
      </c>
      <c r="L1054">
        <f>IF(LEN(TRIM(E1054))=0,"",VLOOKUP(E1054,Sheet2!$B$1:$E$19,3,FALSE))</f>
        <v>1108958</v>
      </c>
      <c r="M1054">
        <f>IF(LEN(TRIM(E1054))=0,"",VLOOKUP(E1054,Sheet2!$B$1:$E$19,4,FALSE))+(F1054-1)</f>
        <v>3779770</v>
      </c>
      <c r="N1054" s="1"/>
      <c r="O1054" s="1"/>
      <c r="P1054" s="1"/>
      <c r="Q1054" s="1"/>
    </row>
    <row r="1055" spans="1:17" ht="15" customHeight="1" x14ac:dyDescent="0.25">
      <c r="A1055" s="28" t="s">
        <v>893</v>
      </c>
      <c r="B1055" s="28" t="s">
        <v>579</v>
      </c>
      <c r="C1055" s="6" t="s">
        <v>1848</v>
      </c>
      <c r="D1055" s="1" t="s">
        <v>454</v>
      </c>
      <c r="E1055" s="1">
        <v>2172</v>
      </c>
      <c r="F1055" s="28">
        <v>179</v>
      </c>
      <c r="G1055" s="9">
        <v>172</v>
      </c>
      <c r="H1055" s="1" t="s">
        <v>3073</v>
      </c>
      <c r="I1055" s="1" t="s">
        <v>3073</v>
      </c>
      <c r="J1055" t="str">
        <f t="shared" si="16"/>
        <v>http://www.badatelna.eu/reprodukce/?fondId=1073&amp;zaznamId=1108958&amp;reproId=3779920</v>
      </c>
      <c r="K1055">
        <f>IF(LEN(TRIM(E1055))=0,"",VLOOKUP(E1055,Sheet2!$B$1:$E$19,2,FALSE))</f>
        <v>1073</v>
      </c>
      <c r="L1055">
        <f>IF(LEN(TRIM(E1055))=0,"",VLOOKUP(E1055,Sheet2!$B$1:$E$19,3,FALSE))</f>
        <v>1108958</v>
      </c>
      <c r="M1055">
        <f>IF(LEN(TRIM(E1055))=0,"",VLOOKUP(E1055,Sheet2!$B$1:$E$19,4,FALSE))+(F1055-1)</f>
        <v>3779920</v>
      </c>
      <c r="N1055" s="1"/>
      <c r="O1055" s="1"/>
      <c r="P1055" s="1"/>
      <c r="Q1055" s="1"/>
    </row>
    <row r="1056" spans="1:17" ht="15" customHeight="1" x14ac:dyDescent="0.25">
      <c r="A1056" s="28" t="s">
        <v>893</v>
      </c>
      <c r="B1056" s="28" t="s">
        <v>594</v>
      </c>
      <c r="C1056" s="15">
        <v>9895</v>
      </c>
      <c r="D1056" s="1" t="s">
        <v>454</v>
      </c>
      <c r="E1056" s="1">
        <v>2172</v>
      </c>
      <c r="F1056" s="28">
        <v>211</v>
      </c>
      <c r="G1056" s="9">
        <v>195</v>
      </c>
      <c r="H1056" s="1" t="s">
        <v>3073</v>
      </c>
      <c r="I1056" s="1" t="s">
        <v>3073</v>
      </c>
      <c r="J1056" t="str">
        <f t="shared" si="16"/>
        <v>http://www.badatelna.eu/reprodukce/?fondId=1073&amp;zaznamId=1108958&amp;reproId=3779952</v>
      </c>
      <c r="K1056">
        <f>IF(LEN(TRIM(E1056))=0,"",VLOOKUP(E1056,Sheet2!$B$1:$E$19,2,FALSE))</f>
        <v>1073</v>
      </c>
      <c r="L1056">
        <f>IF(LEN(TRIM(E1056))=0,"",VLOOKUP(E1056,Sheet2!$B$1:$E$19,3,FALSE))</f>
        <v>1108958</v>
      </c>
      <c r="M1056">
        <f>IF(LEN(TRIM(E1056))=0,"",VLOOKUP(E1056,Sheet2!$B$1:$E$19,4,FALSE))+(F1056-1)</f>
        <v>3779952</v>
      </c>
      <c r="N1056" s="1"/>
      <c r="O1056" s="1"/>
      <c r="P1056" s="1"/>
      <c r="Q1056" s="1"/>
    </row>
    <row r="1057" spans="1:17" ht="15" customHeight="1" x14ac:dyDescent="0.25">
      <c r="A1057" s="28" t="s">
        <v>2857</v>
      </c>
      <c r="B1057" s="28" t="s">
        <v>45</v>
      </c>
      <c r="C1057" s="6" t="s">
        <v>2576</v>
      </c>
      <c r="D1057" s="1" t="s">
        <v>454</v>
      </c>
      <c r="E1057" s="1">
        <v>2173</v>
      </c>
      <c r="F1057" s="28">
        <v>213</v>
      </c>
      <c r="G1057" s="9">
        <v>36</v>
      </c>
      <c r="H1057" s="1" t="s">
        <v>3073</v>
      </c>
      <c r="I1057" s="1" t="s">
        <v>3073</v>
      </c>
      <c r="J1057" t="str">
        <f t="shared" si="16"/>
        <v>http://www.badatelna.eu/reprodukce/?fondId=1073&amp;zaznamId=1108959&amp;reproId=3780206</v>
      </c>
      <c r="K1057">
        <f>IF(LEN(TRIM(E1057))=0,"",VLOOKUP(E1057,Sheet2!$B$1:$E$19,2,FALSE))</f>
        <v>1073</v>
      </c>
      <c r="L1057">
        <f>IF(LEN(TRIM(E1057))=0,"",VLOOKUP(E1057,Sheet2!$B$1:$E$19,3,FALSE))</f>
        <v>1108959</v>
      </c>
      <c r="M1057">
        <f>IF(LEN(TRIM(E1057))=0,"",VLOOKUP(E1057,Sheet2!$B$1:$E$19,4,FALSE))+(F1057-1)</f>
        <v>3780206</v>
      </c>
      <c r="N1057" s="1"/>
      <c r="O1057" s="1"/>
      <c r="P1057" s="1"/>
      <c r="Q1057" s="1"/>
    </row>
    <row r="1058" spans="1:17" ht="15" customHeight="1" x14ac:dyDescent="0.25">
      <c r="A1058" s="28" t="s">
        <v>568</v>
      </c>
      <c r="B1058" s="28" t="s">
        <v>424</v>
      </c>
      <c r="C1058" s="1">
        <v>1893</v>
      </c>
      <c r="D1058" s="1" t="s">
        <v>454</v>
      </c>
      <c r="E1058" s="1">
        <v>2172</v>
      </c>
      <c r="F1058" s="28">
        <v>87</v>
      </c>
      <c r="G1058" s="9">
        <v>86</v>
      </c>
      <c r="H1058" s="1">
        <v>89</v>
      </c>
      <c r="I1058" s="1">
        <v>88</v>
      </c>
      <c r="J1058" t="str">
        <f t="shared" si="16"/>
        <v>http://www.badatelna.eu/reprodukce/?fondId=1073&amp;zaznamId=1108958&amp;reproId=3779828</v>
      </c>
      <c r="K1058">
        <f>IF(LEN(TRIM(E1058))=0,"",VLOOKUP(E1058,Sheet2!$B$1:$E$19,2,FALSE))</f>
        <v>1073</v>
      </c>
      <c r="L1058">
        <f>IF(LEN(TRIM(E1058))=0,"",VLOOKUP(E1058,Sheet2!$B$1:$E$19,3,FALSE))</f>
        <v>1108958</v>
      </c>
      <c r="M1058">
        <f>IF(LEN(TRIM(E1058))=0,"",VLOOKUP(E1058,Sheet2!$B$1:$E$19,4,FALSE))+(F1058-1)</f>
        <v>3779828</v>
      </c>
      <c r="N1058" s="1"/>
      <c r="O1058" s="1"/>
      <c r="P1058" s="1"/>
      <c r="Q1058" s="1"/>
    </row>
    <row r="1059" spans="1:17" ht="15" customHeight="1" x14ac:dyDescent="0.2">
      <c r="A1059" s="32" t="s">
        <v>2792</v>
      </c>
      <c r="B1059" s="31" t="s">
        <v>2791</v>
      </c>
      <c r="C1059" s="7" t="s">
        <v>2788</v>
      </c>
      <c r="D1059" s="1" t="s">
        <v>454</v>
      </c>
      <c r="E1059" s="1">
        <v>2173</v>
      </c>
      <c r="F1059" s="31">
        <v>197</v>
      </c>
      <c r="G1059" s="12">
        <v>3</v>
      </c>
      <c r="H1059" s="1" t="s">
        <v>3073</v>
      </c>
      <c r="I1059" s="1" t="s">
        <v>3073</v>
      </c>
      <c r="J1059" t="str">
        <f t="shared" si="16"/>
        <v>http://www.badatelna.eu/reprodukce/?fondId=1073&amp;zaznamId=1108959&amp;reproId=3780190</v>
      </c>
      <c r="K1059">
        <f>IF(LEN(TRIM(E1059))=0,"",VLOOKUP(E1059,Sheet2!$B$1:$E$19,2,FALSE))</f>
        <v>1073</v>
      </c>
      <c r="L1059">
        <f>IF(LEN(TRIM(E1059))=0,"",VLOOKUP(E1059,Sheet2!$B$1:$E$19,3,FALSE))</f>
        <v>1108959</v>
      </c>
      <c r="M1059">
        <f>IF(LEN(TRIM(E1059))=0,"",VLOOKUP(E1059,Sheet2!$B$1:$E$19,4,FALSE))+(F1059-1)</f>
        <v>3780190</v>
      </c>
      <c r="N1059" s="1"/>
      <c r="O1059" s="1"/>
      <c r="P1059" s="1"/>
      <c r="Q1059" s="1"/>
    </row>
    <row r="1060" spans="1:17" ht="15" customHeight="1" x14ac:dyDescent="0.25">
      <c r="A1060" s="28" t="s">
        <v>194</v>
      </c>
      <c r="B1060" s="29" t="s">
        <v>2967</v>
      </c>
      <c r="C1060" s="1">
        <v>1860</v>
      </c>
      <c r="D1060" s="1" t="s">
        <v>2919</v>
      </c>
      <c r="E1060" s="1">
        <v>998</v>
      </c>
      <c r="F1060" s="28">
        <v>58</v>
      </c>
      <c r="G1060" s="1">
        <v>55</v>
      </c>
      <c r="H1060" s="1">
        <v>70</v>
      </c>
      <c r="I1060" s="1">
        <v>67</v>
      </c>
      <c r="J1060" t="str">
        <f t="shared" si="16"/>
        <v>http://www.badatelna.eu/reprodukce/?fondId=241&amp;zaznamId=1133738&amp;reproId=3885704</v>
      </c>
      <c r="K1060">
        <f>IF(LEN(TRIM(E1060))=0,"",VLOOKUP(E1060,Sheet2!$B$1:$E$19,2,FALSE))</f>
        <v>241</v>
      </c>
      <c r="L1060">
        <f>IF(LEN(TRIM(E1060))=0,"",VLOOKUP(E1060,Sheet2!$B$1:$E$19,3,FALSE))</f>
        <v>1133738</v>
      </c>
      <c r="M1060">
        <f>IF(LEN(TRIM(E1060))=0,"",VLOOKUP(E1060,Sheet2!$B$1:$E$19,4,FALSE))+(F1060-1)</f>
        <v>3885704</v>
      </c>
      <c r="N1060" s="1"/>
      <c r="O1060" s="1"/>
      <c r="P1060" s="1"/>
      <c r="Q1060" s="1"/>
    </row>
    <row r="1061" spans="1:17" ht="15" customHeight="1" x14ac:dyDescent="0.25">
      <c r="A1061" s="28" t="s">
        <v>194</v>
      </c>
      <c r="B1061" s="28" t="s">
        <v>293</v>
      </c>
      <c r="C1061" s="6" t="s">
        <v>1830</v>
      </c>
      <c r="D1061" s="1" t="s">
        <v>454</v>
      </c>
      <c r="E1061" s="1">
        <v>2172</v>
      </c>
      <c r="F1061" s="28">
        <v>171</v>
      </c>
      <c r="G1061" s="9" t="s">
        <v>3093</v>
      </c>
      <c r="H1061" s="1" t="s">
        <v>3073</v>
      </c>
      <c r="I1061" s="1" t="s">
        <v>3073</v>
      </c>
      <c r="J1061" t="str">
        <f t="shared" si="16"/>
        <v>http://www.badatelna.eu/reprodukce/?fondId=1073&amp;zaznamId=1108958&amp;reproId=3779912</v>
      </c>
      <c r="K1061">
        <f>IF(LEN(TRIM(E1061))=0,"",VLOOKUP(E1061,Sheet2!$B$1:$E$19,2,FALSE))</f>
        <v>1073</v>
      </c>
      <c r="L1061">
        <f>IF(LEN(TRIM(E1061))=0,"",VLOOKUP(E1061,Sheet2!$B$1:$E$19,3,FALSE))</f>
        <v>1108958</v>
      </c>
      <c r="M1061">
        <f>IF(LEN(TRIM(E1061))=0,"",VLOOKUP(E1061,Sheet2!$B$1:$E$19,4,FALSE))+(F1061-1)</f>
        <v>3779912</v>
      </c>
      <c r="N1061" s="1"/>
      <c r="O1061" s="1"/>
      <c r="P1061" s="1"/>
      <c r="Q1061" s="1"/>
    </row>
    <row r="1062" spans="1:17" ht="15" customHeight="1" x14ac:dyDescent="0.25">
      <c r="A1062" s="28" t="s">
        <v>194</v>
      </c>
      <c r="B1062" s="28" t="s">
        <v>293</v>
      </c>
      <c r="C1062" s="6" t="s">
        <v>2067</v>
      </c>
      <c r="D1062" s="1" t="s">
        <v>454</v>
      </c>
      <c r="E1062" s="1">
        <v>2173</v>
      </c>
      <c r="F1062" s="28">
        <v>177</v>
      </c>
      <c r="G1062" s="9">
        <v>1</v>
      </c>
      <c r="H1062" s="1">
        <v>188</v>
      </c>
      <c r="I1062" s="1">
        <v>419</v>
      </c>
      <c r="J1062" t="str">
        <f t="shared" si="16"/>
        <v>http://www.badatelna.eu/reprodukce/?fondId=1073&amp;zaznamId=1108959&amp;reproId=3780170</v>
      </c>
      <c r="K1062">
        <f>IF(LEN(TRIM(E1062))=0,"",VLOOKUP(E1062,Sheet2!$B$1:$E$19,2,FALSE))</f>
        <v>1073</v>
      </c>
      <c r="L1062">
        <f>IF(LEN(TRIM(E1062))=0,"",VLOOKUP(E1062,Sheet2!$B$1:$E$19,3,FALSE))</f>
        <v>1108959</v>
      </c>
      <c r="M1062">
        <f>IF(LEN(TRIM(E1062))=0,"",VLOOKUP(E1062,Sheet2!$B$1:$E$19,4,FALSE))+(F1062-1)</f>
        <v>3780170</v>
      </c>
      <c r="N1062" s="1"/>
      <c r="O1062" s="1"/>
      <c r="P1062" s="1"/>
      <c r="Q1062" s="1"/>
    </row>
    <row r="1063" spans="1:17" ht="15" customHeight="1" x14ac:dyDescent="0.25">
      <c r="A1063" s="29" t="s">
        <v>194</v>
      </c>
      <c r="B1063" s="29" t="s">
        <v>2831</v>
      </c>
      <c r="C1063" s="6" t="s">
        <v>2067</v>
      </c>
      <c r="D1063" s="1" t="s">
        <v>454</v>
      </c>
      <c r="E1063" s="1">
        <v>2173</v>
      </c>
      <c r="F1063" s="28">
        <v>208</v>
      </c>
      <c r="G1063" s="1">
        <v>25</v>
      </c>
      <c r="H1063" s="1" t="s">
        <v>3073</v>
      </c>
      <c r="I1063" s="1" t="s">
        <v>3073</v>
      </c>
      <c r="J1063" t="str">
        <f t="shared" si="16"/>
        <v>http://www.badatelna.eu/reprodukce/?fondId=1073&amp;zaznamId=1108959&amp;reproId=3780201</v>
      </c>
      <c r="K1063">
        <f>IF(LEN(TRIM(E1063))=0,"",VLOOKUP(E1063,Sheet2!$B$1:$E$19,2,FALSE))</f>
        <v>1073</v>
      </c>
      <c r="L1063">
        <f>IF(LEN(TRIM(E1063))=0,"",VLOOKUP(E1063,Sheet2!$B$1:$E$19,3,FALSE))</f>
        <v>1108959</v>
      </c>
      <c r="M1063">
        <f>IF(LEN(TRIM(E1063))=0,"",VLOOKUP(E1063,Sheet2!$B$1:$E$19,4,FALSE))+(F1063-1)</f>
        <v>3780201</v>
      </c>
      <c r="N1063" s="1"/>
      <c r="O1063" s="1"/>
      <c r="P1063" s="1"/>
      <c r="Q1063" s="1"/>
    </row>
    <row r="1064" spans="1:17" ht="15" customHeight="1" x14ac:dyDescent="0.25">
      <c r="A1064" s="28" t="s">
        <v>194</v>
      </c>
      <c r="B1064" s="28" t="s">
        <v>129</v>
      </c>
      <c r="C1064" s="6" t="s">
        <v>2449</v>
      </c>
      <c r="D1064" s="1" t="s">
        <v>454</v>
      </c>
      <c r="E1064" s="1">
        <v>2173</v>
      </c>
      <c r="F1064" s="28">
        <v>204</v>
      </c>
      <c r="G1064" s="1">
        <v>17</v>
      </c>
      <c r="H1064" s="1" t="s">
        <v>3073</v>
      </c>
      <c r="I1064" s="1" t="s">
        <v>3073</v>
      </c>
      <c r="J1064" t="str">
        <f t="shared" si="16"/>
        <v>http://www.badatelna.eu/reprodukce/?fondId=1073&amp;zaznamId=1108959&amp;reproId=3780197</v>
      </c>
      <c r="K1064">
        <f>IF(LEN(TRIM(E1064))=0,"",VLOOKUP(E1064,Sheet2!$B$1:$E$19,2,FALSE))</f>
        <v>1073</v>
      </c>
      <c r="L1064">
        <f>IF(LEN(TRIM(E1064))=0,"",VLOOKUP(E1064,Sheet2!$B$1:$E$19,3,FALSE))</f>
        <v>1108959</v>
      </c>
      <c r="M1064">
        <f>IF(LEN(TRIM(E1064))=0,"",VLOOKUP(E1064,Sheet2!$B$1:$E$19,4,FALSE))+(F1064-1)</f>
        <v>3780197</v>
      </c>
      <c r="N1064" s="1"/>
      <c r="O1064" s="1"/>
      <c r="P1064" s="1"/>
      <c r="Q1064" s="1"/>
    </row>
    <row r="1065" spans="1:17" ht="15" customHeight="1" x14ac:dyDescent="0.25">
      <c r="A1065" s="28" t="s">
        <v>194</v>
      </c>
      <c r="B1065" s="28" t="s">
        <v>894</v>
      </c>
      <c r="C1065" s="15">
        <v>11421</v>
      </c>
      <c r="D1065" s="1" t="s">
        <v>454</v>
      </c>
      <c r="E1065" s="1">
        <v>2172</v>
      </c>
      <c r="F1065" s="28">
        <v>223</v>
      </c>
      <c r="G1065" s="9">
        <v>204</v>
      </c>
      <c r="H1065" s="1" t="s">
        <v>3073</v>
      </c>
      <c r="I1065" s="1" t="s">
        <v>3073</v>
      </c>
      <c r="J1065" t="str">
        <f t="shared" si="16"/>
        <v>http://www.badatelna.eu/reprodukce/?fondId=1073&amp;zaznamId=1108958&amp;reproId=3779964</v>
      </c>
      <c r="K1065">
        <f>IF(LEN(TRIM(E1065))=0,"",VLOOKUP(E1065,Sheet2!$B$1:$E$19,2,FALSE))</f>
        <v>1073</v>
      </c>
      <c r="L1065">
        <f>IF(LEN(TRIM(E1065))=0,"",VLOOKUP(E1065,Sheet2!$B$1:$E$19,3,FALSE))</f>
        <v>1108958</v>
      </c>
      <c r="M1065">
        <f>IF(LEN(TRIM(E1065))=0,"",VLOOKUP(E1065,Sheet2!$B$1:$E$19,4,FALSE))+(F1065-1)</f>
        <v>3779964</v>
      </c>
      <c r="N1065" s="1"/>
      <c r="O1065" s="1"/>
      <c r="P1065" s="1"/>
      <c r="Q1065" s="1"/>
    </row>
    <row r="1066" spans="1:17" ht="15" customHeight="1" x14ac:dyDescent="0.25">
      <c r="A1066" s="28" t="s">
        <v>194</v>
      </c>
      <c r="B1066" s="28" t="s">
        <v>198</v>
      </c>
      <c r="C1066" s="1">
        <v>1858</v>
      </c>
      <c r="D1066" s="1" t="s">
        <v>2919</v>
      </c>
      <c r="E1066" s="1">
        <v>998</v>
      </c>
      <c r="F1066" s="28">
        <v>54</v>
      </c>
      <c r="G1066" s="1">
        <v>52</v>
      </c>
      <c r="H1066" s="1">
        <v>70</v>
      </c>
      <c r="I1066" s="1">
        <v>67</v>
      </c>
      <c r="J1066" t="str">
        <f t="shared" si="16"/>
        <v>http://www.badatelna.eu/reprodukce/?fondId=241&amp;zaznamId=1133738&amp;reproId=3885700</v>
      </c>
      <c r="K1066">
        <f>IF(LEN(TRIM(E1066))=0,"",VLOOKUP(E1066,Sheet2!$B$1:$E$19,2,FALSE))</f>
        <v>241</v>
      </c>
      <c r="L1066">
        <f>IF(LEN(TRIM(E1066))=0,"",VLOOKUP(E1066,Sheet2!$B$1:$E$19,3,FALSE))</f>
        <v>1133738</v>
      </c>
      <c r="M1066">
        <f>IF(LEN(TRIM(E1066))=0,"",VLOOKUP(E1066,Sheet2!$B$1:$E$19,4,FALSE))+(F1066-1)</f>
        <v>3885700</v>
      </c>
      <c r="N1066" s="1"/>
      <c r="O1066" s="1"/>
      <c r="P1066" s="1"/>
      <c r="Q1066" s="1"/>
    </row>
    <row r="1067" spans="1:17" ht="15" customHeight="1" x14ac:dyDescent="0.25">
      <c r="A1067" s="28" t="s">
        <v>194</v>
      </c>
      <c r="B1067" s="28" t="s">
        <v>895</v>
      </c>
      <c r="C1067" s="6" t="s">
        <v>1712</v>
      </c>
      <c r="D1067" s="1" t="s">
        <v>454</v>
      </c>
      <c r="E1067" s="1">
        <v>2172</v>
      </c>
      <c r="F1067" s="28">
        <v>121</v>
      </c>
      <c r="G1067" s="9">
        <v>120</v>
      </c>
      <c r="H1067" s="1">
        <v>123</v>
      </c>
      <c r="I1067" s="1">
        <v>122</v>
      </c>
      <c r="J1067" t="str">
        <f t="shared" si="16"/>
        <v>http://www.badatelna.eu/reprodukce/?fondId=1073&amp;zaznamId=1108958&amp;reproId=3779862</v>
      </c>
      <c r="K1067">
        <f>IF(LEN(TRIM(E1067))=0,"",VLOOKUP(E1067,Sheet2!$B$1:$E$19,2,FALSE))</f>
        <v>1073</v>
      </c>
      <c r="L1067">
        <f>IF(LEN(TRIM(E1067))=0,"",VLOOKUP(E1067,Sheet2!$B$1:$E$19,3,FALSE))</f>
        <v>1108958</v>
      </c>
      <c r="M1067">
        <f>IF(LEN(TRIM(E1067))=0,"",VLOOKUP(E1067,Sheet2!$B$1:$E$19,4,FALSE))+(F1067-1)</f>
        <v>3779862</v>
      </c>
      <c r="N1067" s="1"/>
      <c r="O1067" s="1"/>
      <c r="P1067" s="1"/>
      <c r="Q1067" s="1"/>
    </row>
    <row r="1068" spans="1:17" ht="15" customHeight="1" x14ac:dyDescent="0.25">
      <c r="A1068" s="28" t="s">
        <v>194</v>
      </c>
      <c r="B1068" s="28" t="s">
        <v>328</v>
      </c>
      <c r="C1068" s="1">
        <v>1848</v>
      </c>
      <c r="D1068" s="1" t="s">
        <v>2919</v>
      </c>
      <c r="E1068" s="1">
        <v>998</v>
      </c>
      <c r="F1068" s="28">
        <v>11</v>
      </c>
      <c r="G1068" s="1">
        <v>9</v>
      </c>
      <c r="H1068" s="1">
        <v>70</v>
      </c>
      <c r="I1068" s="1">
        <v>67</v>
      </c>
      <c r="J1068" t="str">
        <f t="shared" si="16"/>
        <v>http://www.badatelna.eu/reprodukce/?fondId=241&amp;zaznamId=1133738&amp;reproId=3885657</v>
      </c>
      <c r="K1068">
        <f>IF(LEN(TRIM(E1068))=0,"",VLOOKUP(E1068,Sheet2!$B$1:$E$19,2,FALSE))</f>
        <v>241</v>
      </c>
      <c r="L1068">
        <f>IF(LEN(TRIM(E1068))=0,"",VLOOKUP(E1068,Sheet2!$B$1:$E$19,3,FALSE))</f>
        <v>1133738</v>
      </c>
      <c r="M1068">
        <f>IF(LEN(TRIM(E1068))=0,"",VLOOKUP(E1068,Sheet2!$B$1:$E$19,4,FALSE))+(F1068-1)</f>
        <v>3885657</v>
      </c>
      <c r="N1068" s="1"/>
      <c r="O1068" s="1"/>
      <c r="P1068" s="1"/>
      <c r="Q1068" s="1"/>
    </row>
    <row r="1069" spans="1:17" ht="15" customHeight="1" x14ac:dyDescent="0.25">
      <c r="A1069" s="27" t="s">
        <v>194</v>
      </c>
      <c r="B1069" s="27" t="s">
        <v>542</v>
      </c>
      <c r="C1069" s="5" t="s">
        <v>1195</v>
      </c>
      <c r="D1069" s="3" t="s">
        <v>454</v>
      </c>
      <c r="E1069" s="3">
        <v>2170</v>
      </c>
      <c r="F1069" s="28">
        <v>22</v>
      </c>
      <c r="G1069" s="10">
        <v>18</v>
      </c>
      <c r="H1069" s="3">
        <v>63</v>
      </c>
      <c r="I1069" s="3">
        <v>59</v>
      </c>
      <c r="J1069" t="str">
        <f t="shared" si="16"/>
        <v>http://www.badatelna.eu/reprodukce/?fondId=1073&amp;zaznamId=1108956&amp;reproId=3779614</v>
      </c>
      <c r="K1069">
        <f>IF(LEN(TRIM(E1069))=0,"",VLOOKUP(E1069,Sheet2!$B$1:$E$19,2,FALSE))</f>
        <v>1073</v>
      </c>
      <c r="L1069">
        <f>IF(LEN(TRIM(E1069))=0,"",VLOOKUP(E1069,Sheet2!$B$1:$E$19,3,FALSE))</f>
        <v>1108956</v>
      </c>
      <c r="M1069">
        <f>IF(LEN(TRIM(E1069))=0,"",VLOOKUP(E1069,Sheet2!$B$1:$E$19,4,FALSE))+(F1069-1)</f>
        <v>3779614</v>
      </c>
      <c r="N1069" s="1"/>
      <c r="O1069" s="1"/>
      <c r="P1069" s="1"/>
      <c r="Q1069" s="1"/>
    </row>
    <row r="1070" spans="1:17" ht="15" customHeight="1" x14ac:dyDescent="0.2">
      <c r="A1070" s="31" t="s">
        <v>71</v>
      </c>
      <c r="B1070" s="31" t="s">
        <v>10</v>
      </c>
      <c r="C1070" s="7" t="s">
        <v>2258</v>
      </c>
      <c r="D1070" s="1" t="s">
        <v>454</v>
      </c>
      <c r="E1070" s="1">
        <v>2173</v>
      </c>
      <c r="F1070" s="31">
        <v>197</v>
      </c>
      <c r="G1070" s="12">
        <v>4</v>
      </c>
      <c r="H1070" s="1" t="s">
        <v>3073</v>
      </c>
      <c r="I1070" s="1" t="s">
        <v>3073</v>
      </c>
      <c r="J1070" t="str">
        <f t="shared" si="16"/>
        <v>http://www.badatelna.eu/reprodukce/?fondId=1073&amp;zaznamId=1108959&amp;reproId=3780190</v>
      </c>
      <c r="K1070">
        <f>IF(LEN(TRIM(E1070))=0,"",VLOOKUP(E1070,Sheet2!$B$1:$E$19,2,FALSE))</f>
        <v>1073</v>
      </c>
      <c r="L1070">
        <f>IF(LEN(TRIM(E1070))=0,"",VLOOKUP(E1070,Sheet2!$B$1:$E$19,3,FALSE))</f>
        <v>1108959</v>
      </c>
      <c r="M1070">
        <f>IF(LEN(TRIM(E1070))=0,"",VLOOKUP(E1070,Sheet2!$B$1:$E$19,4,FALSE))+(F1070-1)</f>
        <v>3780190</v>
      </c>
      <c r="N1070" s="1"/>
      <c r="O1070" s="1"/>
      <c r="P1070" s="1"/>
      <c r="Q1070" s="1"/>
    </row>
    <row r="1071" spans="1:17" ht="15" customHeight="1" x14ac:dyDescent="0.25">
      <c r="A1071" s="28" t="s">
        <v>71</v>
      </c>
      <c r="B1071" s="28" t="s">
        <v>46</v>
      </c>
      <c r="C1071" s="6" t="s">
        <v>2349</v>
      </c>
      <c r="D1071" s="1" t="s">
        <v>454</v>
      </c>
      <c r="E1071" s="1">
        <v>2173</v>
      </c>
      <c r="F1071" s="28">
        <v>200</v>
      </c>
      <c r="G1071" s="9">
        <v>9</v>
      </c>
      <c r="H1071" s="1" t="s">
        <v>3073</v>
      </c>
      <c r="I1071" s="1" t="s">
        <v>3073</v>
      </c>
      <c r="J1071" t="str">
        <f t="shared" si="16"/>
        <v>http://www.badatelna.eu/reprodukce/?fondId=1073&amp;zaznamId=1108959&amp;reproId=3780193</v>
      </c>
      <c r="K1071">
        <f>IF(LEN(TRIM(E1071))=0,"",VLOOKUP(E1071,Sheet2!$B$1:$E$19,2,FALSE))</f>
        <v>1073</v>
      </c>
      <c r="L1071">
        <f>IF(LEN(TRIM(E1071))=0,"",VLOOKUP(E1071,Sheet2!$B$1:$E$19,3,FALSE))</f>
        <v>1108959</v>
      </c>
      <c r="M1071">
        <f>IF(LEN(TRIM(E1071))=0,"",VLOOKUP(E1071,Sheet2!$B$1:$E$19,4,FALSE))+(F1071-1)</f>
        <v>3780193</v>
      </c>
    </row>
    <row r="1072" spans="1:17" ht="15" customHeight="1" x14ac:dyDescent="0.25">
      <c r="A1072" s="28" t="s">
        <v>292</v>
      </c>
      <c r="B1072" s="28" t="s">
        <v>33</v>
      </c>
      <c r="C1072" s="6" t="s">
        <v>2658</v>
      </c>
      <c r="D1072" s="1" t="s">
        <v>454</v>
      </c>
      <c r="E1072" s="1">
        <v>2173</v>
      </c>
      <c r="F1072" s="28">
        <v>222</v>
      </c>
      <c r="G1072" s="9">
        <v>49</v>
      </c>
      <c r="H1072" s="1" t="s">
        <v>3073</v>
      </c>
      <c r="I1072" s="1" t="s">
        <v>3073</v>
      </c>
      <c r="J1072" t="str">
        <f t="shared" si="16"/>
        <v>http://www.badatelna.eu/reprodukce/?fondId=1073&amp;zaznamId=1108959&amp;reproId=3780215</v>
      </c>
      <c r="K1072">
        <f>IF(LEN(TRIM(E1072))=0,"",VLOOKUP(E1072,Sheet2!$B$1:$E$19,2,FALSE))</f>
        <v>1073</v>
      </c>
      <c r="L1072">
        <f>IF(LEN(TRIM(E1072))=0,"",VLOOKUP(E1072,Sheet2!$B$1:$E$19,3,FALSE))</f>
        <v>1108959</v>
      </c>
      <c r="M1072">
        <f>IF(LEN(TRIM(E1072))=0,"",VLOOKUP(E1072,Sheet2!$B$1:$E$19,4,FALSE))+(F1072-1)</f>
        <v>3780215</v>
      </c>
      <c r="N1072" s="1"/>
      <c r="O1072" s="1"/>
      <c r="P1072" s="1"/>
      <c r="Q1072" s="1"/>
    </row>
    <row r="1073" spans="1:17" ht="15" customHeight="1" x14ac:dyDescent="0.25">
      <c r="A1073" s="28" t="s">
        <v>292</v>
      </c>
      <c r="B1073" s="28" t="s">
        <v>29</v>
      </c>
      <c r="C1073" s="1">
        <v>1849</v>
      </c>
      <c r="D1073" s="1" t="s">
        <v>2919</v>
      </c>
      <c r="E1073" s="1">
        <v>998</v>
      </c>
      <c r="F1073" s="28">
        <v>20</v>
      </c>
      <c r="G1073" s="1">
        <v>18</v>
      </c>
      <c r="H1073" s="1">
        <v>70</v>
      </c>
      <c r="I1073" s="1">
        <v>67</v>
      </c>
      <c r="J1073" t="str">
        <f t="shared" si="16"/>
        <v>http://www.badatelna.eu/reprodukce/?fondId=241&amp;zaznamId=1133738&amp;reproId=3885666</v>
      </c>
      <c r="K1073">
        <f>IF(LEN(TRIM(E1073))=0,"",VLOOKUP(E1073,Sheet2!$B$1:$E$19,2,FALSE))</f>
        <v>241</v>
      </c>
      <c r="L1073">
        <f>IF(LEN(TRIM(E1073))=0,"",VLOOKUP(E1073,Sheet2!$B$1:$E$19,3,FALSE))</f>
        <v>1133738</v>
      </c>
      <c r="M1073">
        <f>IF(LEN(TRIM(E1073))=0,"",VLOOKUP(E1073,Sheet2!$B$1:$E$19,4,FALSE))+(F1073-1)</f>
        <v>3885666</v>
      </c>
      <c r="N1073" s="1"/>
      <c r="O1073" s="1"/>
      <c r="P1073" s="1"/>
      <c r="Q1073" s="1"/>
    </row>
    <row r="1074" spans="1:17" ht="15" customHeight="1" x14ac:dyDescent="0.25">
      <c r="A1074" s="28" t="s">
        <v>292</v>
      </c>
      <c r="B1074" s="28" t="s">
        <v>29</v>
      </c>
      <c r="C1074" s="6" t="s">
        <v>2692</v>
      </c>
      <c r="D1074" s="1" t="s">
        <v>454</v>
      </c>
      <c r="E1074" s="1">
        <v>2173</v>
      </c>
      <c r="F1074" s="28">
        <v>224</v>
      </c>
      <c r="G1074" s="9">
        <v>54</v>
      </c>
      <c r="H1074" s="1" t="s">
        <v>3073</v>
      </c>
      <c r="I1074" s="1" t="s">
        <v>3073</v>
      </c>
      <c r="J1074" t="str">
        <f t="shared" si="16"/>
        <v>http://www.badatelna.eu/reprodukce/?fondId=1073&amp;zaznamId=1108959&amp;reproId=3780217</v>
      </c>
      <c r="K1074">
        <f>IF(LEN(TRIM(E1074))=0,"",VLOOKUP(E1074,Sheet2!$B$1:$E$19,2,FALSE))</f>
        <v>1073</v>
      </c>
      <c r="L1074">
        <f>IF(LEN(TRIM(E1074))=0,"",VLOOKUP(E1074,Sheet2!$B$1:$E$19,3,FALSE))</f>
        <v>1108959</v>
      </c>
      <c r="M1074">
        <f>IF(LEN(TRIM(E1074))=0,"",VLOOKUP(E1074,Sheet2!$B$1:$E$19,4,FALSE))+(F1074-1)</f>
        <v>3780217</v>
      </c>
      <c r="N1074" s="1"/>
      <c r="O1074" s="1"/>
      <c r="P1074" s="1"/>
      <c r="Q1074" s="1"/>
    </row>
    <row r="1075" spans="1:17" ht="15" customHeight="1" x14ac:dyDescent="0.25">
      <c r="A1075" s="28" t="s">
        <v>292</v>
      </c>
      <c r="B1075" s="28" t="s">
        <v>280</v>
      </c>
      <c r="C1075" s="6" t="s">
        <v>2068</v>
      </c>
      <c r="D1075" s="1" t="s">
        <v>454</v>
      </c>
      <c r="E1075" s="1">
        <v>2173</v>
      </c>
      <c r="F1075" s="28">
        <v>183</v>
      </c>
      <c r="G1075" s="9">
        <v>12</v>
      </c>
      <c r="H1075" s="1">
        <v>188</v>
      </c>
      <c r="I1075" s="1">
        <v>419</v>
      </c>
      <c r="J1075" t="str">
        <f t="shared" si="16"/>
        <v>http://www.badatelna.eu/reprodukce/?fondId=1073&amp;zaznamId=1108959&amp;reproId=3780176</v>
      </c>
      <c r="K1075">
        <f>IF(LEN(TRIM(E1075))=0,"",VLOOKUP(E1075,Sheet2!$B$1:$E$19,2,FALSE))</f>
        <v>1073</v>
      </c>
      <c r="L1075">
        <f>IF(LEN(TRIM(E1075))=0,"",VLOOKUP(E1075,Sheet2!$B$1:$E$19,3,FALSE))</f>
        <v>1108959</v>
      </c>
      <c r="M1075">
        <f>IF(LEN(TRIM(E1075))=0,"",VLOOKUP(E1075,Sheet2!$B$1:$E$19,4,FALSE))+(F1075-1)</f>
        <v>3780176</v>
      </c>
    </row>
    <row r="1076" spans="1:17" ht="15" customHeight="1" x14ac:dyDescent="0.25">
      <c r="A1076" s="28" t="s">
        <v>292</v>
      </c>
      <c r="B1076" s="28" t="s">
        <v>0</v>
      </c>
      <c r="C1076" s="1">
        <v>1862</v>
      </c>
      <c r="D1076" s="1" t="s">
        <v>2919</v>
      </c>
      <c r="E1076" s="1">
        <v>999</v>
      </c>
      <c r="F1076" s="28">
        <v>81</v>
      </c>
      <c r="G1076" s="1">
        <v>2</v>
      </c>
      <c r="H1076" s="1">
        <v>101</v>
      </c>
      <c r="I1076" s="1">
        <v>160</v>
      </c>
      <c r="J1076" t="str">
        <f t="shared" si="16"/>
        <v>http://www.badatelna.eu/reprodukce/?fondId=241&amp;zaznamId=1133739&amp;reproId=3885810</v>
      </c>
      <c r="K1076">
        <f>IF(LEN(TRIM(E1076))=0,"",VLOOKUP(E1076,Sheet2!$B$1:$E$19,2,FALSE))</f>
        <v>241</v>
      </c>
      <c r="L1076">
        <f>IF(LEN(TRIM(E1076))=0,"",VLOOKUP(E1076,Sheet2!$B$1:$E$19,3,FALSE))</f>
        <v>1133739</v>
      </c>
      <c r="M1076">
        <f>IF(LEN(TRIM(E1076))=0,"",VLOOKUP(E1076,Sheet2!$B$1:$E$19,4,FALSE))+(F1076-1)</f>
        <v>3885810</v>
      </c>
    </row>
    <row r="1077" spans="1:17" ht="15" customHeight="1" x14ac:dyDescent="0.25">
      <c r="A1077" s="27" t="s">
        <v>292</v>
      </c>
      <c r="B1077" s="27" t="s">
        <v>0</v>
      </c>
      <c r="C1077" s="5" t="s">
        <v>1243</v>
      </c>
      <c r="D1077" s="3" t="s">
        <v>454</v>
      </c>
      <c r="E1077" s="3">
        <v>2170</v>
      </c>
      <c r="F1077" s="28">
        <v>5</v>
      </c>
      <c r="G1077" s="10">
        <v>1</v>
      </c>
      <c r="H1077" s="3">
        <v>65</v>
      </c>
      <c r="I1077" s="3">
        <v>61</v>
      </c>
      <c r="J1077" t="str">
        <f t="shared" si="16"/>
        <v>http://www.badatelna.eu/reprodukce/?fondId=1073&amp;zaznamId=1108956&amp;reproId=3779597</v>
      </c>
      <c r="K1077">
        <f>IF(LEN(TRIM(E1077))=0,"",VLOOKUP(E1077,Sheet2!$B$1:$E$19,2,FALSE))</f>
        <v>1073</v>
      </c>
      <c r="L1077">
        <f>IF(LEN(TRIM(E1077))=0,"",VLOOKUP(E1077,Sheet2!$B$1:$E$19,3,FALSE))</f>
        <v>1108956</v>
      </c>
      <c r="M1077">
        <f>IF(LEN(TRIM(E1077))=0,"",VLOOKUP(E1077,Sheet2!$B$1:$E$19,4,FALSE))+(F1077-1)</f>
        <v>3779597</v>
      </c>
      <c r="N1077" s="1"/>
      <c r="O1077" s="1"/>
      <c r="P1077" s="1"/>
      <c r="Q1077" s="1"/>
    </row>
    <row r="1078" spans="1:17" ht="15" customHeight="1" x14ac:dyDescent="0.25">
      <c r="A1078" s="27" t="s">
        <v>292</v>
      </c>
      <c r="B1078" s="27" t="s">
        <v>543</v>
      </c>
      <c r="C1078" s="5" t="s">
        <v>1198</v>
      </c>
      <c r="D1078" s="3" t="s">
        <v>454</v>
      </c>
      <c r="E1078" s="3">
        <v>2170</v>
      </c>
      <c r="F1078" s="28">
        <v>5</v>
      </c>
      <c r="G1078" s="10">
        <v>1</v>
      </c>
      <c r="H1078" s="3">
        <v>63</v>
      </c>
      <c r="I1078" s="3">
        <v>59</v>
      </c>
      <c r="J1078" t="str">
        <f t="shared" si="16"/>
        <v>http://www.badatelna.eu/reprodukce/?fondId=1073&amp;zaznamId=1108956&amp;reproId=3779597</v>
      </c>
      <c r="K1078">
        <f>IF(LEN(TRIM(E1078))=0,"",VLOOKUP(E1078,Sheet2!$B$1:$E$19,2,FALSE))</f>
        <v>1073</v>
      </c>
      <c r="L1078">
        <f>IF(LEN(TRIM(E1078))=0,"",VLOOKUP(E1078,Sheet2!$B$1:$E$19,3,FALSE))</f>
        <v>1108956</v>
      </c>
      <c r="M1078">
        <f>IF(LEN(TRIM(E1078))=0,"",VLOOKUP(E1078,Sheet2!$B$1:$E$19,4,FALSE))+(F1078-1)</f>
        <v>3779597</v>
      </c>
    </row>
    <row r="1079" spans="1:17" ht="15" customHeight="1" x14ac:dyDescent="0.25">
      <c r="A1079" s="27" t="s">
        <v>292</v>
      </c>
      <c r="B1079" s="27" t="s">
        <v>544</v>
      </c>
      <c r="C1079" s="5" t="s">
        <v>1197</v>
      </c>
      <c r="D1079" s="3" t="s">
        <v>454</v>
      </c>
      <c r="E1079" s="3">
        <v>2170</v>
      </c>
      <c r="F1079" s="28">
        <v>54</v>
      </c>
      <c r="G1079" s="10">
        <v>50</v>
      </c>
      <c r="H1079" s="3">
        <v>63</v>
      </c>
      <c r="I1079" s="3">
        <v>59</v>
      </c>
      <c r="J1079" t="str">
        <f t="shared" si="16"/>
        <v>http://www.badatelna.eu/reprodukce/?fondId=1073&amp;zaznamId=1108956&amp;reproId=3779646</v>
      </c>
      <c r="K1079">
        <f>IF(LEN(TRIM(E1079))=0,"",VLOOKUP(E1079,Sheet2!$B$1:$E$19,2,FALSE))</f>
        <v>1073</v>
      </c>
      <c r="L1079">
        <f>IF(LEN(TRIM(E1079))=0,"",VLOOKUP(E1079,Sheet2!$B$1:$E$19,3,FALSE))</f>
        <v>1108956</v>
      </c>
      <c r="M1079">
        <f>IF(LEN(TRIM(E1079))=0,"",VLOOKUP(E1079,Sheet2!$B$1:$E$19,4,FALSE))+(F1079-1)</f>
        <v>3779646</v>
      </c>
      <c r="N1079" s="1"/>
      <c r="O1079" s="1"/>
      <c r="P1079" s="1"/>
      <c r="Q1079" s="1"/>
    </row>
    <row r="1080" spans="1:17" ht="15" customHeight="1" x14ac:dyDescent="0.25">
      <c r="A1080" s="27" t="s">
        <v>292</v>
      </c>
      <c r="B1080" s="27" t="s">
        <v>545</v>
      </c>
      <c r="C1080" s="5" t="s">
        <v>1196</v>
      </c>
      <c r="D1080" s="3" t="s">
        <v>454</v>
      </c>
      <c r="E1080" s="3">
        <v>2170</v>
      </c>
      <c r="F1080" s="28">
        <v>33</v>
      </c>
      <c r="G1080" s="10">
        <v>29</v>
      </c>
      <c r="H1080" s="3">
        <v>63</v>
      </c>
      <c r="I1080" s="3">
        <v>59</v>
      </c>
      <c r="J1080" t="str">
        <f t="shared" si="16"/>
        <v>http://www.badatelna.eu/reprodukce/?fondId=1073&amp;zaznamId=1108956&amp;reproId=3779625</v>
      </c>
      <c r="K1080">
        <f>IF(LEN(TRIM(E1080))=0,"",VLOOKUP(E1080,Sheet2!$B$1:$E$19,2,FALSE))</f>
        <v>1073</v>
      </c>
      <c r="L1080">
        <f>IF(LEN(TRIM(E1080))=0,"",VLOOKUP(E1080,Sheet2!$B$1:$E$19,3,FALSE))</f>
        <v>1108956</v>
      </c>
      <c r="M1080">
        <f>IF(LEN(TRIM(E1080))=0,"",VLOOKUP(E1080,Sheet2!$B$1:$E$19,4,FALSE))+(F1080-1)</f>
        <v>3779625</v>
      </c>
    </row>
    <row r="1081" spans="1:17" ht="15" customHeight="1" x14ac:dyDescent="0.25">
      <c r="A1081" s="28" t="s">
        <v>292</v>
      </c>
      <c r="B1081" s="28" t="s">
        <v>778</v>
      </c>
      <c r="C1081" s="1">
        <v>1855</v>
      </c>
      <c r="D1081" s="1" t="s">
        <v>2919</v>
      </c>
      <c r="E1081" s="1">
        <v>998</v>
      </c>
      <c r="F1081" s="28">
        <v>46</v>
      </c>
      <c r="G1081" s="1">
        <v>44</v>
      </c>
      <c r="H1081" s="1">
        <v>70</v>
      </c>
      <c r="I1081" s="1">
        <v>67</v>
      </c>
      <c r="J1081" t="str">
        <f t="shared" si="16"/>
        <v>http://www.badatelna.eu/reprodukce/?fondId=241&amp;zaznamId=1133738&amp;reproId=3885692</v>
      </c>
      <c r="K1081">
        <f>IF(LEN(TRIM(E1081))=0,"",VLOOKUP(E1081,Sheet2!$B$1:$E$19,2,FALSE))</f>
        <v>241</v>
      </c>
      <c r="L1081">
        <f>IF(LEN(TRIM(E1081))=0,"",VLOOKUP(E1081,Sheet2!$B$1:$E$19,3,FALSE))</f>
        <v>1133738</v>
      </c>
      <c r="M1081">
        <f>IF(LEN(TRIM(E1081))=0,"",VLOOKUP(E1081,Sheet2!$B$1:$E$19,4,FALSE))+(F1081-1)</f>
        <v>3885692</v>
      </c>
    </row>
    <row r="1082" spans="1:17" ht="15" customHeight="1" x14ac:dyDescent="0.25">
      <c r="A1082" s="28" t="s">
        <v>292</v>
      </c>
      <c r="B1082" s="28" t="s">
        <v>424</v>
      </c>
      <c r="C1082" s="1">
        <v>1849</v>
      </c>
      <c r="D1082" s="1" t="s">
        <v>2919</v>
      </c>
      <c r="E1082" s="1">
        <v>998</v>
      </c>
      <c r="F1082" s="28">
        <v>18</v>
      </c>
      <c r="G1082" s="1">
        <v>16</v>
      </c>
      <c r="H1082" s="1">
        <v>70</v>
      </c>
      <c r="I1082" s="1">
        <v>67</v>
      </c>
      <c r="J1082" t="str">
        <f t="shared" si="16"/>
        <v>http://www.badatelna.eu/reprodukce/?fondId=241&amp;zaznamId=1133738&amp;reproId=3885664</v>
      </c>
      <c r="K1082">
        <f>IF(LEN(TRIM(E1082))=0,"",VLOOKUP(E1082,Sheet2!$B$1:$E$19,2,FALSE))</f>
        <v>241</v>
      </c>
      <c r="L1082">
        <f>IF(LEN(TRIM(E1082))=0,"",VLOOKUP(E1082,Sheet2!$B$1:$E$19,3,FALSE))</f>
        <v>1133738</v>
      </c>
      <c r="M1082">
        <f>IF(LEN(TRIM(E1082))=0,"",VLOOKUP(E1082,Sheet2!$B$1:$E$19,4,FALSE))+(F1082-1)</f>
        <v>3885664</v>
      </c>
      <c r="N1082" s="1"/>
      <c r="O1082" s="1"/>
      <c r="P1082" s="1"/>
      <c r="Q1082" s="1"/>
    </row>
    <row r="1083" spans="1:17" ht="15" customHeight="1" x14ac:dyDescent="0.25">
      <c r="A1083" s="27" t="s">
        <v>292</v>
      </c>
      <c r="B1083" s="27" t="s">
        <v>247</v>
      </c>
      <c r="C1083" s="5" t="s">
        <v>1199</v>
      </c>
      <c r="D1083" s="3" t="s">
        <v>454</v>
      </c>
      <c r="E1083" s="3">
        <v>2170</v>
      </c>
      <c r="F1083" s="28">
        <v>58</v>
      </c>
      <c r="G1083" s="10">
        <v>54</v>
      </c>
      <c r="H1083" s="3">
        <v>63</v>
      </c>
      <c r="I1083" s="3">
        <v>59</v>
      </c>
      <c r="J1083" t="str">
        <f t="shared" si="16"/>
        <v>http://www.badatelna.eu/reprodukce/?fondId=1073&amp;zaznamId=1108956&amp;reproId=3779650</v>
      </c>
      <c r="K1083">
        <f>IF(LEN(TRIM(E1083))=0,"",VLOOKUP(E1083,Sheet2!$B$1:$E$19,2,FALSE))</f>
        <v>1073</v>
      </c>
      <c r="L1083">
        <f>IF(LEN(TRIM(E1083))=0,"",VLOOKUP(E1083,Sheet2!$B$1:$E$19,3,FALSE))</f>
        <v>1108956</v>
      </c>
      <c r="M1083">
        <f>IF(LEN(TRIM(E1083))=0,"",VLOOKUP(E1083,Sheet2!$B$1:$E$19,4,FALSE))+(F1083-1)</f>
        <v>3779650</v>
      </c>
      <c r="N1083" s="1"/>
      <c r="O1083" s="1"/>
      <c r="P1083" s="1"/>
      <c r="Q1083" s="1"/>
    </row>
    <row r="1084" spans="1:17" ht="15" customHeight="1" x14ac:dyDescent="0.25">
      <c r="A1084" s="28" t="s">
        <v>142</v>
      </c>
      <c r="B1084" s="28" t="s">
        <v>13</v>
      </c>
      <c r="C1084" s="6" t="s">
        <v>2371</v>
      </c>
      <c r="D1084" s="1" t="s">
        <v>454</v>
      </c>
      <c r="E1084" s="1">
        <v>2173</v>
      </c>
      <c r="F1084" s="28">
        <v>201</v>
      </c>
      <c r="G1084" s="9">
        <v>11</v>
      </c>
      <c r="H1084" s="1" t="s">
        <v>3073</v>
      </c>
      <c r="I1084" s="1" t="s">
        <v>3073</v>
      </c>
      <c r="J1084" t="str">
        <f t="shared" si="16"/>
        <v>http://www.badatelna.eu/reprodukce/?fondId=1073&amp;zaznamId=1108959&amp;reproId=3780194</v>
      </c>
      <c r="K1084">
        <f>IF(LEN(TRIM(E1084))=0,"",VLOOKUP(E1084,Sheet2!$B$1:$E$19,2,FALSE))</f>
        <v>1073</v>
      </c>
      <c r="L1084">
        <f>IF(LEN(TRIM(E1084))=0,"",VLOOKUP(E1084,Sheet2!$B$1:$E$19,3,FALSE))</f>
        <v>1108959</v>
      </c>
      <c r="M1084">
        <f>IF(LEN(TRIM(E1084))=0,"",VLOOKUP(E1084,Sheet2!$B$1:$E$19,4,FALSE))+(F1084-1)</f>
        <v>3780194</v>
      </c>
      <c r="N1084" s="1"/>
      <c r="O1084" s="1"/>
      <c r="P1084" s="1"/>
      <c r="Q1084" s="1"/>
    </row>
    <row r="1085" spans="1:17" ht="15" customHeight="1" x14ac:dyDescent="0.25">
      <c r="A1085" s="28" t="s">
        <v>291</v>
      </c>
      <c r="B1085" s="28" t="s">
        <v>575</v>
      </c>
      <c r="C1085" s="1">
        <v>1882</v>
      </c>
      <c r="D1085" s="1" t="s">
        <v>454</v>
      </c>
      <c r="E1085" s="1">
        <v>2172</v>
      </c>
      <c r="F1085" s="29">
        <v>29</v>
      </c>
      <c r="G1085" s="9" t="s">
        <v>2758</v>
      </c>
      <c r="H1085" s="1">
        <v>30</v>
      </c>
      <c r="I1085" s="1">
        <v>29</v>
      </c>
      <c r="J1085" t="str">
        <f t="shared" si="16"/>
        <v>http://www.badatelna.eu/reprodukce/?fondId=1073&amp;zaznamId=1108958&amp;reproId=3779770</v>
      </c>
      <c r="K1085">
        <f>IF(LEN(TRIM(E1085))=0,"",VLOOKUP(E1085,Sheet2!$B$1:$E$19,2,FALSE))</f>
        <v>1073</v>
      </c>
      <c r="L1085">
        <f>IF(LEN(TRIM(E1085))=0,"",VLOOKUP(E1085,Sheet2!$B$1:$E$19,3,FALSE))</f>
        <v>1108958</v>
      </c>
      <c r="M1085">
        <f>IF(LEN(TRIM(E1085))=0,"",VLOOKUP(E1085,Sheet2!$B$1:$E$19,4,FALSE))+(F1085-1)</f>
        <v>3779770</v>
      </c>
      <c r="N1085" s="1"/>
      <c r="O1085" s="1"/>
      <c r="P1085" s="1"/>
      <c r="Q1085" s="1"/>
    </row>
    <row r="1086" spans="1:17" ht="15" customHeight="1" x14ac:dyDescent="0.25">
      <c r="A1086" s="28" t="s">
        <v>291</v>
      </c>
      <c r="B1086" s="28" t="s">
        <v>633</v>
      </c>
      <c r="C1086" s="1">
        <v>1891</v>
      </c>
      <c r="D1086" s="1" t="s">
        <v>454</v>
      </c>
      <c r="E1086" s="1">
        <v>2172</v>
      </c>
      <c r="F1086" s="28">
        <v>81</v>
      </c>
      <c r="G1086" s="9">
        <v>80</v>
      </c>
      <c r="H1086" s="1">
        <v>83</v>
      </c>
      <c r="I1086" s="1">
        <v>82</v>
      </c>
      <c r="J1086" t="str">
        <f t="shared" si="16"/>
        <v>http://www.badatelna.eu/reprodukce/?fondId=1073&amp;zaznamId=1108958&amp;reproId=3779822</v>
      </c>
      <c r="K1086">
        <f>IF(LEN(TRIM(E1086))=0,"",VLOOKUP(E1086,Sheet2!$B$1:$E$19,2,FALSE))</f>
        <v>1073</v>
      </c>
      <c r="L1086">
        <f>IF(LEN(TRIM(E1086))=0,"",VLOOKUP(E1086,Sheet2!$B$1:$E$19,3,FALSE))</f>
        <v>1108958</v>
      </c>
      <c r="M1086">
        <f>IF(LEN(TRIM(E1086))=0,"",VLOOKUP(E1086,Sheet2!$B$1:$E$19,4,FALSE))+(F1086-1)</f>
        <v>3779822</v>
      </c>
      <c r="N1086" s="1"/>
      <c r="O1086" s="1"/>
      <c r="P1086" s="1"/>
      <c r="Q1086" s="1"/>
    </row>
    <row r="1087" spans="1:17" ht="15" customHeight="1" x14ac:dyDescent="0.25">
      <c r="A1087" s="28" t="s">
        <v>291</v>
      </c>
      <c r="B1087" s="28" t="s">
        <v>294</v>
      </c>
      <c r="C1087" s="6" t="s">
        <v>1979</v>
      </c>
      <c r="D1087" s="1" t="s">
        <v>454</v>
      </c>
      <c r="E1087" s="1">
        <v>2173</v>
      </c>
      <c r="F1087" s="28">
        <v>182</v>
      </c>
      <c r="G1087" s="9">
        <v>11</v>
      </c>
      <c r="H1087" s="1">
        <v>188</v>
      </c>
      <c r="I1087" s="1">
        <v>419</v>
      </c>
      <c r="J1087" t="str">
        <f t="shared" si="16"/>
        <v>http://www.badatelna.eu/reprodukce/?fondId=1073&amp;zaznamId=1108959&amp;reproId=3780175</v>
      </c>
      <c r="K1087">
        <f>IF(LEN(TRIM(E1087))=0,"",VLOOKUP(E1087,Sheet2!$B$1:$E$19,2,FALSE))</f>
        <v>1073</v>
      </c>
      <c r="L1087">
        <f>IF(LEN(TRIM(E1087))=0,"",VLOOKUP(E1087,Sheet2!$B$1:$E$19,3,FALSE))</f>
        <v>1108959</v>
      </c>
      <c r="M1087">
        <f>IF(LEN(TRIM(E1087))=0,"",VLOOKUP(E1087,Sheet2!$B$1:$E$19,4,FALSE))+(F1087-1)</f>
        <v>3780175</v>
      </c>
      <c r="N1087" s="1"/>
      <c r="O1087" s="1"/>
      <c r="P1087" s="1"/>
      <c r="Q1087" s="1"/>
    </row>
    <row r="1088" spans="1:17" ht="15" customHeight="1" x14ac:dyDescent="0.25">
      <c r="A1088" s="28" t="s">
        <v>102</v>
      </c>
      <c r="B1088" s="28" t="s">
        <v>33</v>
      </c>
      <c r="C1088" s="6" t="s">
        <v>2293</v>
      </c>
      <c r="D1088" s="1" t="s">
        <v>454</v>
      </c>
      <c r="E1088" s="1">
        <v>2173</v>
      </c>
      <c r="F1088" s="28">
        <v>198</v>
      </c>
      <c r="G1088" s="9">
        <v>6</v>
      </c>
      <c r="H1088" s="1" t="s">
        <v>3073</v>
      </c>
      <c r="I1088" s="1" t="s">
        <v>3073</v>
      </c>
      <c r="J1088" t="str">
        <f t="shared" si="16"/>
        <v>http://www.badatelna.eu/reprodukce/?fondId=1073&amp;zaznamId=1108959&amp;reproId=3780191</v>
      </c>
      <c r="K1088">
        <f>IF(LEN(TRIM(E1088))=0,"",VLOOKUP(E1088,Sheet2!$B$1:$E$19,2,FALSE))</f>
        <v>1073</v>
      </c>
      <c r="L1088">
        <f>IF(LEN(TRIM(E1088))=0,"",VLOOKUP(E1088,Sheet2!$B$1:$E$19,3,FALSE))</f>
        <v>1108959</v>
      </c>
      <c r="M1088">
        <f>IF(LEN(TRIM(E1088))=0,"",VLOOKUP(E1088,Sheet2!$B$1:$E$19,4,FALSE))+(F1088-1)</f>
        <v>3780191</v>
      </c>
      <c r="N1088" s="1"/>
      <c r="O1088" s="1"/>
      <c r="P1088" s="1"/>
      <c r="Q1088" s="1"/>
    </row>
    <row r="1089" spans="1:17" ht="15" customHeight="1" x14ac:dyDescent="0.25">
      <c r="A1089" s="28" t="s">
        <v>102</v>
      </c>
      <c r="B1089" s="28" t="s">
        <v>29</v>
      </c>
      <c r="C1089" s="6" t="s">
        <v>2347</v>
      </c>
      <c r="D1089" s="1" t="s">
        <v>454</v>
      </c>
      <c r="E1089" s="1">
        <v>2173</v>
      </c>
      <c r="F1089" s="28">
        <v>200</v>
      </c>
      <c r="G1089" s="9">
        <v>10</v>
      </c>
      <c r="H1089" s="1" t="s">
        <v>3073</v>
      </c>
      <c r="I1089" s="1" t="s">
        <v>3073</v>
      </c>
      <c r="J1089" t="str">
        <f t="shared" si="16"/>
        <v>http://www.badatelna.eu/reprodukce/?fondId=1073&amp;zaznamId=1108959&amp;reproId=3780193</v>
      </c>
      <c r="K1089">
        <f>IF(LEN(TRIM(E1089))=0,"",VLOOKUP(E1089,Sheet2!$B$1:$E$19,2,FALSE))</f>
        <v>1073</v>
      </c>
      <c r="L1089">
        <f>IF(LEN(TRIM(E1089))=0,"",VLOOKUP(E1089,Sheet2!$B$1:$E$19,3,FALSE))</f>
        <v>1108959</v>
      </c>
      <c r="M1089">
        <f>IF(LEN(TRIM(E1089))=0,"",VLOOKUP(E1089,Sheet2!$B$1:$E$19,4,FALSE))+(F1089-1)</f>
        <v>3780193</v>
      </c>
      <c r="N1089" s="1"/>
      <c r="O1089" s="1"/>
      <c r="P1089" s="1"/>
      <c r="Q1089" s="1"/>
    </row>
    <row r="1090" spans="1:17" ht="15" customHeight="1" x14ac:dyDescent="0.25">
      <c r="A1090" s="28" t="s">
        <v>102</v>
      </c>
      <c r="B1090" s="28" t="s">
        <v>39</v>
      </c>
      <c r="C1090" s="6" t="s">
        <v>2450</v>
      </c>
      <c r="D1090" s="1" t="s">
        <v>454</v>
      </c>
      <c r="E1090" s="1">
        <v>2173</v>
      </c>
      <c r="F1090" s="28">
        <v>204</v>
      </c>
      <c r="G1090" s="1">
        <v>17</v>
      </c>
      <c r="H1090" s="1" t="s">
        <v>3073</v>
      </c>
      <c r="I1090" s="1" t="s">
        <v>3073</v>
      </c>
      <c r="J1090" t="str">
        <f t="shared" si="16"/>
        <v>http://www.badatelna.eu/reprodukce/?fondId=1073&amp;zaznamId=1108959&amp;reproId=3780197</v>
      </c>
      <c r="K1090">
        <f>IF(LEN(TRIM(E1090))=0,"",VLOOKUP(E1090,Sheet2!$B$1:$E$19,2,FALSE))</f>
        <v>1073</v>
      </c>
      <c r="L1090">
        <f>IF(LEN(TRIM(E1090))=0,"",VLOOKUP(E1090,Sheet2!$B$1:$E$19,3,FALSE))</f>
        <v>1108959</v>
      </c>
      <c r="M1090">
        <f>IF(LEN(TRIM(E1090))=0,"",VLOOKUP(E1090,Sheet2!$B$1:$E$19,4,FALSE))+(F1090-1)</f>
        <v>3780197</v>
      </c>
      <c r="N1090" s="1"/>
      <c r="O1090" s="1"/>
      <c r="P1090" s="1"/>
      <c r="Q1090" s="1"/>
    </row>
    <row r="1091" spans="1:17" ht="15" customHeight="1" x14ac:dyDescent="0.25">
      <c r="A1091" s="29" t="s">
        <v>3119</v>
      </c>
      <c r="B1091" s="28" t="s">
        <v>74</v>
      </c>
      <c r="C1091" s="6" t="s">
        <v>2451</v>
      </c>
      <c r="D1091" s="1" t="s">
        <v>454</v>
      </c>
      <c r="E1091" s="1">
        <v>2173</v>
      </c>
      <c r="F1091" s="28">
        <v>204</v>
      </c>
      <c r="G1091" s="1">
        <v>18</v>
      </c>
      <c r="H1091" s="1" t="s">
        <v>3073</v>
      </c>
      <c r="I1091" s="1" t="s">
        <v>3073</v>
      </c>
      <c r="J1091" t="str">
        <f t="shared" ref="J1091:J1154" si="17">IF(LEN(TRIM(E1091))=0,"","http://www.badatelna.eu/reprodukce/?fondId="&amp;K1091&amp;"&amp;zaznamId="&amp;L1091&amp;"&amp;reproId="&amp;M1091)</f>
        <v>http://www.badatelna.eu/reprodukce/?fondId=1073&amp;zaznamId=1108959&amp;reproId=3780197</v>
      </c>
      <c r="K1091">
        <f>IF(LEN(TRIM(E1091))=0,"",VLOOKUP(E1091,Sheet2!$B$1:$E$19,2,FALSE))</f>
        <v>1073</v>
      </c>
      <c r="L1091">
        <f>IF(LEN(TRIM(E1091))=0,"",VLOOKUP(E1091,Sheet2!$B$1:$E$19,3,FALSE))</f>
        <v>1108959</v>
      </c>
      <c r="M1091">
        <f>IF(LEN(TRIM(E1091))=0,"",VLOOKUP(E1091,Sheet2!$B$1:$E$19,4,FALSE))+(F1091-1)</f>
        <v>3780197</v>
      </c>
      <c r="N1091" s="1"/>
      <c r="O1091" s="1"/>
      <c r="P1091" s="1"/>
      <c r="Q1091" s="1"/>
    </row>
    <row r="1092" spans="1:17" ht="15" customHeight="1" x14ac:dyDescent="0.25">
      <c r="A1092" s="28" t="s">
        <v>243</v>
      </c>
      <c r="B1092" s="28" t="s">
        <v>45</v>
      </c>
      <c r="C1092" s="6" t="s">
        <v>2577</v>
      </c>
      <c r="D1092" s="1" t="s">
        <v>454</v>
      </c>
      <c r="E1092" s="1">
        <v>2173</v>
      </c>
      <c r="F1092" s="28">
        <v>213</v>
      </c>
      <c r="G1092" s="9">
        <v>36</v>
      </c>
      <c r="H1092" s="1" t="s">
        <v>3073</v>
      </c>
      <c r="I1092" s="1" t="s">
        <v>3073</v>
      </c>
      <c r="J1092" t="str">
        <f t="shared" si="17"/>
        <v>http://www.badatelna.eu/reprodukce/?fondId=1073&amp;zaznamId=1108959&amp;reproId=3780206</v>
      </c>
      <c r="K1092">
        <f>IF(LEN(TRIM(E1092))=0,"",VLOOKUP(E1092,Sheet2!$B$1:$E$19,2,FALSE))</f>
        <v>1073</v>
      </c>
      <c r="L1092">
        <f>IF(LEN(TRIM(E1092))=0,"",VLOOKUP(E1092,Sheet2!$B$1:$E$19,3,FALSE))</f>
        <v>1108959</v>
      </c>
      <c r="M1092">
        <f>IF(LEN(TRIM(E1092))=0,"",VLOOKUP(E1092,Sheet2!$B$1:$E$19,4,FALSE))+(F1092-1)</f>
        <v>3780206</v>
      </c>
      <c r="N1092" s="1"/>
      <c r="O1092" s="1"/>
      <c r="P1092" s="1"/>
      <c r="Q1092" s="1"/>
    </row>
    <row r="1093" spans="1:17" ht="15" customHeight="1" x14ac:dyDescent="0.25">
      <c r="A1093" s="28" t="s">
        <v>243</v>
      </c>
      <c r="B1093" s="28" t="s">
        <v>285</v>
      </c>
      <c r="C1093" s="6" t="s">
        <v>2069</v>
      </c>
      <c r="D1093" s="1" t="s">
        <v>454</v>
      </c>
      <c r="E1093" s="1">
        <v>2173</v>
      </c>
      <c r="F1093" s="28">
        <v>178</v>
      </c>
      <c r="G1093" s="9">
        <v>3</v>
      </c>
      <c r="H1093" s="1">
        <v>188</v>
      </c>
      <c r="I1093" s="1">
        <v>419</v>
      </c>
      <c r="J1093" t="str">
        <f t="shared" si="17"/>
        <v>http://www.badatelna.eu/reprodukce/?fondId=1073&amp;zaznamId=1108959&amp;reproId=3780171</v>
      </c>
      <c r="K1093">
        <f>IF(LEN(TRIM(E1093))=0,"",VLOOKUP(E1093,Sheet2!$B$1:$E$19,2,FALSE))</f>
        <v>1073</v>
      </c>
      <c r="L1093">
        <f>IF(LEN(TRIM(E1093))=0,"",VLOOKUP(E1093,Sheet2!$B$1:$E$19,3,FALSE))</f>
        <v>1108959</v>
      </c>
      <c r="M1093">
        <f>IF(LEN(TRIM(E1093))=0,"",VLOOKUP(E1093,Sheet2!$B$1:$E$19,4,FALSE))+(F1093-1)</f>
        <v>3780171</v>
      </c>
      <c r="N1093" s="1"/>
      <c r="O1093" s="1"/>
      <c r="P1093" s="1"/>
      <c r="Q1093" s="1"/>
    </row>
    <row r="1094" spans="1:17" ht="15" customHeight="1" x14ac:dyDescent="0.25">
      <c r="A1094" s="28" t="s">
        <v>243</v>
      </c>
      <c r="B1094" s="28" t="s">
        <v>48</v>
      </c>
      <c r="C1094" s="6" t="s">
        <v>2070</v>
      </c>
      <c r="D1094" s="1" t="s">
        <v>454</v>
      </c>
      <c r="E1094" s="1">
        <v>2173</v>
      </c>
      <c r="F1094" s="28">
        <v>178</v>
      </c>
      <c r="G1094" s="9">
        <v>2</v>
      </c>
      <c r="H1094" s="1">
        <v>188</v>
      </c>
      <c r="I1094" s="1">
        <v>419</v>
      </c>
      <c r="J1094" t="str">
        <f t="shared" si="17"/>
        <v>http://www.badatelna.eu/reprodukce/?fondId=1073&amp;zaznamId=1108959&amp;reproId=3780171</v>
      </c>
      <c r="K1094">
        <f>IF(LEN(TRIM(E1094))=0,"",VLOOKUP(E1094,Sheet2!$B$1:$E$19,2,FALSE))</f>
        <v>1073</v>
      </c>
      <c r="L1094">
        <f>IF(LEN(TRIM(E1094))=0,"",VLOOKUP(E1094,Sheet2!$B$1:$E$19,3,FALSE))</f>
        <v>1108959</v>
      </c>
      <c r="M1094">
        <f>IF(LEN(TRIM(E1094))=0,"",VLOOKUP(E1094,Sheet2!$B$1:$E$19,4,FALSE))+(F1094-1)</f>
        <v>3780171</v>
      </c>
      <c r="N1094" s="1"/>
      <c r="O1094" s="1"/>
      <c r="P1094" s="1"/>
      <c r="Q1094" s="1"/>
    </row>
    <row r="1095" spans="1:17" ht="15" customHeight="1" x14ac:dyDescent="0.25">
      <c r="A1095" s="28" t="s">
        <v>243</v>
      </c>
      <c r="B1095" s="28" t="s">
        <v>48</v>
      </c>
      <c r="C1095" s="6" t="s">
        <v>2070</v>
      </c>
      <c r="D1095" s="1" t="s">
        <v>454</v>
      </c>
      <c r="E1095" s="1">
        <v>2173</v>
      </c>
      <c r="F1095" s="28">
        <v>208</v>
      </c>
      <c r="G1095" s="1">
        <v>26</v>
      </c>
      <c r="H1095" s="1" t="s">
        <v>3073</v>
      </c>
      <c r="I1095" s="1" t="s">
        <v>3073</v>
      </c>
      <c r="J1095" t="str">
        <f t="shared" si="17"/>
        <v>http://www.badatelna.eu/reprodukce/?fondId=1073&amp;zaznamId=1108959&amp;reproId=3780201</v>
      </c>
      <c r="K1095">
        <f>IF(LEN(TRIM(E1095))=0,"",VLOOKUP(E1095,Sheet2!$B$1:$E$19,2,FALSE))</f>
        <v>1073</v>
      </c>
      <c r="L1095">
        <f>IF(LEN(TRIM(E1095))=0,"",VLOOKUP(E1095,Sheet2!$B$1:$E$19,3,FALSE))</f>
        <v>1108959</v>
      </c>
      <c r="M1095">
        <f>IF(LEN(TRIM(E1095))=0,"",VLOOKUP(E1095,Sheet2!$B$1:$E$19,4,FALSE))+(F1095-1)</f>
        <v>3780201</v>
      </c>
      <c r="N1095" s="1"/>
      <c r="O1095" s="1"/>
      <c r="P1095" s="1"/>
      <c r="Q1095" s="1"/>
    </row>
    <row r="1096" spans="1:17" ht="15" customHeight="1" x14ac:dyDescent="0.25">
      <c r="A1096" s="28" t="s">
        <v>896</v>
      </c>
      <c r="B1096" s="28" t="s">
        <v>498</v>
      </c>
      <c r="C1096" s="6" t="s">
        <v>1639</v>
      </c>
      <c r="D1096" s="1" t="s">
        <v>454</v>
      </c>
      <c r="E1096" s="1">
        <v>2172</v>
      </c>
      <c r="F1096" s="28">
        <v>95</v>
      </c>
      <c r="G1096" s="9">
        <v>94</v>
      </c>
      <c r="H1096" s="1">
        <v>96</v>
      </c>
      <c r="I1096" s="1">
        <v>95</v>
      </c>
      <c r="J1096" t="str">
        <f t="shared" si="17"/>
        <v>http://www.badatelna.eu/reprodukce/?fondId=1073&amp;zaznamId=1108958&amp;reproId=3779836</v>
      </c>
      <c r="K1096">
        <f>IF(LEN(TRIM(E1096))=0,"",VLOOKUP(E1096,Sheet2!$B$1:$E$19,2,FALSE))</f>
        <v>1073</v>
      </c>
      <c r="L1096">
        <f>IF(LEN(TRIM(E1096))=0,"",VLOOKUP(E1096,Sheet2!$B$1:$E$19,3,FALSE))</f>
        <v>1108958</v>
      </c>
      <c r="M1096">
        <f>IF(LEN(TRIM(E1096))=0,"",VLOOKUP(E1096,Sheet2!$B$1:$E$19,4,FALSE))+(F1096-1)</f>
        <v>3779836</v>
      </c>
      <c r="N1096" s="1"/>
      <c r="O1096" s="1"/>
      <c r="P1096" s="1"/>
      <c r="Q1096" s="1"/>
    </row>
    <row r="1097" spans="1:17" ht="15" customHeight="1" x14ac:dyDescent="0.25">
      <c r="A1097" s="28" t="s">
        <v>896</v>
      </c>
      <c r="B1097" s="28" t="s">
        <v>814</v>
      </c>
      <c r="C1097" s="1">
        <v>1893</v>
      </c>
      <c r="D1097" s="1" t="s">
        <v>454</v>
      </c>
      <c r="E1097" s="1">
        <v>2172</v>
      </c>
      <c r="F1097" s="28">
        <v>87</v>
      </c>
      <c r="G1097" s="9">
        <v>86</v>
      </c>
      <c r="H1097" s="1">
        <v>89</v>
      </c>
      <c r="I1097" s="1">
        <v>88</v>
      </c>
      <c r="J1097" t="str">
        <f t="shared" si="17"/>
        <v>http://www.badatelna.eu/reprodukce/?fondId=1073&amp;zaznamId=1108958&amp;reproId=3779828</v>
      </c>
      <c r="K1097">
        <f>IF(LEN(TRIM(E1097))=0,"",VLOOKUP(E1097,Sheet2!$B$1:$E$19,2,FALSE))</f>
        <v>1073</v>
      </c>
      <c r="L1097">
        <f>IF(LEN(TRIM(E1097))=0,"",VLOOKUP(E1097,Sheet2!$B$1:$E$19,3,FALSE))</f>
        <v>1108958</v>
      </c>
      <c r="M1097">
        <f>IF(LEN(TRIM(E1097))=0,"",VLOOKUP(E1097,Sheet2!$B$1:$E$19,4,FALSE))+(F1097-1)</f>
        <v>3779828</v>
      </c>
    </row>
    <row r="1098" spans="1:17" ht="15" customHeight="1" x14ac:dyDescent="0.25">
      <c r="A1098" s="28" t="s">
        <v>896</v>
      </c>
      <c r="B1098" s="28" t="s">
        <v>314</v>
      </c>
      <c r="C1098" s="1">
        <v>1889</v>
      </c>
      <c r="D1098" s="1" t="s">
        <v>454</v>
      </c>
      <c r="E1098" s="1">
        <v>2172</v>
      </c>
      <c r="F1098" s="28">
        <v>67</v>
      </c>
      <c r="G1098" s="9" t="s">
        <v>3082</v>
      </c>
      <c r="H1098" s="1">
        <v>70</v>
      </c>
      <c r="I1098" s="1">
        <v>69</v>
      </c>
      <c r="J1098" t="str">
        <f t="shared" si="17"/>
        <v>http://www.badatelna.eu/reprodukce/?fondId=1073&amp;zaznamId=1108958&amp;reproId=3779808</v>
      </c>
      <c r="K1098">
        <f>IF(LEN(TRIM(E1098))=0,"",VLOOKUP(E1098,Sheet2!$B$1:$E$19,2,FALSE))</f>
        <v>1073</v>
      </c>
      <c r="L1098">
        <f>IF(LEN(TRIM(E1098))=0,"",VLOOKUP(E1098,Sheet2!$B$1:$E$19,3,FALSE))</f>
        <v>1108958</v>
      </c>
      <c r="M1098">
        <f>IF(LEN(TRIM(E1098))=0,"",VLOOKUP(E1098,Sheet2!$B$1:$E$19,4,FALSE))+(F1098-1)</f>
        <v>3779808</v>
      </c>
    </row>
    <row r="1099" spans="1:17" ht="15" customHeight="1" x14ac:dyDescent="0.25">
      <c r="A1099" s="28" t="s">
        <v>896</v>
      </c>
      <c r="B1099" s="28" t="s">
        <v>672</v>
      </c>
      <c r="C1099" s="6" t="s">
        <v>1781</v>
      </c>
      <c r="D1099" s="1" t="s">
        <v>454</v>
      </c>
      <c r="E1099" s="1">
        <v>2172</v>
      </c>
      <c r="F1099" s="28">
        <v>153</v>
      </c>
      <c r="G1099" s="9">
        <v>148</v>
      </c>
      <c r="H1099" s="1">
        <v>154</v>
      </c>
      <c r="I1099" s="1">
        <v>149</v>
      </c>
      <c r="J1099" t="str">
        <f t="shared" si="17"/>
        <v>http://www.badatelna.eu/reprodukce/?fondId=1073&amp;zaznamId=1108958&amp;reproId=3779894</v>
      </c>
      <c r="K1099">
        <f>IF(LEN(TRIM(E1099))=0,"",VLOOKUP(E1099,Sheet2!$B$1:$E$19,2,FALSE))</f>
        <v>1073</v>
      </c>
      <c r="L1099">
        <f>IF(LEN(TRIM(E1099))=0,"",VLOOKUP(E1099,Sheet2!$B$1:$E$19,3,FALSE))</f>
        <v>1108958</v>
      </c>
      <c r="M1099">
        <f>IF(LEN(TRIM(E1099))=0,"",VLOOKUP(E1099,Sheet2!$B$1:$E$19,4,FALSE))+(F1099-1)</f>
        <v>3779894</v>
      </c>
      <c r="N1099" s="1"/>
      <c r="O1099" s="1"/>
      <c r="P1099" s="1"/>
      <c r="Q1099" s="1"/>
    </row>
    <row r="1100" spans="1:17" ht="15" customHeight="1" x14ac:dyDescent="0.25">
      <c r="A1100" s="28" t="s">
        <v>897</v>
      </c>
      <c r="B1100" s="28" t="s">
        <v>552</v>
      </c>
      <c r="C1100" s="6" t="s">
        <v>1640</v>
      </c>
      <c r="D1100" s="1" t="s">
        <v>454</v>
      </c>
      <c r="E1100" s="1">
        <v>2172</v>
      </c>
      <c r="F1100" s="28">
        <v>94</v>
      </c>
      <c r="G1100" s="9">
        <v>93</v>
      </c>
      <c r="H1100" s="1">
        <v>96</v>
      </c>
      <c r="I1100" s="1">
        <v>95</v>
      </c>
      <c r="J1100" t="str">
        <f t="shared" si="17"/>
        <v>http://www.badatelna.eu/reprodukce/?fondId=1073&amp;zaznamId=1108958&amp;reproId=3779835</v>
      </c>
      <c r="K1100">
        <f>IF(LEN(TRIM(E1100))=0,"",VLOOKUP(E1100,Sheet2!$B$1:$E$19,2,FALSE))</f>
        <v>1073</v>
      </c>
      <c r="L1100">
        <f>IF(LEN(TRIM(E1100))=0,"",VLOOKUP(E1100,Sheet2!$B$1:$E$19,3,FALSE))</f>
        <v>1108958</v>
      </c>
      <c r="M1100">
        <f>IF(LEN(TRIM(E1100))=0,"",VLOOKUP(E1100,Sheet2!$B$1:$E$19,4,FALSE))+(F1100-1)</f>
        <v>3779835</v>
      </c>
      <c r="N1100" s="1"/>
      <c r="O1100" s="1"/>
      <c r="P1100" s="1"/>
      <c r="Q1100" s="1"/>
    </row>
    <row r="1101" spans="1:17" ht="15" customHeight="1" x14ac:dyDescent="0.25">
      <c r="A1101" s="28" t="s">
        <v>297</v>
      </c>
      <c r="B1101" s="28" t="s">
        <v>272</v>
      </c>
      <c r="C1101" s="6" t="s">
        <v>2071</v>
      </c>
      <c r="D1101" s="1" t="s">
        <v>454</v>
      </c>
      <c r="E1101" s="1">
        <v>2173</v>
      </c>
      <c r="F1101" s="28">
        <v>179</v>
      </c>
      <c r="G1101" s="9">
        <v>4</v>
      </c>
      <c r="H1101" s="1">
        <v>189</v>
      </c>
      <c r="I1101" s="1">
        <v>420</v>
      </c>
      <c r="J1101" t="str">
        <f t="shared" si="17"/>
        <v>http://www.badatelna.eu/reprodukce/?fondId=1073&amp;zaznamId=1108959&amp;reproId=3780172</v>
      </c>
      <c r="K1101">
        <f>IF(LEN(TRIM(E1101))=0,"",VLOOKUP(E1101,Sheet2!$B$1:$E$19,2,FALSE))</f>
        <v>1073</v>
      </c>
      <c r="L1101">
        <f>IF(LEN(TRIM(E1101))=0,"",VLOOKUP(E1101,Sheet2!$B$1:$E$19,3,FALSE))</f>
        <v>1108959</v>
      </c>
      <c r="M1101">
        <f>IF(LEN(TRIM(E1101))=0,"",VLOOKUP(E1101,Sheet2!$B$1:$E$19,4,FALSE))+(F1101-1)</f>
        <v>3780172</v>
      </c>
      <c r="N1101" s="1"/>
      <c r="O1101" s="1"/>
      <c r="P1101" s="1"/>
      <c r="Q1101" s="1"/>
    </row>
    <row r="1102" spans="1:17" ht="15" customHeight="1" x14ac:dyDescent="0.25">
      <c r="A1102" s="28" t="s">
        <v>2885</v>
      </c>
      <c r="B1102" s="28" t="s">
        <v>25</v>
      </c>
      <c r="C1102" s="6" t="s">
        <v>2886</v>
      </c>
      <c r="D1102" s="1" t="s">
        <v>454</v>
      </c>
      <c r="E1102" s="1">
        <v>2173</v>
      </c>
      <c r="F1102" s="28">
        <v>211</v>
      </c>
      <c r="G1102" s="9" t="s">
        <v>2881</v>
      </c>
      <c r="H1102" s="1" t="s">
        <v>3073</v>
      </c>
      <c r="I1102" s="1" t="s">
        <v>3073</v>
      </c>
      <c r="J1102" t="str">
        <f t="shared" si="17"/>
        <v>http://www.badatelna.eu/reprodukce/?fondId=1073&amp;zaznamId=1108959&amp;reproId=3780204</v>
      </c>
      <c r="K1102">
        <f>IF(LEN(TRIM(E1102))=0,"",VLOOKUP(E1102,Sheet2!$B$1:$E$19,2,FALSE))</f>
        <v>1073</v>
      </c>
      <c r="L1102">
        <f>IF(LEN(TRIM(E1102))=0,"",VLOOKUP(E1102,Sheet2!$B$1:$E$19,3,FALSE))</f>
        <v>1108959</v>
      </c>
      <c r="M1102">
        <f>IF(LEN(TRIM(E1102))=0,"",VLOOKUP(E1102,Sheet2!$B$1:$E$19,4,FALSE))+(F1102-1)</f>
        <v>3780204</v>
      </c>
      <c r="N1102" s="1"/>
      <c r="O1102" s="1"/>
      <c r="P1102" s="1"/>
      <c r="Q1102" s="1"/>
    </row>
    <row r="1103" spans="1:17" ht="15" customHeight="1" x14ac:dyDescent="0.25">
      <c r="A1103" s="29" t="s">
        <v>2885</v>
      </c>
      <c r="B1103" s="28" t="s">
        <v>49</v>
      </c>
      <c r="C1103" s="6" t="s">
        <v>2605</v>
      </c>
      <c r="D1103" s="1" t="s">
        <v>454</v>
      </c>
      <c r="E1103" s="1">
        <v>2173</v>
      </c>
      <c r="F1103" s="28">
        <v>218</v>
      </c>
      <c r="G1103" s="9">
        <v>46</v>
      </c>
      <c r="H1103" s="1" t="s">
        <v>3073</v>
      </c>
      <c r="I1103" s="1" t="s">
        <v>3073</v>
      </c>
      <c r="J1103" t="str">
        <f t="shared" si="17"/>
        <v>http://www.badatelna.eu/reprodukce/?fondId=1073&amp;zaznamId=1108959&amp;reproId=3780211</v>
      </c>
      <c r="K1103">
        <f>IF(LEN(TRIM(E1103))=0,"",VLOOKUP(E1103,Sheet2!$B$1:$E$19,2,FALSE))</f>
        <v>1073</v>
      </c>
      <c r="L1103">
        <f>IF(LEN(TRIM(E1103))=0,"",VLOOKUP(E1103,Sheet2!$B$1:$E$19,3,FALSE))</f>
        <v>1108959</v>
      </c>
      <c r="M1103">
        <f>IF(LEN(TRIM(E1103))=0,"",VLOOKUP(E1103,Sheet2!$B$1:$E$19,4,FALSE))+(F1103-1)</f>
        <v>3780211</v>
      </c>
      <c r="N1103" s="1"/>
      <c r="O1103" s="1"/>
      <c r="P1103" s="1"/>
      <c r="Q1103" s="1"/>
    </row>
    <row r="1104" spans="1:17" ht="15" customHeight="1" x14ac:dyDescent="0.25">
      <c r="A1104" s="28" t="s">
        <v>546</v>
      </c>
      <c r="B1104" s="28" t="s">
        <v>33</v>
      </c>
      <c r="C1104" s="6" t="s">
        <v>1696</v>
      </c>
      <c r="D1104" s="1" t="s">
        <v>454</v>
      </c>
      <c r="E1104" s="1">
        <v>2172</v>
      </c>
      <c r="F1104" s="28">
        <v>113</v>
      </c>
      <c r="G1104" s="9" t="s">
        <v>2769</v>
      </c>
      <c r="H1104" s="1">
        <v>116</v>
      </c>
      <c r="I1104" s="1">
        <v>115</v>
      </c>
      <c r="J1104" t="str">
        <f t="shared" si="17"/>
        <v>http://www.badatelna.eu/reprodukce/?fondId=1073&amp;zaznamId=1108958&amp;reproId=3779854</v>
      </c>
      <c r="K1104">
        <f>IF(LEN(TRIM(E1104))=0,"",VLOOKUP(E1104,Sheet2!$B$1:$E$19,2,FALSE))</f>
        <v>1073</v>
      </c>
      <c r="L1104">
        <f>IF(LEN(TRIM(E1104))=0,"",VLOOKUP(E1104,Sheet2!$B$1:$E$19,3,FALSE))</f>
        <v>1108958</v>
      </c>
      <c r="M1104">
        <f>IF(LEN(TRIM(E1104))=0,"",VLOOKUP(E1104,Sheet2!$B$1:$E$19,4,FALSE))+(F1104-1)</f>
        <v>3779854</v>
      </c>
      <c r="N1104" s="1"/>
      <c r="O1104" s="1"/>
      <c r="P1104" s="1"/>
      <c r="Q1104" s="1"/>
    </row>
    <row r="1105" spans="1:17" ht="15" customHeight="1" x14ac:dyDescent="0.25">
      <c r="A1105" s="28" t="s">
        <v>546</v>
      </c>
      <c r="B1105" s="28" t="s">
        <v>465</v>
      </c>
      <c r="C1105" s="1">
        <v>1863</v>
      </c>
      <c r="D1105" s="1" t="s">
        <v>2919</v>
      </c>
      <c r="E1105" s="1">
        <v>999</v>
      </c>
      <c r="F1105" s="28">
        <v>83</v>
      </c>
      <c r="G1105" s="1">
        <v>4</v>
      </c>
      <c r="H1105" s="1">
        <v>102</v>
      </c>
      <c r="I1105" s="1">
        <v>161</v>
      </c>
      <c r="J1105" t="str">
        <f t="shared" si="17"/>
        <v>http://www.badatelna.eu/reprodukce/?fondId=241&amp;zaznamId=1133739&amp;reproId=3885812</v>
      </c>
      <c r="K1105">
        <f>IF(LEN(TRIM(E1105))=0,"",VLOOKUP(E1105,Sheet2!$B$1:$E$19,2,FALSE))</f>
        <v>241</v>
      </c>
      <c r="L1105">
        <f>IF(LEN(TRIM(E1105))=0,"",VLOOKUP(E1105,Sheet2!$B$1:$E$19,3,FALSE))</f>
        <v>1133739</v>
      </c>
      <c r="M1105">
        <f>IF(LEN(TRIM(E1105))=0,"",VLOOKUP(E1105,Sheet2!$B$1:$E$19,4,FALSE))+(F1105-1)</f>
        <v>3885812</v>
      </c>
    </row>
    <row r="1106" spans="1:17" ht="15" customHeight="1" x14ac:dyDescent="0.25">
      <c r="A1106" s="28" t="s">
        <v>546</v>
      </c>
      <c r="B1106" s="28" t="s">
        <v>898</v>
      </c>
      <c r="C1106" s="6" t="s">
        <v>1697</v>
      </c>
      <c r="D1106" s="1" t="s">
        <v>454</v>
      </c>
      <c r="E1106" s="1">
        <v>2172</v>
      </c>
      <c r="F1106" s="28">
        <v>115</v>
      </c>
      <c r="G1106" s="9" t="s">
        <v>2771</v>
      </c>
      <c r="H1106" s="1">
        <v>116</v>
      </c>
      <c r="I1106" s="1">
        <v>115</v>
      </c>
      <c r="J1106" t="str">
        <f t="shared" si="17"/>
        <v>http://www.badatelna.eu/reprodukce/?fondId=1073&amp;zaznamId=1108958&amp;reproId=3779856</v>
      </c>
      <c r="K1106">
        <f>IF(LEN(TRIM(E1106))=0,"",VLOOKUP(E1106,Sheet2!$B$1:$E$19,2,FALSE))</f>
        <v>1073</v>
      </c>
      <c r="L1106">
        <f>IF(LEN(TRIM(E1106))=0,"",VLOOKUP(E1106,Sheet2!$B$1:$E$19,3,FALSE))</f>
        <v>1108958</v>
      </c>
      <c r="M1106">
        <f>IF(LEN(TRIM(E1106))=0,"",VLOOKUP(E1106,Sheet2!$B$1:$E$19,4,FALSE))+(F1106-1)</f>
        <v>3779856</v>
      </c>
      <c r="N1106" s="1"/>
      <c r="O1106" s="1"/>
      <c r="P1106" s="1"/>
      <c r="Q1106" s="1"/>
    </row>
    <row r="1107" spans="1:17" ht="15" customHeight="1" x14ac:dyDescent="0.25">
      <c r="A1107" s="28" t="s">
        <v>546</v>
      </c>
      <c r="B1107" s="28" t="s">
        <v>899</v>
      </c>
      <c r="C1107" s="6" t="s">
        <v>1608</v>
      </c>
      <c r="D1107" s="1" t="s">
        <v>454</v>
      </c>
      <c r="E1107" s="1">
        <v>2172</v>
      </c>
      <c r="F1107" s="28">
        <v>73</v>
      </c>
      <c r="G1107" s="9">
        <v>72</v>
      </c>
      <c r="H1107" s="1">
        <v>76</v>
      </c>
      <c r="I1107" s="1">
        <v>75</v>
      </c>
      <c r="J1107" t="str">
        <f t="shared" si="17"/>
        <v>http://www.badatelna.eu/reprodukce/?fondId=1073&amp;zaznamId=1108958&amp;reproId=3779814</v>
      </c>
      <c r="K1107">
        <f>IF(LEN(TRIM(E1107))=0,"",VLOOKUP(E1107,Sheet2!$B$1:$E$19,2,FALSE))</f>
        <v>1073</v>
      </c>
      <c r="L1107">
        <f>IF(LEN(TRIM(E1107))=0,"",VLOOKUP(E1107,Sheet2!$B$1:$E$19,3,FALSE))</f>
        <v>1108958</v>
      </c>
      <c r="M1107">
        <f>IF(LEN(TRIM(E1107))=0,"",VLOOKUP(E1107,Sheet2!$B$1:$E$19,4,FALSE))+(F1107-1)</f>
        <v>3779814</v>
      </c>
      <c r="N1107" s="1"/>
      <c r="O1107" s="1"/>
      <c r="P1107" s="1"/>
      <c r="Q1107" s="1"/>
    </row>
    <row r="1108" spans="1:17" ht="15" customHeight="1" x14ac:dyDescent="0.25">
      <c r="A1108" s="28" t="s">
        <v>546</v>
      </c>
      <c r="B1108" s="28" t="s">
        <v>25</v>
      </c>
      <c r="C1108" s="1">
        <v>1893</v>
      </c>
      <c r="D1108" s="1" t="s">
        <v>454</v>
      </c>
      <c r="E1108" s="1">
        <v>2172</v>
      </c>
      <c r="F1108" s="28">
        <v>88</v>
      </c>
      <c r="G1108" s="9">
        <v>87</v>
      </c>
      <c r="H1108" s="1">
        <v>89</v>
      </c>
      <c r="I1108" s="1">
        <v>88</v>
      </c>
      <c r="J1108" t="str">
        <f t="shared" si="17"/>
        <v>http://www.badatelna.eu/reprodukce/?fondId=1073&amp;zaznamId=1108958&amp;reproId=3779829</v>
      </c>
      <c r="K1108">
        <f>IF(LEN(TRIM(E1108))=0,"",VLOOKUP(E1108,Sheet2!$B$1:$E$19,2,FALSE))</f>
        <v>1073</v>
      </c>
      <c r="L1108">
        <f>IF(LEN(TRIM(E1108))=0,"",VLOOKUP(E1108,Sheet2!$B$1:$E$19,3,FALSE))</f>
        <v>1108958</v>
      </c>
      <c r="M1108">
        <f>IF(LEN(TRIM(E1108))=0,"",VLOOKUP(E1108,Sheet2!$B$1:$E$19,4,FALSE))+(F1108-1)</f>
        <v>3779829</v>
      </c>
      <c r="N1108" s="1"/>
      <c r="O1108" s="1"/>
      <c r="P1108" s="1"/>
      <c r="Q1108" s="1"/>
    </row>
    <row r="1109" spans="1:17" ht="15" customHeight="1" x14ac:dyDescent="0.25">
      <c r="A1109" s="28" t="s">
        <v>546</v>
      </c>
      <c r="B1109" s="28" t="s">
        <v>198</v>
      </c>
      <c r="C1109" s="1">
        <v>1863</v>
      </c>
      <c r="D1109" s="1" t="s">
        <v>2919</v>
      </c>
      <c r="E1109" s="1">
        <v>999</v>
      </c>
      <c r="F1109" s="28">
        <v>82</v>
      </c>
      <c r="G1109" s="1">
        <v>3</v>
      </c>
      <c r="H1109" s="1">
        <v>102</v>
      </c>
      <c r="I1109" s="1">
        <v>161</v>
      </c>
      <c r="J1109" t="str">
        <f t="shared" si="17"/>
        <v>http://www.badatelna.eu/reprodukce/?fondId=241&amp;zaznamId=1133739&amp;reproId=3885811</v>
      </c>
      <c r="K1109">
        <f>IF(LEN(TRIM(E1109))=0,"",VLOOKUP(E1109,Sheet2!$B$1:$E$19,2,FALSE))</f>
        <v>241</v>
      </c>
      <c r="L1109">
        <f>IF(LEN(TRIM(E1109))=0,"",VLOOKUP(E1109,Sheet2!$B$1:$E$19,3,FALSE))</f>
        <v>1133739</v>
      </c>
      <c r="M1109">
        <f>IF(LEN(TRIM(E1109))=0,"",VLOOKUP(E1109,Sheet2!$B$1:$E$19,4,FALSE))+(F1109-1)</f>
        <v>3885811</v>
      </c>
    </row>
    <row r="1110" spans="1:17" ht="15" customHeight="1" x14ac:dyDescent="0.25">
      <c r="A1110" s="28" t="s">
        <v>546</v>
      </c>
      <c r="B1110" s="28" t="s">
        <v>198</v>
      </c>
      <c r="C1110" s="1">
        <v>1866</v>
      </c>
      <c r="D1110" s="1" t="s">
        <v>2919</v>
      </c>
      <c r="E1110" s="1">
        <v>999</v>
      </c>
      <c r="F1110" s="28">
        <v>90</v>
      </c>
      <c r="G1110" s="1">
        <v>11</v>
      </c>
      <c r="H1110" s="1">
        <v>102</v>
      </c>
      <c r="I1110" s="1">
        <v>161</v>
      </c>
      <c r="J1110" t="str">
        <f t="shared" si="17"/>
        <v>http://www.badatelna.eu/reprodukce/?fondId=241&amp;zaznamId=1133739&amp;reproId=3885819</v>
      </c>
      <c r="K1110">
        <f>IF(LEN(TRIM(E1110))=0,"",VLOOKUP(E1110,Sheet2!$B$1:$E$19,2,FALSE))</f>
        <v>241</v>
      </c>
      <c r="L1110">
        <f>IF(LEN(TRIM(E1110))=0,"",VLOOKUP(E1110,Sheet2!$B$1:$E$19,3,FALSE))</f>
        <v>1133739</v>
      </c>
      <c r="M1110">
        <f>IF(LEN(TRIM(E1110))=0,"",VLOOKUP(E1110,Sheet2!$B$1:$E$19,4,FALSE))+(F1110-1)</f>
        <v>3885819</v>
      </c>
    </row>
    <row r="1111" spans="1:17" ht="15" customHeight="1" x14ac:dyDescent="0.25">
      <c r="A1111" s="27" t="s">
        <v>546</v>
      </c>
      <c r="B1111" s="27" t="s">
        <v>16</v>
      </c>
      <c r="C1111" s="5" t="s">
        <v>1201</v>
      </c>
      <c r="D1111" s="3" t="s">
        <v>454</v>
      </c>
      <c r="E1111" s="3">
        <v>2170</v>
      </c>
      <c r="F1111" s="28">
        <v>17</v>
      </c>
      <c r="G1111" s="10">
        <v>13</v>
      </c>
      <c r="H1111" s="3">
        <v>63</v>
      </c>
      <c r="I1111" s="3">
        <v>59</v>
      </c>
      <c r="J1111" t="str">
        <f t="shared" si="17"/>
        <v>http://www.badatelna.eu/reprodukce/?fondId=1073&amp;zaznamId=1108956&amp;reproId=3779609</v>
      </c>
      <c r="K1111">
        <f>IF(LEN(TRIM(E1111))=0,"",VLOOKUP(E1111,Sheet2!$B$1:$E$19,2,FALSE))</f>
        <v>1073</v>
      </c>
      <c r="L1111">
        <f>IF(LEN(TRIM(E1111))=0,"",VLOOKUP(E1111,Sheet2!$B$1:$E$19,3,FALSE))</f>
        <v>1108956</v>
      </c>
      <c r="M1111">
        <f>IF(LEN(TRIM(E1111))=0,"",VLOOKUP(E1111,Sheet2!$B$1:$E$19,4,FALSE))+(F1111-1)</f>
        <v>3779609</v>
      </c>
      <c r="N1111" s="1"/>
      <c r="O1111" s="1"/>
      <c r="P1111" s="1"/>
      <c r="Q1111" s="1"/>
    </row>
    <row r="1112" spans="1:17" ht="15" customHeight="1" x14ac:dyDescent="0.25">
      <c r="A1112" s="27" t="s">
        <v>546</v>
      </c>
      <c r="B1112" s="27" t="s">
        <v>547</v>
      </c>
      <c r="C1112" s="5" t="s">
        <v>1202</v>
      </c>
      <c r="D1112" s="3" t="s">
        <v>454</v>
      </c>
      <c r="E1112" s="3">
        <v>2170</v>
      </c>
      <c r="F1112" s="28">
        <v>7</v>
      </c>
      <c r="G1112" s="10">
        <v>3</v>
      </c>
      <c r="H1112" s="3">
        <v>63</v>
      </c>
      <c r="I1112" s="3">
        <v>59</v>
      </c>
      <c r="J1112" t="str">
        <f t="shared" si="17"/>
        <v>http://www.badatelna.eu/reprodukce/?fondId=1073&amp;zaznamId=1108956&amp;reproId=3779599</v>
      </c>
      <c r="K1112">
        <f>IF(LEN(TRIM(E1112))=0,"",VLOOKUP(E1112,Sheet2!$B$1:$E$19,2,FALSE))</f>
        <v>1073</v>
      </c>
      <c r="L1112">
        <f>IF(LEN(TRIM(E1112))=0,"",VLOOKUP(E1112,Sheet2!$B$1:$E$19,3,FALSE))</f>
        <v>1108956</v>
      </c>
      <c r="M1112">
        <f>IF(LEN(TRIM(E1112))=0,"",VLOOKUP(E1112,Sheet2!$B$1:$E$19,4,FALSE))+(F1112-1)</f>
        <v>3779599</v>
      </c>
      <c r="N1112" s="1"/>
      <c r="O1112" s="1"/>
      <c r="P1112" s="1"/>
      <c r="Q1112" s="1"/>
    </row>
    <row r="1113" spans="1:17" ht="15" customHeight="1" x14ac:dyDescent="0.25">
      <c r="A1113" s="29" t="s">
        <v>546</v>
      </c>
      <c r="B1113" s="28" t="s">
        <v>530</v>
      </c>
      <c r="C1113" s="1">
        <v>1860</v>
      </c>
      <c r="D1113" s="1" t="s">
        <v>2919</v>
      </c>
      <c r="E1113" s="1">
        <v>998</v>
      </c>
      <c r="F1113" s="28">
        <v>58</v>
      </c>
      <c r="G1113" s="1">
        <v>55</v>
      </c>
      <c r="H1113" s="1">
        <v>71</v>
      </c>
      <c r="I1113" s="1">
        <v>68</v>
      </c>
      <c r="J1113" t="str">
        <f t="shared" si="17"/>
        <v>http://www.badatelna.eu/reprodukce/?fondId=241&amp;zaznamId=1133738&amp;reproId=3885704</v>
      </c>
      <c r="K1113">
        <f>IF(LEN(TRIM(E1113))=0,"",VLOOKUP(E1113,Sheet2!$B$1:$E$19,2,FALSE))</f>
        <v>241</v>
      </c>
      <c r="L1113">
        <f>IF(LEN(TRIM(E1113))=0,"",VLOOKUP(E1113,Sheet2!$B$1:$E$19,3,FALSE))</f>
        <v>1133738</v>
      </c>
      <c r="M1113">
        <f>IF(LEN(TRIM(E1113))=0,"",VLOOKUP(E1113,Sheet2!$B$1:$E$19,4,FALSE))+(F1113-1)</f>
        <v>3885704</v>
      </c>
      <c r="N1113" s="1"/>
      <c r="O1113" s="1"/>
      <c r="P1113" s="1"/>
      <c r="Q1113" s="1"/>
    </row>
    <row r="1114" spans="1:17" ht="15" customHeight="1" x14ac:dyDescent="0.25">
      <c r="A1114" s="28" t="s">
        <v>546</v>
      </c>
      <c r="B1114" s="28" t="s">
        <v>483</v>
      </c>
      <c r="C1114" s="1">
        <v>1849</v>
      </c>
      <c r="D1114" s="1" t="s">
        <v>2919</v>
      </c>
      <c r="E1114" s="1">
        <v>998</v>
      </c>
      <c r="F1114" s="28">
        <v>23</v>
      </c>
      <c r="G1114" s="1">
        <v>21</v>
      </c>
      <c r="H1114" s="1">
        <v>71</v>
      </c>
      <c r="I1114" s="1">
        <v>68</v>
      </c>
      <c r="J1114" t="str">
        <f t="shared" si="17"/>
        <v>http://www.badatelna.eu/reprodukce/?fondId=241&amp;zaznamId=1133738&amp;reproId=3885669</v>
      </c>
      <c r="K1114">
        <f>IF(LEN(TRIM(E1114))=0,"",VLOOKUP(E1114,Sheet2!$B$1:$E$19,2,FALSE))</f>
        <v>241</v>
      </c>
      <c r="L1114">
        <f>IF(LEN(TRIM(E1114))=0,"",VLOOKUP(E1114,Sheet2!$B$1:$E$19,3,FALSE))</f>
        <v>1133738</v>
      </c>
      <c r="M1114">
        <f>IF(LEN(TRIM(E1114))=0,"",VLOOKUP(E1114,Sheet2!$B$1:$E$19,4,FALSE))+(F1114-1)</f>
        <v>3885669</v>
      </c>
    </row>
    <row r="1115" spans="1:17" ht="15" customHeight="1" x14ac:dyDescent="0.25">
      <c r="A1115" s="28" t="s">
        <v>546</v>
      </c>
      <c r="B1115" s="28" t="s">
        <v>407</v>
      </c>
      <c r="C1115" s="1">
        <v>1864</v>
      </c>
      <c r="D1115" s="1" t="s">
        <v>2919</v>
      </c>
      <c r="E1115" s="1">
        <v>999</v>
      </c>
      <c r="F1115" s="28">
        <v>86</v>
      </c>
      <c r="G1115" s="1">
        <v>7</v>
      </c>
      <c r="H1115" s="1">
        <v>102</v>
      </c>
      <c r="I1115" s="1">
        <v>161</v>
      </c>
      <c r="J1115" t="str">
        <f t="shared" si="17"/>
        <v>http://www.badatelna.eu/reprodukce/?fondId=241&amp;zaznamId=1133739&amp;reproId=3885815</v>
      </c>
      <c r="K1115">
        <f>IF(LEN(TRIM(E1115))=0,"",VLOOKUP(E1115,Sheet2!$B$1:$E$19,2,FALSE))</f>
        <v>241</v>
      </c>
      <c r="L1115">
        <f>IF(LEN(TRIM(E1115))=0,"",VLOOKUP(E1115,Sheet2!$B$1:$E$19,3,FALSE))</f>
        <v>1133739</v>
      </c>
      <c r="M1115">
        <f>IF(LEN(TRIM(E1115))=0,"",VLOOKUP(E1115,Sheet2!$B$1:$E$19,4,FALSE))+(F1115-1)</f>
        <v>3885815</v>
      </c>
      <c r="N1115" s="1"/>
      <c r="O1115" s="1"/>
      <c r="P1115" s="1"/>
      <c r="Q1115" s="1"/>
    </row>
    <row r="1116" spans="1:17" ht="15" customHeight="1" x14ac:dyDescent="0.25">
      <c r="A1116" s="27" t="s">
        <v>546</v>
      </c>
      <c r="B1116" s="27" t="s">
        <v>407</v>
      </c>
      <c r="C1116" s="5" t="s">
        <v>1200</v>
      </c>
      <c r="D1116" s="3" t="s">
        <v>454</v>
      </c>
      <c r="E1116" s="3">
        <v>2170</v>
      </c>
      <c r="F1116" s="28">
        <v>11</v>
      </c>
      <c r="G1116" s="10">
        <v>7</v>
      </c>
      <c r="H1116" s="3">
        <v>63</v>
      </c>
      <c r="I1116" s="3">
        <v>59</v>
      </c>
      <c r="J1116" t="str">
        <f t="shared" si="17"/>
        <v>http://www.badatelna.eu/reprodukce/?fondId=1073&amp;zaznamId=1108956&amp;reproId=3779603</v>
      </c>
      <c r="K1116">
        <f>IF(LEN(TRIM(E1116))=0,"",VLOOKUP(E1116,Sheet2!$B$1:$E$19,2,FALSE))</f>
        <v>1073</v>
      </c>
      <c r="L1116">
        <f>IF(LEN(TRIM(E1116))=0,"",VLOOKUP(E1116,Sheet2!$B$1:$E$19,3,FALSE))</f>
        <v>1108956</v>
      </c>
      <c r="M1116">
        <f>IF(LEN(TRIM(E1116))=0,"",VLOOKUP(E1116,Sheet2!$B$1:$E$19,4,FALSE))+(F1116-1)</f>
        <v>3779603</v>
      </c>
      <c r="N1116" s="1"/>
      <c r="O1116" s="1"/>
      <c r="P1116" s="1"/>
      <c r="Q1116" s="1"/>
    </row>
    <row r="1117" spans="1:17" ht="15" customHeight="1" x14ac:dyDescent="0.25">
      <c r="A1117" s="27" t="s">
        <v>548</v>
      </c>
      <c r="B1117" s="27" t="s">
        <v>549</v>
      </c>
      <c r="C1117" s="5" t="s">
        <v>1203</v>
      </c>
      <c r="D1117" s="3" t="s">
        <v>454</v>
      </c>
      <c r="E1117" s="3">
        <v>2170</v>
      </c>
      <c r="F1117" s="28">
        <v>7</v>
      </c>
      <c r="G1117" s="10">
        <v>3</v>
      </c>
      <c r="H1117" s="3">
        <v>63</v>
      </c>
      <c r="I1117" s="3">
        <v>59</v>
      </c>
      <c r="J1117" t="str">
        <f t="shared" si="17"/>
        <v>http://www.badatelna.eu/reprodukce/?fondId=1073&amp;zaznamId=1108956&amp;reproId=3779599</v>
      </c>
      <c r="K1117">
        <f>IF(LEN(TRIM(E1117))=0,"",VLOOKUP(E1117,Sheet2!$B$1:$E$19,2,FALSE))</f>
        <v>1073</v>
      </c>
      <c r="L1117">
        <f>IF(LEN(TRIM(E1117))=0,"",VLOOKUP(E1117,Sheet2!$B$1:$E$19,3,FALSE))</f>
        <v>1108956</v>
      </c>
      <c r="M1117">
        <f>IF(LEN(TRIM(E1117))=0,"",VLOOKUP(E1117,Sheet2!$B$1:$E$19,4,FALSE))+(F1117-1)</f>
        <v>3779599</v>
      </c>
      <c r="N1117" s="1"/>
      <c r="O1117" s="1"/>
      <c r="P1117" s="1"/>
      <c r="Q1117" s="1"/>
    </row>
    <row r="1118" spans="1:17" ht="15" customHeight="1" x14ac:dyDescent="0.25">
      <c r="A1118" s="28" t="s">
        <v>900</v>
      </c>
      <c r="B1118" s="28" t="s">
        <v>901</v>
      </c>
      <c r="C1118" s="6" t="s">
        <v>1939</v>
      </c>
      <c r="D1118" s="1" t="s">
        <v>454</v>
      </c>
      <c r="E1118" s="1">
        <v>2172</v>
      </c>
      <c r="F1118" s="28">
        <v>221</v>
      </c>
      <c r="G1118" s="9">
        <v>203</v>
      </c>
      <c r="H1118" s="1" t="s">
        <v>3073</v>
      </c>
      <c r="I1118" s="1" t="s">
        <v>3073</v>
      </c>
      <c r="J1118" t="str">
        <f t="shared" si="17"/>
        <v>http://www.badatelna.eu/reprodukce/?fondId=1073&amp;zaznamId=1108958&amp;reproId=3779962</v>
      </c>
      <c r="K1118">
        <f>IF(LEN(TRIM(E1118))=0,"",VLOOKUP(E1118,Sheet2!$B$1:$E$19,2,FALSE))</f>
        <v>1073</v>
      </c>
      <c r="L1118">
        <f>IF(LEN(TRIM(E1118))=0,"",VLOOKUP(E1118,Sheet2!$B$1:$E$19,3,FALSE))</f>
        <v>1108958</v>
      </c>
      <c r="M1118">
        <f>IF(LEN(TRIM(E1118))=0,"",VLOOKUP(E1118,Sheet2!$B$1:$E$19,4,FALSE))+(F1118-1)</f>
        <v>3779962</v>
      </c>
      <c r="N1118" s="1"/>
      <c r="O1118" s="1"/>
      <c r="P1118" s="1"/>
      <c r="Q1118" s="1"/>
    </row>
    <row r="1119" spans="1:17" ht="15" customHeight="1" x14ac:dyDescent="0.25">
      <c r="A1119" s="29" t="s">
        <v>3108</v>
      </c>
      <c r="B1119" s="29" t="s">
        <v>2984</v>
      </c>
      <c r="C1119" s="6" t="s">
        <v>2597</v>
      </c>
      <c r="D1119" s="1" t="s">
        <v>454</v>
      </c>
      <c r="E1119" s="1">
        <v>2173</v>
      </c>
      <c r="F1119" s="28">
        <v>217</v>
      </c>
      <c r="G1119" s="9">
        <v>44</v>
      </c>
      <c r="H1119" s="1" t="s">
        <v>3073</v>
      </c>
      <c r="I1119" s="1" t="s">
        <v>3073</v>
      </c>
      <c r="J1119" t="str">
        <f t="shared" si="17"/>
        <v>http://www.badatelna.eu/reprodukce/?fondId=1073&amp;zaznamId=1108959&amp;reproId=3780210</v>
      </c>
      <c r="K1119">
        <f>IF(LEN(TRIM(E1119))=0,"",VLOOKUP(E1119,Sheet2!$B$1:$E$19,2,FALSE))</f>
        <v>1073</v>
      </c>
      <c r="L1119">
        <f>IF(LEN(TRIM(E1119))=0,"",VLOOKUP(E1119,Sheet2!$B$1:$E$19,3,FALSE))</f>
        <v>1108959</v>
      </c>
      <c r="M1119">
        <f>IF(LEN(TRIM(E1119))=0,"",VLOOKUP(E1119,Sheet2!$B$1:$E$19,4,FALSE))+(F1119-1)</f>
        <v>3780210</v>
      </c>
    </row>
    <row r="1120" spans="1:17" ht="15" customHeight="1" x14ac:dyDescent="0.25">
      <c r="A1120" s="32" t="s">
        <v>2749</v>
      </c>
      <c r="B1120" s="31" t="s">
        <v>52</v>
      </c>
      <c r="C1120" s="7" t="s">
        <v>2241</v>
      </c>
      <c r="D1120" s="1" t="s">
        <v>454</v>
      </c>
      <c r="E1120" s="1">
        <v>2173</v>
      </c>
      <c r="F1120" s="28">
        <v>196</v>
      </c>
      <c r="G1120" s="9">
        <v>2</v>
      </c>
      <c r="H1120" s="1" t="s">
        <v>3073</v>
      </c>
      <c r="I1120" s="1" t="s">
        <v>3073</v>
      </c>
      <c r="J1120" t="str">
        <f t="shared" si="17"/>
        <v>http://www.badatelna.eu/reprodukce/?fondId=1073&amp;zaznamId=1108959&amp;reproId=3780189</v>
      </c>
      <c r="K1120">
        <f>IF(LEN(TRIM(E1120))=0,"",VLOOKUP(E1120,Sheet2!$B$1:$E$19,2,FALSE))</f>
        <v>1073</v>
      </c>
      <c r="L1120">
        <f>IF(LEN(TRIM(E1120))=0,"",VLOOKUP(E1120,Sheet2!$B$1:$E$19,3,FALSE))</f>
        <v>1108959</v>
      </c>
      <c r="M1120">
        <f>IF(LEN(TRIM(E1120))=0,"",VLOOKUP(E1120,Sheet2!$B$1:$E$19,4,FALSE))+(F1120-1)</f>
        <v>3780189</v>
      </c>
      <c r="N1120" s="1"/>
      <c r="O1120" s="1"/>
      <c r="P1120" s="1"/>
      <c r="Q1120" s="1"/>
    </row>
    <row r="1121" spans="1:17" ht="15" customHeight="1" x14ac:dyDescent="0.25">
      <c r="A1121" s="29" t="s">
        <v>2974</v>
      </c>
      <c r="B1121" s="28" t="s">
        <v>527</v>
      </c>
      <c r="C1121" s="1">
        <v>1853</v>
      </c>
      <c r="D1121" s="1" t="s">
        <v>2919</v>
      </c>
      <c r="E1121" s="1">
        <v>998</v>
      </c>
      <c r="F1121" s="28">
        <v>39</v>
      </c>
      <c r="G1121" s="1">
        <v>37</v>
      </c>
      <c r="H1121" s="1">
        <v>71</v>
      </c>
      <c r="I1121" s="1">
        <v>68</v>
      </c>
      <c r="J1121" t="str">
        <f t="shared" si="17"/>
        <v>http://www.badatelna.eu/reprodukce/?fondId=241&amp;zaznamId=1133738&amp;reproId=3885685</v>
      </c>
      <c r="K1121">
        <f>IF(LEN(TRIM(E1121))=0,"",VLOOKUP(E1121,Sheet2!$B$1:$E$19,2,FALSE))</f>
        <v>241</v>
      </c>
      <c r="L1121">
        <f>IF(LEN(TRIM(E1121))=0,"",VLOOKUP(E1121,Sheet2!$B$1:$E$19,3,FALSE))</f>
        <v>1133738</v>
      </c>
      <c r="M1121">
        <f>IF(LEN(TRIM(E1121))=0,"",VLOOKUP(E1121,Sheet2!$B$1:$E$19,4,FALSE))+(F1121-1)</f>
        <v>3885685</v>
      </c>
      <c r="N1121" s="1"/>
      <c r="O1121" s="1"/>
      <c r="P1121" s="1"/>
      <c r="Q1121" s="1"/>
    </row>
    <row r="1122" spans="1:17" ht="15" customHeight="1" x14ac:dyDescent="0.25">
      <c r="A1122" s="28" t="s">
        <v>3049</v>
      </c>
      <c r="B1122" s="28" t="s">
        <v>306</v>
      </c>
      <c r="C1122" s="1">
        <v>1864</v>
      </c>
      <c r="D1122" s="1" t="s">
        <v>2919</v>
      </c>
      <c r="E1122" s="1">
        <v>999</v>
      </c>
      <c r="F1122" s="28">
        <v>87</v>
      </c>
      <c r="G1122" s="1">
        <v>8</v>
      </c>
      <c r="H1122" s="1">
        <v>102</v>
      </c>
      <c r="I1122" s="1">
        <v>161</v>
      </c>
      <c r="J1122" t="str">
        <f t="shared" si="17"/>
        <v>http://www.badatelna.eu/reprodukce/?fondId=241&amp;zaznamId=1133739&amp;reproId=3885816</v>
      </c>
      <c r="K1122">
        <f>IF(LEN(TRIM(E1122))=0,"",VLOOKUP(E1122,Sheet2!$B$1:$E$19,2,FALSE))</f>
        <v>241</v>
      </c>
      <c r="L1122">
        <f>IF(LEN(TRIM(E1122))=0,"",VLOOKUP(E1122,Sheet2!$B$1:$E$19,3,FALSE))</f>
        <v>1133739</v>
      </c>
      <c r="M1122">
        <f>IF(LEN(TRIM(E1122))=0,"",VLOOKUP(E1122,Sheet2!$B$1:$E$19,4,FALSE))+(F1122-1)</f>
        <v>3885816</v>
      </c>
    </row>
    <row r="1123" spans="1:17" ht="15" customHeight="1" x14ac:dyDescent="0.25">
      <c r="A1123" s="28" t="s">
        <v>192</v>
      </c>
      <c r="B1123" s="28" t="s">
        <v>465</v>
      </c>
      <c r="C1123" s="1">
        <v>1853</v>
      </c>
      <c r="D1123" s="1" t="s">
        <v>2919</v>
      </c>
      <c r="E1123" s="1">
        <v>998</v>
      </c>
      <c r="F1123" s="28">
        <v>38</v>
      </c>
      <c r="G1123" s="1">
        <v>36</v>
      </c>
      <c r="H1123" s="1">
        <v>71</v>
      </c>
      <c r="I1123" s="1">
        <v>68</v>
      </c>
      <c r="J1123" t="str">
        <f t="shared" si="17"/>
        <v>http://www.badatelna.eu/reprodukce/?fondId=241&amp;zaznamId=1133738&amp;reproId=3885684</v>
      </c>
      <c r="K1123">
        <f>IF(LEN(TRIM(E1123))=0,"",VLOOKUP(E1123,Sheet2!$B$1:$E$19,2,FALSE))</f>
        <v>241</v>
      </c>
      <c r="L1123">
        <f>IF(LEN(TRIM(E1123))=0,"",VLOOKUP(E1123,Sheet2!$B$1:$E$19,3,FALSE))</f>
        <v>1133738</v>
      </c>
      <c r="M1123">
        <f>IF(LEN(TRIM(E1123))=0,"",VLOOKUP(E1123,Sheet2!$B$1:$E$19,4,FALSE))+(F1123-1)</f>
        <v>3885684</v>
      </c>
      <c r="N1123" s="1"/>
      <c r="O1123" s="1"/>
      <c r="P1123" s="1"/>
      <c r="Q1123" s="1"/>
    </row>
    <row r="1124" spans="1:17" ht="15" customHeight="1" x14ac:dyDescent="0.25">
      <c r="A1124" s="28" t="s">
        <v>192</v>
      </c>
      <c r="B1124" s="28" t="s">
        <v>126</v>
      </c>
      <c r="C1124" s="6" t="s">
        <v>2074</v>
      </c>
      <c r="D1124" s="1" t="s">
        <v>454</v>
      </c>
      <c r="E1124" s="1">
        <v>2173</v>
      </c>
      <c r="F1124" s="28">
        <v>178</v>
      </c>
      <c r="G1124" s="9">
        <v>3</v>
      </c>
      <c r="H1124" s="1">
        <v>189</v>
      </c>
      <c r="I1124" s="1">
        <v>420</v>
      </c>
      <c r="J1124" t="str">
        <f t="shared" si="17"/>
        <v>http://www.badatelna.eu/reprodukce/?fondId=1073&amp;zaznamId=1108959&amp;reproId=3780171</v>
      </c>
      <c r="K1124">
        <f>IF(LEN(TRIM(E1124))=0,"",VLOOKUP(E1124,Sheet2!$B$1:$E$19,2,FALSE))</f>
        <v>1073</v>
      </c>
      <c r="L1124">
        <f>IF(LEN(TRIM(E1124))=0,"",VLOOKUP(E1124,Sheet2!$B$1:$E$19,3,FALSE))</f>
        <v>1108959</v>
      </c>
      <c r="M1124">
        <f>IF(LEN(TRIM(E1124))=0,"",VLOOKUP(E1124,Sheet2!$B$1:$E$19,4,FALSE))+(F1124-1)</f>
        <v>3780171</v>
      </c>
      <c r="N1124" s="1"/>
      <c r="O1124" s="1"/>
      <c r="P1124" s="1"/>
      <c r="Q1124" s="1"/>
    </row>
    <row r="1125" spans="1:17" ht="15" customHeight="1" x14ac:dyDescent="0.25">
      <c r="A1125" s="28" t="s">
        <v>192</v>
      </c>
      <c r="B1125" s="29" t="s">
        <v>466</v>
      </c>
      <c r="C1125" s="1">
        <v>1860</v>
      </c>
      <c r="D1125" s="1" t="s">
        <v>2919</v>
      </c>
      <c r="E1125" s="1">
        <v>998</v>
      </c>
      <c r="F1125" s="28">
        <v>59</v>
      </c>
      <c r="G1125" s="1">
        <v>56</v>
      </c>
      <c r="H1125" s="1">
        <v>71</v>
      </c>
      <c r="I1125" s="1">
        <v>68</v>
      </c>
      <c r="J1125" t="str">
        <f t="shared" si="17"/>
        <v>http://www.badatelna.eu/reprodukce/?fondId=241&amp;zaznamId=1133738&amp;reproId=3885705</v>
      </c>
      <c r="K1125">
        <f>IF(LEN(TRIM(E1125))=0,"",VLOOKUP(E1125,Sheet2!$B$1:$E$19,2,FALSE))</f>
        <v>241</v>
      </c>
      <c r="L1125">
        <f>IF(LEN(TRIM(E1125))=0,"",VLOOKUP(E1125,Sheet2!$B$1:$E$19,3,FALSE))</f>
        <v>1133738</v>
      </c>
      <c r="M1125">
        <f>IF(LEN(TRIM(E1125))=0,"",VLOOKUP(E1125,Sheet2!$B$1:$E$19,4,FALSE))+(F1125-1)</f>
        <v>3885705</v>
      </c>
    </row>
    <row r="1126" spans="1:17" ht="15" customHeight="1" x14ac:dyDescent="0.25">
      <c r="A1126" s="27" t="s">
        <v>192</v>
      </c>
      <c r="B1126" s="27" t="s">
        <v>472</v>
      </c>
      <c r="C1126" s="5" t="s">
        <v>1205</v>
      </c>
      <c r="D1126" s="3" t="s">
        <v>454</v>
      </c>
      <c r="E1126" s="3">
        <v>2170</v>
      </c>
      <c r="F1126" s="28">
        <v>42</v>
      </c>
      <c r="G1126" s="10">
        <v>38</v>
      </c>
      <c r="H1126" s="3">
        <v>63</v>
      </c>
      <c r="I1126" s="3">
        <v>59</v>
      </c>
      <c r="J1126" t="str">
        <f t="shared" si="17"/>
        <v>http://www.badatelna.eu/reprodukce/?fondId=1073&amp;zaznamId=1108956&amp;reproId=3779634</v>
      </c>
      <c r="K1126">
        <f>IF(LEN(TRIM(E1126))=0,"",VLOOKUP(E1126,Sheet2!$B$1:$E$19,2,FALSE))</f>
        <v>1073</v>
      </c>
      <c r="L1126">
        <f>IF(LEN(TRIM(E1126))=0,"",VLOOKUP(E1126,Sheet2!$B$1:$E$19,3,FALSE))</f>
        <v>1108956</v>
      </c>
      <c r="M1126">
        <f>IF(LEN(TRIM(E1126))=0,"",VLOOKUP(E1126,Sheet2!$B$1:$E$19,4,FALSE))+(F1126-1)</f>
        <v>3779634</v>
      </c>
      <c r="N1126" s="1"/>
      <c r="O1126" s="1"/>
      <c r="P1126" s="1"/>
      <c r="Q1126" s="1"/>
    </row>
    <row r="1127" spans="1:17" ht="15" customHeight="1" x14ac:dyDescent="0.25">
      <c r="A1127" s="28" t="s">
        <v>192</v>
      </c>
      <c r="B1127" s="28" t="s">
        <v>280</v>
      </c>
      <c r="C1127" s="6" t="s">
        <v>2075</v>
      </c>
      <c r="D1127" s="1" t="s">
        <v>454</v>
      </c>
      <c r="E1127" s="1">
        <v>2173</v>
      </c>
      <c r="F1127" s="28">
        <v>182</v>
      </c>
      <c r="G1127" s="9">
        <v>11</v>
      </c>
      <c r="H1127" s="1">
        <v>189</v>
      </c>
      <c r="I1127" s="1">
        <v>420</v>
      </c>
      <c r="J1127" t="str">
        <f t="shared" si="17"/>
        <v>http://www.badatelna.eu/reprodukce/?fondId=1073&amp;zaznamId=1108959&amp;reproId=3780175</v>
      </c>
      <c r="K1127">
        <f>IF(LEN(TRIM(E1127))=0,"",VLOOKUP(E1127,Sheet2!$B$1:$E$19,2,FALSE))</f>
        <v>1073</v>
      </c>
      <c r="L1127">
        <f>IF(LEN(TRIM(E1127))=0,"",VLOOKUP(E1127,Sheet2!$B$1:$E$19,3,FALSE))</f>
        <v>1108959</v>
      </c>
      <c r="M1127">
        <f>IF(LEN(TRIM(E1127))=0,"",VLOOKUP(E1127,Sheet2!$B$1:$E$19,4,FALSE))+(F1127-1)</f>
        <v>3780175</v>
      </c>
    </row>
    <row r="1128" spans="1:17" ht="15" customHeight="1" x14ac:dyDescent="0.25">
      <c r="A1128" s="28" t="s">
        <v>192</v>
      </c>
      <c r="B1128" s="28" t="s">
        <v>541</v>
      </c>
      <c r="C1128" s="1">
        <v>1848</v>
      </c>
      <c r="D1128" s="1" t="s">
        <v>2919</v>
      </c>
      <c r="E1128" s="1">
        <v>998</v>
      </c>
      <c r="F1128" s="28">
        <v>16</v>
      </c>
      <c r="G1128" s="1">
        <v>14</v>
      </c>
      <c r="H1128" s="1">
        <v>71</v>
      </c>
      <c r="I1128" s="1">
        <v>68</v>
      </c>
      <c r="J1128" t="str">
        <f t="shared" si="17"/>
        <v>http://www.badatelna.eu/reprodukce/?fondId=241&amp;zaznamId=1133738&amp;reproId=3885662</v>
      </c>
      <c r="K1128">
        <f>IF(LEN(TRIM(E1128))=0,"",VLOOKUP(E1128,Sheet2!$B$1:$E$19,2,FALSE))</f>
        <v>241</v>
      </c>
      <c r="L1128">
        <f>IF(LEN(TRIM(E1128))=0,"",VLOOKUP(E1128,Sheet2!$B$1:$E$19,3,FALSE))</f>
        <v>1133738</v>
      </c>
      <c r="M1128">
        <f>IF(LEN(TRIM(E1128))=0,"",VLOOKUP(E1128,Sheet2!$B$1:$E$19,4,FALSE))+(F1128-1)</f>
        <v>3885662</v>
      </c>
      <c r="N1128" s="1"/>
      <c r="O1128" s="1"/>
      <c r="P1128" s="1"/>
      <c r="Q1128" s="1"/>
    </row>
    <row r="1129" spans="1:17" ht="15" customHeight="1" x14ac:dyDescent="0.25">
      <c r="A1129" s="28" t="s">
        <v>192</v>
      </c>
      <c r="B1129" s="28" t="s">
        <v>164</v>
      </c>
      <c r="C1129" s="6" t="s">
        <v>2072</v>
      </c>
      <c r="D1129" s="1" t="s">
        <v>454</v>
      </c>
      <c r="E1129" s="1">
        <v>2173</v>
      </c>
      <c r="F1129" s="28">
        <v>179</v>
      </c>
      <c r="G1129" s="9">
        <v>5</v>
      </c>
      <c r="H1129" s="1">
        <v>189</v>
      </c>
      <c r="I1129" s="1">
        <v>420</v>
      </c>
      <c r="J1129" t="str">
        <f t="shared" si="17"/>
        <v>http://www.badatelna.eu/reprodukce/?fondId=1073&amp;zaznamId=1108959&amp;reproId=3780172</v>
      </c>
      <c r="K1129">
        <f>IF(LEN(TRIM(E1129))=0,"",VLOOKUP(E1129,Sheet2!$B$1:$E$19,2,FALSE))</f>
        <v>1073</v>
      </c>
      <c r="L1129">
        <f>IF(LEN(TRIM(E1129))=0,"",VLOOKUP(E1129,Sheet2!$B$1:$E$19,3,FALSE))</f>
        <v>1108959</v>
      </c>
      <c r="M1129">
        <f>IF(LEN(TRIM(E1129))=0,"",VLOOKUP(E1129,Sheet2!$B$1:$E$19,4,FALSE))+(F1129-1)</f>
        <v>3780172</v>
      </c>
      <c r="N1129" s="1"/>
      <c r="O1129" s="1"/>
      <c r="P1129" s="1"/>
      <c r="Q1129" s="1"/>
    </row>
    <row r="1130" spans="1:17" ht="15" customHeight="1" x14ac:dyDescent="0.25">
      <c r="A1130" s="28" t="s">
        <v>192</v>
      </c>
      <c r="B1130" s="29" t="s">
        <v>529</v>
      </c>
      <c r="C1130" s="1">
        <v>1855</v>
      </c>
      <c r="D1130" s="1" t="s">
        <v>2919</v>
      </c>
      <c r="E1130" s="1">
        <v>998</v>
      </c>
      <c r="F1130" s="28">
        <v>45</v>
      </c>
      <c r="G1130" s="1">
        <v>43</v>
      </c>
      <c r="H1130" s="1">
        <v>71</v>
      </c>
      <c r="I1130" s="1">
        <v>68</v>
      </c>
      <c r="J1130" t="str">
        <f t="shared" si="17"/>
        <v>http://www.badatelna.eu/reprodukce/?fondId=241&amp;zaznamId=1133738&amp;reproId=3885691</v>
      </c>
      <c r="K1130">
        <f>IF(LEN(TRIM(E1130))=0,"",VLOOKUP(E1130,Sheet2!$B$1:$E$19,2,FALSE))</f>
        <v>241</v>
      </c>
      <c r="L1130">
        <f>IF(LEN(TRIM(E1130))=0,"",VLOOKUP(E1130,Sheet2!$B$1:$E$19,3,FALSE))</f>
        <v>1133738</v>
      </c>
      <c r="M1130">
        <f>IF(LEN(TRIM(E1130))=0,"",VLOOKUP(E1130,Sheet2!$B$1:$E$19,4,FALSE))+(F1130-1)</f>
        <v>3885691</v>
      </c>
      <c r="N1130" s="1"/>
      <c r="O1130" s="1"/>
      <c r="P1130" s="1"/>
      <c r="Q1130" s="1"/>
    </row>
    <row r="1131" spans="1:17" ht="15" customHeight="1" x14ac:dyDescent="0.25">
      <c r="A1131" s="28" t="s">
        <v>192</v>
      </c>
      <c r="B1131" s="28" t="s">
        <v>25</v>
      </c>
      <c r="C1131" s="6" t="s">
        <v>1713</v>
      </c>
      <c r="D1131" s="1" t="s">
        <v>454</v>
      </c>
      <c r="E1131" s="1">
        <v>2172</v>
      </c>
      <c r="F1131" s="28">
        <v>122</v>
      </c>
      <c r="G1131" s="9">
        <v>121</v>
      </c>
      <c r="H1131" s="1">
        <v>123</v>
      </c>
      <c r="I1131" s="1">
        <v>122</v>
      </c>
      <c r="J1131" t="str">
        <f t="shared" si="17"/>
        <v>http://www.badatelna.eu/reprodukce/?fondId=1073&amp;zaznamId=1108958&amp;reproId=3779863</v>
      </c>
      <c r="K1131">
        <f>IF(LEN(TRIM(E1131))=0,"",VLOOKUP(E1131,Sheet2!$B$1:$E$19,2,FALSE))</f>
        <v>1073</v>
      </c>
      <c r="L1131">
        <f>IF(LEN(TRIM(E1131))=0,"",VLOOKUP(E1131,Sheet2!$B$1:$E$19,3,FALSE))</f>
        <v>1108958</v>
      </c>
      <c r="M1131">
        <f>IF(LEN(TRIM(E1131))=0,"",VLOOKUP(E1131,Sheet2!$B$1:$E$19,4,FALSE))+(F1131-1)</f>
        <v>3779863</v>
      </c>
      <c r="N1131" s="1"/>
      <c r="O1131" s="1"/>
      <c r="P1131" s="1"/>
      <c r="Q1131" s="1"/>
    </row>
    <row r="1132" spans="1:17" ht="15" customHeight="1" x14ac:dyDescent="0.25">
      <c r="A1132" s="28" t="s">
        <v>192</v>
      </c>
      <c r="B1132" s="28" t="s">
        <v>480</v>
      </c>
      <c r="C1132" s="1">
        <v>1854</v>
      </c>
      <c r="D1132" s="1" t="s">
        <v>2919</v>
      </c>
      <c r="E1132" s="1">
        <v>998</v>
      </c>
      <c r="F1132" s="28">
        <v>41</v>
      </c>
      <c r="G1132" s="1">
        <v>39</v>
      </c>
      <c r="H1132" s="1">
        <v>71</v>
      </c>
      <c r="I1132" s="1">
        <v>68</v>
      </c>
      <c r="J1132" t="str">
        <f t="shared" si="17"/>
        <v>http://www.badatelna.eu/reprodukce/?fondId=241&amp;zaznamId=1133738&amp;reproId=3885687</v>
      </c>
      <c r="K1132">
        <f>IF(LEN(TRIM(E1132))=0,"",VLOOKUP(E1132,Sheet2!$B$1:$E$19,2,FALSE))</f>
        <v>241</v>
      </c>
      <c r="L1132">
        <f>IF(LEN(TRIM(E1132))=0,"",VLOOKUP(E1132,Sheet2!$B$1:$E$19,3,FALSE))</f>
        <v>1133738</v>
      </c>
      <c r="M1132">
        <f>IF(LEN(TRIM(E1132))=0,"",VLOOKUP(E1132,Sheet2!$B$1:$E$19,4,FALSE))+(F1132-1)</f>
        <v>3885687</v>
      </c>
    </row>
    <row r="1133" spans="1:17" ht="15" customHeight="1" x14ac:dyDescent="0.25">
      <c r="A1133" s="28" t="s">
        <v>192</v>
      </c>
      <c r="B1133" s="28" t="s">
        <v>10</v>
      </c>
      <c r="C1133" s="1">
        <v>1893</v>
      </c>
      <c r="D1133" s="1" t="s">
        <v>454</v>
      </c>
      <c r="E1133" s="1">
        <v>2172</v>
      </c>
      <c r="F1133" s="28">
        <v>87</v>
      </c>
      <c r="G1133" s="9">
        <v>86</v>
      </c>
      <c r="H1133" s="1">
        <v>89</v>
      </c>
      <c r="I1133" s="1">
        <v>88</v>
      </c>
      <c r="J1133" t="str">
        <f t="shared" si="17"/>
        <v>http://www.badatelna.eu/reprodukce/?fondId=1073&amp;zaznamId=1108958&amp;reproId=3779828</v>
      </c>
      <c r="K1133">
        <f>IF(LEN(TRIM(E1133))=0,"",VLOOKUP(E1133,Sheet2!$B$1:$E$19,2,FALSE))</f>
        <v>1073</v>
      </c>
      <c r="L1133">
        <f>IF(LEN(TRIM(E1133))=0,"",VLOOKUP(E1133,Sheet2!$B$1:$E$19,3,FALSE))</f>
        <v>1108958</v>
      </c>
      <c r="M1133">
        <f>IF(LEN(TRIM(E1133))=0,"",VLOOKUP(E1133,Sheet2!$B$1:$E$19,4,FALSE))+(F1133-1)</f>
        <v>3779828</v>
      </c>
      <c r="N1133" s="1"/>
      <c r="O1133" s="1"/>
      <c r="P1133" s="1"/>
      <c r="Q1133" s="1"/>
    </row>
    <row r="1134" spans="1:17" ht="15" customHeight="1" x14ac:dyDescent="0.25">
      <c r="A1134" s="28" t="s">
        <v>192</v>
      </c>
      <c r="B1134" s="28" t="s">
        <v>631</v>
      </c>
      <c r="C1134" s="1">
        <v>1850</v>
      </c>
      <c r="D1134" s="1" t="s">
        <v>2919</v>
      </c>
      <c r="E1134" s="1">
        <v>998</v>
      </c>
      <c r="F1134" s="28">
        <v>29</v>
      </c>
      <c r="G1134" s="1">
        <v>27</v>
      </c>
      <c r="H1134" s="1">
        <v>71</v>
      </c>
      <c r="I1134" s="1">
        <v>68</v>
      </c>
      <c r="J1134" t="str">
        <f t="shared" si="17"/>
        <v>http://www.badatelna.eu/reprodukce/?fondId=241&amp;zaznamId=1133738&amp;reproId=3885675</v>
      </c>
      <c r="K1134">
        <f>IF(LEN(TRIM(E1134))=0,"",VLOOKUP(E1134,Sheet2!$B$1:$E$19,2,FALSE))</f>
        <v>241</v>
      </c>
      <c r="L1134">
        <f>IF(LEN(TRIM(E1134))=0,"",VLOOKUP(E1134,Sheet2!$B$1:$E$19,3,FALSE))</f>
        <v>1133738</v>
      </c>
      <c r="M1134">
        <f>IF(LEN(TRIM(E1134))=0,"",VLOOKUP(E1134,Sheet2!$B$1:$E$19,4,FALSE))+(F1134-1)</f>
        <v>3885675</v>
      </c>
      <c r="N1134" s="1"/>
      <c r="O1134" s="1"/>
      <c r="P1134" s="1"/>
      <c r="Q1134" s="1"/>
    </row>
    <row r="1135" spans="1:17" ht="15" customHeight="1" x14ac:dyDescent="0.25">
      <c r="A1135" s="28" t="s">
        <v>192</v>
      </c>
      <c r="B1135" s="28" t="s">
        <v>902</v>
      </c>
      <c r="C1135" s="6" t="s">
        <v>1609</v>
      </c>
      <c r="D1135" s="1" t="s">
        <v>454</v>
      </c>
      <c r="E1135" s="1">
        <v>2172</v>
      </c>
      <c r="F1135" s="28">
        <v>74</v>
      </c>
      <c r="G1135" s="9">
        <v>73</v>
      </c>
      <c r="H1135" s="1">
        <v>76</v>
      </c>
      <c r="I1135" s="1">
        <v>75</v>
      </c>
      <c r="J1135" t="str">
        <f t="shared" si="17"/>
        <v>http://www.badatelna.eu/reprodukce/?fondId=1073&amp;zaznamId=1108958&amp;reproId=3779815</v>
      </c>
      <c r="K1135">
        <f>IF(LEN(TRIM(E1135))=0,"",VLOOKUP(E1135,Sheet2!$B$1:$E$19,2,FALSE))</f>
        <v>1073</v>
      </c>
      <c r="L1135">
        <f>IF(LEN(TRIM(E1135))=0,"",VLOOKUP(E1135,Sheet2!$B$1:$E$19,3,FALSE))</f>
        <v>1108958</v>
      </c>
      <c r="M1135">
        <f>IF(LEN(TRIM(E1135))=0,"",VLOOKUP(E1135,Sheet2!$B$1:$E$19,4,FALSE))+(F1135-1)</f>
        <v>3779815</v>
      </c>
      <c r="N1135" s="1"/>
      <c r="O1135" s="1"/>
      <c r="P1135" s="1"/>
      <c r="Q1135" s="1"/>
    </row>
    <row r="1136" spans="1:17" ht="15" customHeight="1" x14ac:dyDescent="0.25">
      <c r="A1136" s="28" t="s">
        <v>192</v>
      </c>
      <c r="B1136" s="29" t="s">
        <v>49</v>
      </c>
      <c r="C1136" s="1">
        <v>1854</v>
      </c>
      <c r="D1136" s="1" t="s">
        <v>2919</v>
      </c>
      <c r="E1136" s="1">
        <v>998</v>
      </c>
      <c r="F1136" s="28">
        <v>41</v>
      </c>
      <c r="G1136" s="1">
        <v>39</v>
      </c>
      <c r="H1136" s="1">
        <v>71</v>
      </c>
      <c r="I1136" s="1">
        <v>68</v>
      </c>
      <c r="J1136" t="str">
        <f t="shared" si="17"/>
        <v>http://www.badatelna.eu/reprodukce/?fondId=241&amp;zaznamId=1133738&amp;reproId=3885687</v>
      </c>
      <c r="K1136">
        <f>IF(LEN(TRIM(E1136))=0,"",VLOOKUP(E1136,Sheet2!$B$1:$E$19,2,FALSE))</f>
        <v>241</v>
      </c>
      <c r="L1136">
        <f>IF(LEN(TRIM(E1136))=0,"",VLOOKUP(E1136,Sheet2!$B$1:$E$19,3,FALSE))</f>
        <v>1133738</v>
      </c>
      <c r="M1136">
        <f>IF(LEN(TRIM(E1136))=0,"",VLOOKUP(E1136,Sheet2!$B$1:$E$19,4,FALSE))+(F1136-1)</f>
        <v>3885687</v>
      </c>
      <c r="N1136" s="1"/>
      <c r="O1136" s="1"/>
      <c r="P1136" s="1"/>
      <c r="Q1136" s="1"/>
    </row>
    <row r="1137" spans="1:17" ht="15" customHeight="1" x14ac:dyDescent="0.25">
      <c r="A1137" s="28" t="s">
        <v>192</v>
      </c>
      <c r="B1137" s="28" t="s">
        <v>49</v>
      </c>
      <c r="C1137" s="6" t="s">
        <v>2637</v>
      </c>
      <c r="D1137" s="1" t="s">
        <v>454</v>
      </c>
      <c r="E1137" s="1">
        <v>2173</v>
      </c>
      <c r="F1137" s="28">
        <v>221</v>
      </c>
      <c r="G1137" s="9">
        <v>49</v>
      </c>
      <c r="H1137" s="1" t="s">
        <v>3073</v>
      </c>
      <c r="I1137" s="1" t="s">
        <v>3073</v>
      </c>
      <c r="J1137" t="str">
        <f t="shared" si="17"/>
        <v>http://www.badatelna.eu/reprodukce/?fondId=1073&amp;zaznamId=1108959&amp;reproId=3780214</v>
      </c>
      <c r="K1137">
        <f>IF(LEN(TRIM(E1137))=0,"",VLOOKUP(E1137,Sheet2!$B$1:$E$19,2,FALSE))</f>
        <v>1073</v>
      </c>
      <c r="L1137">
        <f>IF(LEN(TRIM(E1137))=0,"",VLOOKUP(E1137,Sheet2!$B$1:$E$19,3,FALSE))</f>
        <v>1108959</v>
      </c>
      <c r="M1137">
        <f>IF(LEN(TRIM(E1137))=0,"",VLOOKUP(E1137,Sheet2!$B$1:$E$19,4,FALSE))+(F1137-1)</f>
        <v>3780214</v>
      </c>
      <c r="N1137" s="1"/>
      <c r="O1137" s="1"/>
      <c r="P1137" s="1"/>
      <c r="Q1137" s="1"/>
    </row>
    <row r="1138" spans="1:17" ht="15" customHeight="1" x14ac:dyDescent="0.25">
      <c r="A1138" s="28" t="s">
        <v>192</v>
      </c>
      <c r="B1138" s="28" t="s">
        <v>49</v>
      </c>
      <c r="C1138" s="6" t="s">
        <v>2510</v>
      </c>
      <c r="D1138" s="1" t="s">
        <v>454</v>
      </c>
      <c r="E1138" s="1">
        <v>2173</v>
      </c>
      <c r="F1138" s="28">
        <v>206</v>
      </c>
      <c r="G1138" s="1">
        <v>22</v>
      </c>
      <c r="H1138" s="1" t="s">
        <v>3073</v>
      </c>
      <c r="I1138" s="1" t="s">
        <v>3073</v>
      </c>
      <c r="J1138" t="str">
        <f t="shared" si="17"/>
        <v>http://www.badatelna.eu/reprodukce/?fondId=1073&amp;zaznamId=1108959&amp;reproId=3780199</v>
      </c>
      <c r="K1138">
        <f>IF(LEN(TRIM(E1138))=0,"",VLOOKUP(E1138,Sheet2!$B$1:$E$19,2,FALSE))</f>
        <v>1073</v>
      </c>
      <c r="L1138">
        <f>IF(LEN(TRIM(E1138))=0,"",VLOOKUP(E1138,Sheet2!$B$1:$E$19,3,FALSE))</f>
        <v>1108959</v>
      </c>
      <c r="M1138">
        <f>IF(LEN(TRIM(E1138))=0,"",VLOOKUP(E1138,Sheet2!$B$1:$E$19,4,FALSE))+(F1138-1)</f>
        <v>3780199</v>
      </c>
      <c r="N1138" s="1"/>
      <c r="O1138" s="1"/>
      <c r="P1138" s="1"/>
      <c r="Q1138" s="1"/>
    </row>
    <row r="1139" spans="1:17" ht="15" customHeight="1" x14ac:dyDescent="0.25">
      <c r="A1139" s="28" t="s">
        <v>192</v>
      </c>
      <c r="B1139" s="28" t="s">
        <v>263</v>
      </c>
      <c r="C1139" s="1">
        <v>1864</v>
      </c>
      <c r="D1139" s="1" t="s">
        <v>2919</v>
      </c>
      <c r="E1139" s="1">
        <v>999</v>
      </c>
      <c r="F1139" s="28">
        <v>85</v>
      </c>
      <c r="G1139" s="1">
        <v>6</v>
      </c>
      <c r="H1139" s="1">
        <v>102</v>
      </c>
      <c r="I1139" s="1">
        <v>161</v>
      </c>
      <c r="J1139" t="str">
        <f t="shared" si="17"/>
        <v>http://www.badatelna.eu/reprodukce/?fondId=241&amp;zaznamId=1133739&amp;reproId=3885814</v>
      </c>
      <c r="K1139">
        <f>IF(LEN(TRIM(E1139))=0,"",VLOOKUP(E1139,Sheet2!$B$1:$E$19,2,FALSE))</f>
        <v>241</v>
      </c>
      <c r="L1139">
        <f>IF(LEN(TRIM(E1139))=0,"",VLOOKUP(E1139,Sheet2!$B$1:$E$19,3,FALSE))</f>
        <v>1133739</v>
      </c>
      <c r="M1139">
        <f>IF(LEN(TRIM(E1139))=0,"",VLOOKUP(E1139,Sheet2!$B$1:$E$19,4,FALSE))+(F1139-1)</f>
        <v>3885814</v>
      </c>
      <c r="N1139" s="1"/>
      <c r="O1139" s="1"/>
      <c r="P1139" s="1"/>
      <c r="Q1139" s="1"/>
    </row>
    <row r="1140" spans="1:17" ht="15" customHeight="1" x14ac:dyDescent="0.25">
      <c r="A1140" s="27" t="s">
        <v>192</v>
      </c>
      <c r="B1140" s="27" t="s">
        <v>263</v>
      </c>
      <c r="C1140" s="5" t="s">
        <v>1206</v>
      </c>
      <c r="D1140" s="3" t="s">
        <v>454</v>
      </c>
      <c r="E1140" s="3">
        <v>2170</v>
      </c>
      <c r="F1140" s="28">
        <v>11</v>
      </c>
      <c r="G1140" s="10">
        <v>7</v>
      </c>
      <c r="H1140" s="3">
        <v>63</v>
      </c>
      <c r="I1140" s="3">
        <v>59</v>
      </c>
      <c r="J1140" t="str">
        <f t="shared" si="17"/>
        <v>http://www.badatelna.eu/reprodukce/?fondId=1073&amp;zaznamId=1108956&amp;reproId=3779603</v>
      </c>
      <c r="K1140">
        <f>IF(LEN(TRIM(E1140))=0,"",VLOOKUP(E1140,Sheet2!$B$1:$E$19,2,FALSE))</f>
        <v>1073</v>
      </c>
      <c r="L1140">
        <f>IF(LEN(TRIM(E1140))=0,"",VLOOKUP(E1140,Sheet2!$B$1:$E$19,3,FALSE))</f>
        <v>1108956</v>
      </c>
      <c r="M1140">
        <f>IF(LEN(TRIM(E1140))=0,"",VLOOKUP(E1140,Sheet2!$B$1:$E$19,4,FALSE))+(F1140-1)</f>
        <v>3779603</v>
      </c>
    </row>
    <row r="1141" spans="1:17" ht="15" customHeight="1" x14ac:dyDescent="0.25">
      <c r="A1141" s="28" t="s">
        <v>192</v>
      </c>
      <c r="B1141" s="29" t="s">
        <v>462</v>
      </c>
      <c r="C1141" s="1">
        <v>1853</v>
      </c>
      <c r="D1141" s="1" t="s">
        <v>2919</v>
      </c>
      <c r="E1141" s="1">
        <v>998</v>
      </c>
      <c r="F1141" s="28">
        <v>37</v>
      </c>
      <c r="G1141" s="1">
        <v>35</v>
      </c>
      <c r="H1141" s="1">
        <v>71</v>
      </c>
      <c r="I1141" s="1">
        <v>68</v>
      </c>
      <c r="J1141" t="str">
        <f t="shared" si="17"/>
        <v>http://www.badatelna.eu/reprodukce/?fondId=241&amp;zaznamId=1133738&amp;reproId=3885683</v>
      </c>
      <c r="K1141">
        <f>IF(LEN(TRIM(E1141))=0,"",VLOOKUP(E1141,Sheet2!$B$1:$E$19,2,FALSE))</f>
        <v>241</v>
      </c>
      <c r="L1141">
        <f>IF(LEN(TRIM(E1141))=0,"",VLOOKUP(E1141,Sheet2!$B$1:$E$19,3,FALSE))</f>
        <v>1133738</v>
      </c>
      <c r="M1141">
        <f>IF(LEN(TRIM(E1141))=0,"",VLOOKUP(E1141,Sheet2!$B$1:$E$19,4,FALSE))+(F1141-1)</f>
        <v>3885683</v>
      </c>
      <c r="N1141" s="1"/>
      <c r="O1141" s="1"/>
      <c r="P1141" s="1"/>
      <c r="Q1141" s="1"/>
    </row>
    <row r="1142" spans="1:17" ht="15" customHeight="1" x14ac:dyDescent="0.25">
      <c r="A1142" s="28" t="s">
        <v>192</v>
      </c>
      <c r="B1142" s="28" t="s">
        <v>462</v>
      </c>
      <c r="C1142" s="1">
        <v>1856</v>
      </c>
      <c r="D1142" s="1" t="s">
        <v>2919</v>
      </c>
      <c r="E1142" s="1">
        <v>998</v>
      </c>
      <c r="F1142" s="28">
        <v>50</v>
      </c>
      <c r="G1142" s="1">
        <v>48</v>
      </c>
      <c r="H1142" s="1">
        <v>71</v>
      </c>
      <c r="I1142" s="1">
        <v>68</v>
      </c>
      <c r="J1142" t="str">
        <f t="shared" si="17"/>
        <v>http://www.badatelna.eu/reprodukce/?fondId=241&amp;zaznamId=1133738&amp;reproId=3885696</v>
      </c>
      <c r="K1142">
        <f>IF(LEN(TRIM(E1142))=0,"",VLOOKUP(E1142,Sheet2!$B$1:$E$19,2,FALSE))</f>
        <v>241</v>
      </c>
      <c r="L1142">
        <f>IF(LEN(TRIM(E1142))=0,"",VLOOKUP(E1142,Sheet2!$B$1:$E$19,3,FALSE))</f>
        <v>1133738</v>
      </c>
      <c r="M1142">
        <f>IF(LEN(TRIM(E1142))=0,"",VLOOKUP(E1142,Sheet2!$B$1:$E$19,4,FALSE))+(F1142-1)</f>
        <v>3885696</v>
      </c>
      <c r="N1142" s="1"/>
      <c r="O1142" s="1"/>
      <c r="P1142" s="1"/>
      <c r="Q1142" s="1"/>
    </row>
    <row r="1143" spans="1:17" ht="15" customHeight="1" x14ac:dyDescent="0.25">
      <c r="A1143" s="28" t="s">
        <v>192</v>
      </c>
      <c r="B1143" s="28" t="s">
        <v>586</v>
      </c>
      <c r="C1143" s="6" t="s">
        <v>1714</v>
      </c>
      <c r="D1143" s="1" t="s">
        <v>454</v>
      </c>
      <c r="E1143" s="1">
        <v>2172</v>
      </c>
      <c r="F1143" s="28">
        <v>122</v>
      </c>
      <c r="G1143" s="9">
        <v>121</v>
      </c>
      <c r="H1143" s="1">
        <v>123</v>
      </c>
      <c r="I1143" s="1">
        <v>122</v>
      </c>
      <c r="J1143" t="str">
        <f t="shared" si="17"/>
        <v>http://www.badatelna.eu/reprodukce/?fondId=1073&amp;zaznamId=1108958&amp;reproId=3779863</v>
      </c>
      <c r="K1143">
        <f>IF(LEN(TRIM(E1143))=0,"",VLOOKUP(E1143,Sheet2!$B$1:$E$19,2,FALSE))</f>
        <v>1073</v>
      </c>
      <c r="L1143">
        <f>IF(LEN(TRIM(E1143))=0,"",VLOOKUP(E1143,Sheet2!$B$1:$E$19,3,FALSE))</f>
        <v>1108958</v>
      </c>
      <c r="M1143">
        <f>IF(LEN(TRIM(E1143))=0,"",VLOOKUP(E1143,Sheet2!$B$1:$E$19,4,FALSE))+(F1143-1)</f>
        <v>3779863</v>
      </c>
      <c r="N1143" s="1"/>
      <c r="O1143" s="1"/>
      <c r="P1143" s="1"/>
      <c r="Q1143" s="1"/>
    </row>
    <row r="1144" spans="1:17" ht="15" customHeight="1" x14ac:dyDescent="0.25">
      <c r="A1144" s="28" t="s">
        <v>192</v>
      </c>
      <c r="B1144" s="28" t="s">
        <v>28</v>
      </c>
      <c r="C1144" s="15">
        <v>8647</v>
      </c>
      <c r="D1144" s="1" t="s">
        <v>454</v>
      </c>
      <c r="E1144" s="1">
        <v>2172</v>
      </c>
      <c r="F1144" s="28">
        <v>204</v>
      </c>
      <c r="G1144" s="9">
        <v>190</v>
      </c>
      <c r="H1144" s="1" t="s">
        <v>3073</v>
      </c>
      <c r="I1144" s="1" t="s">
        <v>3073</v>
      </c>
      <c r="J1144" t="str">
        <f t="shared" si="17"/>
        <v>http://www.badatelna.eu/reprodukce/?fondId=1073&amp;zaznamId=1108958&amp;reproId=3779945</v>
      </c>
      <c r="K1144">
        <f>IF(LEN(TRIM(E1144))=0,"",VLOOKUP(E1144,Sheet2!$B$1:$E$19,2,FALSE))</f>
        <v>1073</v>
      </c>
      <c r="L1144">
        <f>IF(LEN(TRIM(E1144))=0,"",VLOOKUP(E1144,Sheet2!$B$1:$E$19,3,FALSE))</f>
        <v>1108958</v>
      </c>
      <c r="M1144">
        <f>IF(LEN(TRIM(E1144))=0,"",VLOOKUP(E1144,Sheet2!$B$1:$E$19,4,FALSE))+(F1144-1)</f>
        <v>3779945</v>
      </c>
      <c r="N1144" s="1"/>
      <c r="O1144" s="1"/>
      <c r="P1144" s="1"/>
      <c r="Q1144" s="1"/>
    </row>
    <row r="1145" spans="1:17" ht="15" customHeight="1" x14ac:dyDescent="0.25">
      <c r="A1145" s="28" t="s">
        <v>192</v>
      </c>
      <c r="B1145" s="28" t="s">
        <v>39</v>
      </c>
      <c r="C1145" s="1">
        <v>1882</v>
      </c>
      <c r="D1145" s="1" t="s">
        <v>454</v>
      </c>
      <c r="E1145" s="1">
        <v>2172</v>
      </c>
      <c r="F1145" s="29">
        <v>29</v>
      </c>
      <c r="G1145" s="9" t="s">
        <v>2758</v>
      </c>
      <c r="H1145" s="1">
        <v>30</v>
      </c>
      <c r="I1145" s="1">
        <v>29</v>
      </c>
      <c r="J1145" t="str">
        <f t="shared" si="17"/>
        <v>http://www.badatelna.eu/reprodukce/?fondId=1073&amp;zaznamId=1108958&amp;reproId=3779770</v>
      </c>
      <c r="K1145">
        <f>IF(LEN(TRIM(E1145))=0,"",VLOOKUP(E1145,Sheet2!$B$1:$E$19,2,FALSE))</f>
        <v>1073</v>
      </c>
      <c r="L1145">
        <f>IF(LEN(TRIM(E1145))=0,"",VLOOKUP(E1145,Sheet2!$B$1:$E$19,3,FALSE))</f>
        <v>1108958</v>
      </c>
      <c r="M1145">
        <f>IF(LEN(TRIM(E1145))=0,"",VLOOKUP(E1145,Sheet2!$B$1:$E$19,4,FALSE))+(F1145-1)</f>
        <v>3779770</v>
      </c>
      <c r="N1145" s="1"/>
      <c r="O1145" s="1"/>
      <c r="P1145" s="1"/>
      <c r="Q1145" s="1"/>
    </row>
    <row r="1146" spans="1:17" ht="15" customHeight="1" x14ac:dyDescent="0.25">
      <c r="A1146" s="28" t="s">
        <v>192</v>
      </c>
      <c r="B1146" s="28" t="s">
        <v>39</v>
      </c>
      <c r="C1146" s="6" t="s">
        <v>2452</v>
      </c>
      <c r="D1146" s="1" t="s">
        <v>454</v>
      </c>
      <c r="E1146" s="1">
        <v>2173</v>
      </c>
      <c r="F1146" s="28">
        <v>204</v>
      </c>
      <c r="G1146" s="1">
        <v>17</v>
      </c>
      <c r="H1146" s="1" t="s">
        <v>3073</v>
      </c>
      <c r="I1146" s="1" t="s">
        <v>3073</v>
      </c>
      <c r="J1146" t="str">
        <f t="shared" si="17"/>
        <v>http://www.badatelna.eu/reprodukce/?fondId=1073&amp;zaznamId=1108959&amp;reproId=3780197</v>
      </c>
      <c r="K1146">
        <f>IF(LEN(TRIM(E1146))=0,"",VLOOKUP(E1146,Sheet2!$B$1:$E$19,2,FALSE))</f>
        <v>1073</v>
      </c>
      <c r="L1146">
        <f>IF(LEN(TRIM(E1146))=0,"",VLOOKUP(E1146,Sheet2!$B$1:$E$19,3,FALSE))</f>
        <v>1108959</v>
      </c>
      <c r="M1146">
        <f>IF(LEN(TRIM(E1146))=0,"",VLOOKUP(E1146,Sheet2!$B$1:$E$19,4,FALSE))+(F1146-1)</f>
        <v>3780197</v>
      </c>
      <c r="N1146" s="1"/>
      <c r="O1146" s="1"/>
      <c r="P1146" s="1"/>
      <c r="Q1146" s="1"/>
    </row>
    <row r="1147" spans="1:17" ht="15" customHeight="1" x14ac:dyDescent="0.25">
      <c r="A1147" s="28" t="s">
        <v>192</v>
      </c>
      <c r="B1147" s="28" t="s">
        <v>106</v>
      </c>
      <c r="C1147" s="6" t="s">
        <v>2073</v>
      </c>
      <c r="D1147" s="1" t="s">
        <v>454</v>
      </c>
      <c r="E1147" s="1">
        <v>2173</v>
      </c>
      <c r="F1147" s="28">
        <v>181</v>
      </c>
      <c r="G1147" s="9">
        <v>8</v>
      </c>
      <c r="H1147" s="1">
        <v>189</v>
      </c>
      <c r="I1147" s="1">
        <v>420</v>
      </c>
      <c r="J1147" t="str">
        <f t="shared" si="17"/>
        <v>http://www.badatelna.eu/reprodukce/?fondId=1073&amp;zaznamId=1108959&amp;reproId=3780174</v>
      </c>
      <c r="K1147">
        <f>IF(LEN(TRIM(E1147))=0,"",VLOOKUP(E1147,Sheet2!$B$1:$E$19,2,FALSE))</f>
        <v>1073</v>
      </c>
      <c r="L1147">
        <f>IF(LEN(TRIM(E1147))=0,"",VLOOKUP(E1147,Sheet2!$B$1:$E$19,3,FALSE))</f>
        <v>1108959</v>
      </c>
      <c r="M1147">
        <f>IF(LEN(TRIM(E1147))=0,"",VLOOKUP(E1147,Sheet2!$B$1:$E$19,4,FALSE))+(F1147-1)</f>
        <v>3780174</v>
      </c>
      <c r="N1147" s="1"/>
      <c r="O1147" s="1"/>
      <c r="P1147" s="1"/>
      <c r="Q1147" s="1"/>
    </row>
    <row r="1148" spans="1:17" ht="15" customHeight="1" x14ac:dyDescent="0.25">
      <c r="A1148" s="28" t="s">
        <v>192</v>
      </c>
      <c r="B1148" s="28" t="s">
        <v>483</v>
      </c>
      <c r="C1148" s="1">
        <v>1889</v>
      </c>
      <c r="D1148" s="1" t="s">
        <v>454</v>
      </c>
      <c r="E1148" s="1">
        <v>2172</v>
      </c>
      <c r="F1148" s="28">
        <v>68</v>
      </c>
      <c r="G1148" s="9" t="s">
        <v>3083</v>
      </c>
      <c r="H1148" s="1">
        <v>70</v>
      </c>
      <c r="I1148" s="1">
        <v>69</v>
      </c>
      <c r="J1148" t="str">
        <f t="shared" si="17"/>
        <v>http://www.badatelna.eu/reprodukce/?fondId=1073&amp;zaznamId=1108958&amp;reproId=3779809</v>
      </c>
      <c r="K1148">
        <f>IF(LEN(TRIM(E1148))=0,"",VLOOKUP(E1148,Sheet2!$B$1:$E$19,2,FALSE))</f>
        <v>1073</v>
      </c>
      <c r="L1148">
        <f>IF(LEN(TRIM(E1148))=0,"",VLOOKUP(E1148,Sheet2!$B$1:$E$19,3,FALSE))</f>
        <v>1108958</v>
      </c>
      <c r="M1148">
        <f>IF(LEN(TRIM(E1148))=0,"",VLOOKUP(E1148,Sheet2!$B$1:$E$19,4,FALSE))+(F1148-1)</f>
        <v>3779809</v>
      </c>
      <c r="N1148" s="1"/>
      <c r="O1148" s="1"/>
      <c r="P1148" s="1"/>
      <c r="Q1148" s="1"/>
    </row>
    <row r="1149" spans="1:17" ht="15" customHeight="1" x14ac:dyDescent="0.25">
      <c r="A1149" s="28" t="s">
        <v>192</v>
      </c>
      <c r="B1149" s="28" t="s">
        <v>3101</v>
      </c>
      <c r="C1149" s="6" t="s">
        <v>1565</v>
      </c>
      <c r="D1149" s="1" t="s">
        <v>454</v>
      </c>
      <c r="E1149" s="1">
        <v>2172</v>
      </c>
      <c r="F1149" s="28">
        <v>21</v>
      </c>
      <c r="G1149" s="9">
        <v>20</v>
      </c>
      <c r="H1149" s="1">
        <v>24</v>
      </c>
      <c r="I1149" s="1">
        <v>23</v>
      </c>
      <c r="J1149" t="str">
        <f t="shared" si="17"/>
        <v>http://www.badatelna.eu/reprodukce/?fondId=1073&amp;zaznamId=1108958&amp;reproId=3779762</v>
      </c>
      <c r="K1149">
        <f>IF(LEN(TRIM(E1149))=0,"",VLOOKUP(E1149,Sheet2!$B$1:$E$19,2,FALSE))</f>
        <v>1073</v>
      </c>
      <c r="L1149">
        <f>IF(LEN(TRIM(E1149))=0,"",VLOOKUP(E1149,Sheet2!$B$1:$E$19,3,FALSE))</f>
        <v>1108958</v>
      </c>
      <c r="M1149">
        <f>IF(LEN(TRIM(E1149))=0,"",VLOOKUP(E1149,Sheet2!$B$1:$E$19,4,FALSE))+(F1149-1)</f>
        <v>3779762</v>
      </c>
      <c r="N1149" s="1"/>
      <c r="O1149" s="1"/>
      <c r="P1149" s="1"/>
      <c r="Q1149" s="1"/>
    </row>
    <row r="1150" spans="1:17" ht="15" customHeight="1" x14ac:dyDescent="0.25">
      <c r="A1150" s="28" t="s">
        <v>192</v>
      </c>
      <c r="B1150" s="28" t="s">
        <v>475</v>
      </c>
      <c r="C1150" s="1">
        <v>1855</v>
      </c>
      <c r="D1150" s="1" t="s">
        <v>2919</v>
      </c>
      <c r="E1150" s="1">
        <v>998</v>
      </c>
      <c r="F1150" s="28">
        <v>47</v>
      </c>
      <c r="G1150" s="1">
        <v>45</v>
      </c>
      <c r="H1150" s="1">
        <v>71</v>
      </c>
      <c r="I1150" s="1">
        <v>68</v>
      </c>
      <c r="J1150" t="str">
        <f t="shared" si="17"/>
        <v>http://www.badatelna.eu/reprodukce/?fondId=241&amp;zaznamId=1133738&amp;reproId=3885693</v>
      </c>
      <c r="K1150">
        <f>IF(LEN(TRIM(E1150))=0,"",VLOOKUP(E1150,Sheet2!$B$1:$E$19,2,FALSE))</f>
        <v>241</v>
      </c>
      <c r="L1150">
        <f>IF(LEN(TRIM(E1150))=0,"",VLOOKUP(E1150,Sheet2!$B$1:$E$19,3,FALSE))</f>
        <v>1133738</v>
      </c>
      <c r="M1150">
        <f>IF(LEN(TRIM(E1150))=0,"",VLOOKUP(E1150,Sheet2!$B$1:$E$19,4,FALSE))+(F1150-1)</f>
        <v>3885693</v>
      </c>
      <c r="N1150" s="1"/>
      <c r="O1150" s="1"/>
      <c r="P1150" s="1"/>
      <c r="Q1150" s="1"/>
    </row>
    <row r="1151" spans="1:17" ht="15" customHeight="1" x14ac:dyDescent="0.25">
      <c r="A1151" s="28" t="s">
        <v>192</v>
      </c>
      <c r="B1151" s="28" t="s">
        <v>731</v>
      </c>
      <c r="C1151" s="6" t="s">
        <v>1586</v>
      </c>
      <c r="D1151" s="1" t="s">
        <v>454</v>
      </c>
      <c r="E1151" s="1">
        <v>2172</v>
      </c>
      <c r="F1151" s="28">
        <v>64</v>
      </c>
      <c r="G1151" s="9">
        <v>63</v>
      </c>
      <c r="H1151" s="1" t="s">
        <v>3073</v>
      </c>
      <c r="I1151" s="1" t="s">
        <v>3073</v>
      </c>
      <c r="J1151" t="str">
        <f t="shared" si="17"/>
        <v>http://www.badatelna.eu/reprodukce/?fondId=1073&amp;zaznamId=1108958&amp;reproId=3779805</v>
      </c>
      <c r="K1151">
        <f>IF(LEN(TRIM(E1151))=0,"",VLOOKUP(E1151,Sheet2!$B$1:$E$19,2,FALSE))</f>
        <v>1073</v>
      </c>
      <c r="L1151">
        <f>IF(LEN(TRIM(E1151))=0,"",VLOOKUP(E1151,Sheet2!$B$1:$E$19,3,FALSE))</f>
        <v>1108958</v>
      </c>
      <c r="M1151">
        <f>IF(LEN(TRIM(E1151))=0,"",VLOOKUP(E1151,Sheet2!$B$1:$E$19,4,FALSE))+(F1151-1)</f>
        <v>3779805</v>
      </c>
      <c r="N1151" s="1"/>
      <c r="O1151" s="1"/>
      <c r="P1151" s="1"/>
      <c r="Q1151" s="1"/>
    </row>
    <row r="1152" spans="1:17" ht="15" customHeight="1" x14ac:dyDescent="0.25">
      <c r="A1152" s="27" t="s">
        <v>192</v>
      </c>
      <c r="B1152" s="27" t="s">
        <v>265</v>
      </c>
      <c r="C1152" s="5" t="s">
        <v>1489</v>
      </c>
      <c r="D1152" s="3" t="s">
        <v>454</v>
      </c>
      <c r="E1152" s="3">
        <v>2171</v>
      </c>
      <c r="F1152" s="28">
        <v>58</v>
      </c>
      <c r="G1152" s="10">
        <v>44</v>
      </c>
      <c r="H1152" s="3">
        <v>58</v>
      </c>
      <c r="I1152" s="3">
        <v>44</v>
      </c>
      <c r="J1152" t="str">
        <f t="shared" si="17"/>
        <v>http://www.badatelna.eu/reprodukce/?fondId=1073&amp;zaznamId=1108957&amp;reproId=3779725</v>
      </c>
      <c r="K1152">
        <f>IF(LEN(TRIM(E1152))=0,"",VLOOKUP(E1152,Sheet2!$B$1:$E$19,2,FALSE))</f>
        <v>1073</v>
      </c>
      <c r="L1152">
        <f>IF(LEN(TRIM(E1152))=0,"",VLOOKUP(E1152,Sheet2!$B$1:$E$19,3,FALSE))</f>
        <v>1108957</v>
      </c>
      <c r="M1152">
        <f>IF(LEN(TRIM(E1152))=0,"",VLOOKUP(E1152,Sheet2!$B$1:$E$19,4,FALSE))+(F1152-1)</f>
        <v>3779725</v>
      </c>
      <c r="N1152" s="1"/>
      <c r="O1152" s="1"/>
      <c r="P1152" s="1"/>
      <c r="Q1152" s="1"/>
    </row>
    <row r="1153" spans="1:17" ht="15" customHeight="1" x14ac:dyDescent="0.25">
      <c r="A1153" s="28" t="s">
        <v>192</v>
      </c>
      <c r="B1153" s="28" t="s">
        <v>903</v>
      </c>
      <c r="C1153" s="6" t="s">
        <v>1641</v>
      </c>
      <c r="D1153" s="1" t="s">
        <v>454</v>
      </c>
      <c r="E1153" s="1">
        <v>2172</v>
      </c>
      <c r="F1153" s="28">
        <v>95</v>
      </c>
      <c r="G1153" s="9">
        <v>94</v>
      </c>
      <c r="H1153" s="1">
        <v>96</v>
      </c>
      <c r="I1153" s="1">
        <v>95</v>
      </c>
      <c r="J1153" t="str">
        <f t="shared" si="17"/>
        <v>http://www.badatelna.eu/reprodukce/?fondId=1073&amp;zaznamId=1108958&amp;reproId=3779836</v>
      </c>
      <c r="K1153">
        <f>IF(LEN(TRIM(E1153))=0,"",VLOOKUP(E1153,Sheet2!$B$1:$E$19,2,FALSE))</f>
        <v>1073</v>
      </c>
      <c r="L1153">
        <f>IF(LEN(TRIM(E1153))=0,"",VLOOKUP(E1153,Sheet2!$B$1:$E$19,3,FALSE))</f>
        <v>1108958</v>
      </c>
      <c r="M1153">
        <f>IF(LEN(TRIM(E1153))=0,"",VLOOKUP(E1153,Sheet2!$B$1:$E$19,4,FALSE))+(F1153-1)</f>
        <v>3779836</v>
      </c>
      <c r="N1153" s="1"/>
      <c r="O1153" s="1"/>
      <c r="P1153" s="1"/>
      <c r="Q1153" s="1"/>
    </row>
    <row r="1154" spans="1:17" ht="15" customHeight="1" x14ac:dyDescent="0.25">
      <c r="A1154" s="28" t="s">
        <v>192</v>
      </c>
      <c r="B1154" s="28" t="s">
        <v>247</v>
      </c>
      <c r="C1154" s="6" t="s">
        <v>2076</v>
      </c>
      <c r="D1154" s="1" t="s">
        <v>454</v>
      </c>
      <c r="E1154" s="1">
        <v>2173</v>
      </c>
      <c r="F1154" s="28">
        <v>180</v>
      </c>
      <c r="G1154" s="9">
        <v>7</v>
      </c>
      <c r="H1154" s="1">
        <v>189</v>
      </c>
      <c r="I1154" s="1">
        <v>420</v>
      </c>
      <c r="J1154" t="str">
        <f t="shared" si="17"/>
        <v>http://www.badatelna.eu/reprodukce/?fondId=1073&amp;zaznamId=1108959&amp;reproId=3780173</v>
      </c>
      <c r="K1154">
        <f>IF(LEN(TRIM(E1154))=0,"",VLOOKUP(E1154,Sheet2!$B$1:$E$19,2,FALSE))</f>
        <v>1073</v>
      </c>
      <c r="L1154">
        <f>IF(LEN(TRIM(E1154))=0,"",VLOOKUP(E1154,Sheet2!$B$1:$E$19,3,FALSE))</f>
        <v>1108959</v>
      </c>
      <c r="M1154">
        <f>IF(LEN(TRIM(E1154))=0,"",VLOOKUP(E1154,Sheet2!$B$1:$E$19,4,FALSE))+(F1154-1)</f>
        <v>3780173</v>
      </c>
      <c r="N1154" s="1"/>
      <c r="O1154" s="1"/>
      <c r="P1154" s="1"/>
      <c r="Q1154" s="1"/>
    </row>
    <row r="1155" spans="1:17" ht="15" customHeight="1" x14ac:dyDescent="0.25">
      <c r="A1155" s="28" t="s">
        <v>192</v>
      </c>
      <c r="B1155" s="28" t="s">
        <v>407</v>
      </c>
      <c r="C1155" s="1">
        <v>1889</v>
      </c>
      <c r="D1155" s="1" t="s">
        <v>454</v>
      </c>
      <c r="E1155" s="1">
        <v>2172</v>
      </c>
      <c r="F1155" s="28">
        <v>68</v>
      </c>
      <c r="G1155" s="9" t="s">
        <v>3083</v>
      </c>
      <c r="H1155" s="1">
        <v>70</v>
      </c>
      <c r="I1155" s="1">
        <v>69</v>
      </c>
      <c r="J1155" t="str">
        <f t="shared" ref="J1155:J1218" si="18">IF(LEN(TRIM(E1155))=0,"","http://www.badatelna.eu/reprodukce/?fondId="&amp;K1155&amp;"&amp;zaznamId="&amp;L1155&amp;"&amp;reproId="&amp;M1155)</f>
        <v>http://www.badatelna.eu/reprodukce/?fondId=1073&amp;zaznamId=1108958&amp;reproId=3779809</v>
      </c>
      <c r="K1155">
        <f>IF(LEN(TRIM(E1155))=0,"",VLOOKUP(E1155,Sheet2!$B$1:$E$19,2,FALSE))</f>
        <v>1073</v>
      </c>
      <c r="L1155">
        <f>IF(LEN(TRIM(E1155))=0,"",VLOOKUP(E1155,Sheet2!$B$1:$E$19,3,FALSE))</f>
        <v>1108958</v>
      </c>
      <c r="M1155">
        <f>IF(LEN(TRIM(E1155))=0,"",VLOOKUP(E1155,Sheet2!$B$1:$E$19,4,FALSE))+(F1155-1)</f>
        <v>3779809</v>
      </c>
      <c r="N1155" s="1"/>
      <c r="O1155" s="1"/>
      <c r="P1155" s="1"/>
      <c r="Q1155" s="1"/>
    </row>
    <row r="1156" spans="1:17" ht="15" customHeight="1" x14ac:dyDescent="0.25">
      <c r="A1156" s="27" t="s">
        <v>192</v>
      </c>
      <c r="B1156" s="27" t="s">
        <v>91</v>
      </c>
      <c r="C1156" s="5" t="s">
        <v>1207</v>
      </c>
      <c r="D1156" s="3" t="s">
        <v>454</v>
      </c>
      <c r="E1156" s="3">
        <v>2170</v>
      </c>
      <c r="F1156" s="28">
        <v>55</v>
      </c>
      <c r="G1156" s="10">
        <v>51</v>
      </c>
      <c r="H1156" s="3">
        <v>63</v>
      </c>
      <c r="I1156" s="3">
        <v>59</v>
      </c>
      <c r="J1156" t="str">
        <f t="shared" si="18"/>
        <v>http://www.badatelna.eu/reprodukce/?fondId=1073&amp;zaznamId=1108956&amp;reproId=3779647</v>
      </c>
      <c r="K1156">
        <f>IF(LEN(TRIM(E1156))=0,"",VLOOKUP(E1156,Sheet2!$B$1:$E$19,2,FALSE))</f>
        <v>1073</v>
      </c>
      <c r="L1156">
        <f>IF(LEN(TRIM(E1156))=0,"",VLOOKUP(E1156,Sheet2!$B$1:$E$19,3,FALSE))</f>
        <v>1108956</v>
      </c>
      <c r="M1156">
        <f>IF(LEN(TRIM(E1156))=0,"",VLOOKUP(E1156,Sheet2!$B$1:$E$19,4,FALSE))+(F1156-1)</f>
        <v>3779647</v>
      </c>
      <c r="N1156" s="1"/>
      <c r="O1156" s="1"/>
      <c r="P1156" s="1"/>
      <c r="Q1156" s="1"/>
    </row>
    <row r="1157" spans="1:17" ht="15" customHeight="1" x14ac:dyDescent="0.25">
      <c r="A1157" s="28" t="s">
        <v>192</v>
      </c>
      <c r="B1157" s="28" t="s">
        <v>500</v>
      </c>
      <c r="C1157" s="6" t="s">
        <v>1526</v>
      </c>
      <c r="D1157" s="1" t="s">
        <v>454</v>
      </c>
      <c r="E1157" s="1">
        <v>2172</v>
      </c>
      <c r="F1157" s="28">
        <v>13</v>
      </c>
      <c r="G1157" s="9">
        <v>12</v>
      </c>
      <c r="H1157" s="1" t="s">
        <v>3073</v>
      </c>
      <c r="I1157" s="1" t="s">
        <v>3073</v>
      </c>
      <c r="J1157" t="str">
        <f t="shared" si="18"/>
        <v>http://www.badatelna.eu/reprodukce/?fondId=1073&amp;zaznamId=1108958&amp;reproId=3779754</v>
      </c>
      <c r="K1157">
        <f>IF(LEN(TRIM(E1157))=0,"",VLOOKUP(E1157,Sheet2!$B$1:$E$19,2,FALSE))</f>
        <v>1073</v>
      </c>
      <c r="L1157">
        <f>IF(LEN(TRIM(E1157))=0,"",VLOOKUP(E1157,Sheet2!$B$1:$E$19,3,FALSE))</f>
        <v>1108958</v>
      </c>
      <c r="M1157">
        <f>IF(LEN(TRIM(E1157))=0,"",VLOOKUP(E1157,Sheet2!$B$1:$E$19,4,FALSE))+(F1157-1)</f>
        <v>3779754</v>
      </c>
      <c r="N1157" s="1"/>
      <c r="O1157" s="1"/>
      <c r="P1157" s="1"/>
      <c r="Q1157" s="1"/>
    </row>
    <row r="1158" spans="1:17" ht="15" customHeight="1" x14ac:dyDescent="0.25">
      <c r="A1158" s="28" t="s">
        <v>904</v>
      </c>
      <c r="B1158" s="28" t="s">
        <v>675</v>
      </c>
      <c r="C1158" s="6" t="s">
        <v>1960</v>
      </c>
      <c r="D1158" s="1" t="s">
        <v>454</v>
      </c>
      <c r="E1158" s="1">
        <v>2172</v>
      </c>
      <c r="F1158" s="28">
        <v>235</v>
      </c>
      <c r="G1158" s="9">
        <v>215</v>
      </c>
      <c r="H1158" s="1" t="s">
        <v>3073</v>
      </c>
      <c r="I1158" s="1" t="s">
        <v>3073</v>
      </c>
      <c r="J1158" t="str">
        <f t="shared" si="18"/>
        <v>http://www.badatelna.eu/reprodukce/?fondId=1073&amp;zaznamId=1108958&amp;reproId=3779976</v>
      </c>
      <c r="K1158">
        <f>IF(LEN(TRIM(E1158))=0,"",VLOOKUP(E1158,Sheet2!$B$1:$E$19,2,FALSE))</f>
        <v>1073</v>
      </c>
      <c r="L1158">
        <f>IF(LEN(TRIM(E1158))=0,"",VLOOKUP(E1158,Sheet2!$B$1:$E$19,3,FALSE))</f>
        <v>1108958</v>
      </c>
      <c r="M1158">
        <f>IF(LEN(TRIM(E1158))=0,"",VLOOKUP(E1158,Sheet2!$B$1:$E$19,4,FALSE))+(F1158-1)</f>
        <v>3779976</v>
      </c>
      <c r="N1158" s="1"/>
      <c r="O1158" s="1"/>
      <c r="P1158" s="1"/>
      <c r="Q1158" s="1"/>
    </row>
    <row r="1159" spans="1:17" ht="15" customHeight="1" x14ac:dyDescent="0.25">
      <c r="A1159" s="29" t="s">
        <v>2968</v>
      </c>
      <c r="B1159" s="28" t="s">
        <v>2964</v>
      </c>
      <c r="C1159" s="1">
        <v>1847</v>
      </c>
      <c r="D1159" s="1" t="s">
        <v>2919</v>
      </c>
      <c r="E1159" s="1">
        <v>998</v>
      </c>
      <c r="F1159" s="28">
        <v>7</v>
      </c>
      <c r="G1159" s="1">
        <v>5</v>
      </c>
      <c r="H1159" s="1">
        <v>71</v>
      </c>
      <c r="I1159" s="1">
        <v>68</v>
      </c>
      <c r="J1159" t="str">
        <f t="shared" si="18"/>
        <v>http://www.badatelna.eu/reprodukce/?fondId=241&amp;zaznamId=1133738&amp;reproId=3885653</v>
      </c>
      <c r="K1159">
        <f>IF(LEN(TRIM(E1159))=0,"",VLOOKUP(E1159,Sheet2!$B$1:$E$19,2,FALSE))</f>
        <v>241</v>
      </c>
      <c r="L1159">
        <f>IF(LEN(TRIM(E1159))=0,"",VLOOKUP(E1159,Sheet2!$B$1:$E$19,3,FALSE))</f>
        <v>1133738</v>
      </c>
      <c r="M1159">
        <f>IF(LEN(TRIM(E1159))=0,"",VLOOKUP(E1159,Sheet2!$B$1:$E$19,4,FALSE))+(F1159-1)</f>
        <v>3885653</v>
      </c>
      <c r="N1159" s="1"/>
      <c r="O1159" s="1"/>
      <c r="P1159" s="1"/>
      <c r="Q1159" s="1"/>
    </row>
    <row r="1160" spans="1:17" ht="15" customHeight="1" x14ac:dyDescent="0.25">
      <c r="A1160" s="29" t="s">
        <v>2968</v>
      </c>
      <c r="B1160" s="28" t="s">
        <v>314</v>
      </c>
      <c r="C1160" s="1">
        <v>1848</v>
      </c>
      <c r="D1160" s="1" t="s">
        <v>2919</v>
      </c>
      <c r="E1160" s="1">
        <v>998</v>
      </c>
      <c r="F1160" s="28">
        <v>16</v>
      </c>
      <c r="G1160" s="1">
        <v>14</v>
      </c>
      <c r="H1160" s="1">
        <v>71</v>
      </c>
      <c r="I1160" s="1">
        <v>68</v>
      </c>
      <c r="J1160" t="str">
        <f t="shared" si="18"/>
        <v>http://www.badatelna.eu/reprodukce/?fondId=241&amp;zaznamId=1133738&amp;reproId=3885662</v>
      </c>
      <c r="K1160">
        <f>IF(LEN(TRIM(E1160))=0,"",VLOOKUP(E1160,Sheet2!$B$1:$E$19,2,FALSE))</f>
        <v>241</v>
      </c>
      <c r="L1160">
        <f>IF(LEN(TRIM(E1160))=0,"",VLOOKUP(E1160,Sheet2!$B$1:$E$19,3,FALSE))</f>
        <v>1133738</v>
      </c>
      <c r="M1160">
        <f>IF(LEN(TRIM(E1160))=0,"",VLOOKUP(E1160,Sheet2!$B$1:$E$19,4,FALSE))+(F1160-1)</f>
        <v>3885662</v>
      </c>
      <c r="N1160" s="1"/>
      <c r="O1160" s="1"/>
      <c r="P1160" s="1"/>
      <c r="Q1160" s="1"/>
    </row>
    <row r="1161" spans="1:17" ht="15" customHeight="1" x14ac:dyDescent="0.2">
      <c r="A1161" s="32" t="s">
        <v>3120</v>
      </c>
      <c r="B1161" s="31" t="s">
        <v>54</v>
      </c>
      <c r="C1161" s="7" t="s">
        <v>2260</v>
      </c>
      <c r="D1161" s="1" t="s">
        <v>454</v>
      </c>
      <c r="E1161" s="1">
        <v>2173</v>
      </c>
      <c r="F1161" s="31">
        <v>197</v>
      </c>
      <c r="G1161" s="12">
        <v>3</v>
      </c>
      <c r="H1161" s="1" t="s">
        <v>3073</v>
      </c>
      <c r="I1161" s="1" t="s">
        <v>3073</v>
      </c>
      <c r="J1161" t="str">
        <f t="shared" si="18"/>
        <v>http://www.badatelna.eu/reprodukce/?fondId=1073&amp;zaznamId=1108959&amp;reproId=3780190</v>
      </c>
      <c r="K1161">
        <f>IF(LEN(TRIM(E1161))=0,"",VLOOKUP(E1161,Sheet2!$B$1:$E$19,2,FALSE))</f>
        <v>1073</v>
      </c>
      <c r="L1161">
        <f>IF(LEN(TRIM(E1161))=0,"",VLOOKUP(E1161,Sheet2!$B$1:$E$19,3,FALSE))</f>
        <v>1108959</v>
      </c>
      <c r="M1161">
        <f>IF(LEN(TRIM(E1161))=0,"",VLOOKUP(E1161,Sheet2!$B$1:$E$19,4,FALSE))+(F1161-1)</f>
        <v>3780190</v>
      </c>
      <c r="N1161" s="1"/>
      <c r="O1161" s="1"/>
      <c r="P1161" s="1"/>
      <c r="Q1161" s="1"/>
    </row>
    <row r="1162" spans="1:17" ht="15" customHeight="1" x14ac:dyDescent="0.2">
      <c r="A1162" s="31" t="s">
        <v>58</v>
      </c>
      <c r="B1162" s="31" t="s">
        <v>25</v>
      </c>
      <c r="C1162" s="7" t="s">
        <v>2261</v>
      </c>
      <c r="D1162" s="1" t="s">
        <v>454</v>
      </c>
      <c r="E1162" s="1">
        <v>2173</v>
      </c>
      <c r="F1162" s="31">
        <v>197</v>
      </c>
      <c r="G1162" s="12">
        <v>3</v>
      </c>
      <c r="H1162" s="1" t="s">
        <v>3073</v>
      </c>
      <c r="I1162" s="1" t="s">
        <v>3073</v>
      </c>
      <c r="J1162" t="str">
        <f t="shared" si="18"/>
        <v>http://www.badatelna.eu/reprodukce/?fondId=1073&amp;zaznamId=1108959&amp;reproId=3780190</v>
      </c>
      <c r="K1162">
        <f>IF(LEN(TRIM(E1162))=0,"",VLOOKUP(E1162,Sheet2!$B$1:$E$19,2,FALSE))</f>
        <v>1073</v>
      </c>
      <c r="L1162">
        <f>IF(LEN(TRIM(E1162))=0,"",VLOOKUP(E1162,Sheet2!$B$1:$E$19,3,FALSE))</f>
        <v>1108959</v>
      </c>
      <c r="M1162">
        <f>IF(LEN(TRIM(E1162))=0,"",VLOOKUP(E1162,Sheet2!$B$1:$E$19,4,FALSE))+(F1162-1)</f>
        <v>3780190</v>
      </c>
      <c r="N1162" s="1"/>
      <c r="O1162" s="1"/>
      <c r="P1162" s="1"/>
      <c r="Q1162" s="1"/>
    </row>
    <row r="1163" spans="1:17" ht="15" customHeight="1" x14ac:dyDescent="0.25">
      <c r="A1163" s="28" t="s">
        <v>303</v>
      </c>
      <c r="B1163" s="28" t="s">
        <v>1</v>
      </c>
      <c r="C1163" s="6" t="s">
        <v>2912</v>
      </c>
      <c r="D1163" s="1" t="s">
        <v>454</v>
      </c>
      <c r="E1163" s="1">
        <v>2173</v>
      </c>
      <c r="F1163" s="28">
        <v>212</v>
      </c>
      <c r="G1163" s="9" t="s">
        <v>2911</v>
      </c>
      <c r="H1163" s="1" t="s">
        <v>3073</v>
      </c>
      <c r="I1163" s="1" t="s">
        <v>3073</v>
      </c>
      <c r="J1163" t="str">
        <f t="shared" si="18"/>
        <v>http://www.badatelna.eu/reprodukce/?fondId=1073&amp;zaznamId=1108959&amp;reproId=3780205</v>
      </c>
      <c r="K1163">
        <f>IF(LEN(TRIM(E1163))=0,"",VLOOKUP(E1163,Sheet2!$B$1:$E$19,2,FALSE))</f>
        <v>1073</v>
      </c>
      <c r="L1163">
        <f>IF(LEN(TRIM(E1163))=0,"",VLOOKUP(E1163,Sheet2!$B$1:$E$19,3,FALSE))</f>
        <v>1108959</v>
      </c>
      <c r="M1163">
        <f>IF(LEN(TRIM(E1163))=0,"",VLOOKUP(E1163,Sheet2!$B$1:$E$19,4,FALSE))+(F1163-1)</f>
        <v>3780205</v>
      </c>
      <c r="N1163" s="1"/>
      <c r="O1163" s="1"/>
      <c r="P1163" s="1"/>
      <c r="Q1163" s="1"/>
    </row>
    <row r="1164" spans="1:17" ht="15" customHeight="1" x14ac:dyDescent="0.25">
      <c r="A1164" s="28" t="s">
        <v>303</v>
      </c>
      <c r="B1164" s="28" t="s">
        <v>1</v>
      </c>
      <c r="C1164" s="6" t="s">
        <v>2077</v>
      </c>
      <c r="D1164" s="1" t="s">
        <v>454</v>
      </c>
      <c r="E1164" s="1">
        <v>2173</v>
      </c>
      <c r="F1164" s="28">
        <v>183</v>
      </c>
      <c r="G1164" s="9">
        <v>12</v>
      </c>
      <c r="H1164" s="1">
        <v>189</v>
      </c>
      <c r="I1164" s="1">
        <v>420</v>
      </c>
      <c r="J1164" t="str">
        <f t="shared" si="18"/>
        <v>http://www.badatelna.eu/reprodukce/?fondId=1073&amp;zaznamId=1108959&amp;reproId=3780176</v>
      </c>
      <c r="K1164">
        <f>IF(LEN(TRIM(E1164))=0,"",VLOOKUP(E1164,Sheet2!$B$1:$E$19,2,FALSE))</f>
        <v>1073</v>
      </c>
      <c r="L1164">
        <f>IF(LEN(TRIM(E1164))=0,"",VLOOKUP(E1164,Sheet2!$B$1:$E$19,3,FALSE))</f>
        <v>1108959</v>
      </c>
      <c r="M1164">
        <f>IF(LEN(TRIM(E1164))=0,"",VLOOKUP(E1164,Sheet2!$B$1:$E$19,4,FALSE))+(F1164-1)</f>
        <v>3780176</v>
      </c>
      <c r="N1164" s="1"/>
      <c r="O1164" s="1"/>
      <c r="P1164" s="1"/>
      <c r="Q1164" s="1"/>
    </row>
    <row r="1165" spans="1:17" ht="15" customHeight="1" x14ac:dyDescent="0.25">
      <c r="A1165" s="29" t="s">
        <v>2824</v>
      </c>
      <c r="B1165" s="28" t="s">
        <v>1</v>
      </c>
      <c r="C1165" s="6" t="s">
        <v>2480</v>
      </c>
      <c r="D1165" s="1" t="s">
        <v>454</v>
      </c>
      <c r="E1165" s="1">
        <v>2173</v>
      </c>
      <c r="F1165" s="28">
        <v>205</v>
      </c>
      <c r="G1165" s="1">
        <v>19</v>
      </c>
      <c r="H1165" s="1" t="s">
        <v>3073</v>
      </c>
      <c r="I1165" s="1" t="s">
        <v>3073</v>
      </c>
      <c r="J1165" t="str">
        <f t="shared" si="18"/>
        <v>http://www.badatelna.eu/reprodukce/?fondId=1073&amp;zaznamId=1108959&amp;reproId=3780198</v>
      </c>
      <c r="K1165">
        <f>IF(LEN(TRIM(E1165))=0,"",VLOOKUP(E1165,Sheet2!$B$1:$E$19,2,FALSE))</f>
        <v>1073</v>
      </c>
      <c r="L1165">
        <f>IF(LEN(TRIM(E1165))=0,"",VLOOKUP(E1165,Sheet2!$B$1:$E$19,3,FALSE))</f>
        <v>1108959</v>
      </c>
      <c r="M1165">
        <f>IF(LEN(TRIM(E1165))=0,"",VLOOKUP(E1165,Sheet2!$B$1:$E$19,4,FALSE))+(F1165-1)</f>
        <v>3780198</v>
      </c>
      <c r="N1165" s="1"/>
      <c r="O1165" s="1"/>
      <c r="P1165" s="1"/>
      <c r="Q1165" s="1"/>
    </row>
    <row r="1166" spans="1:17" ht="15" customHeight="1" x14ac:dyDescent="0.25">
      <c r="A1166" s="29" t="s">
        <v>2972</v>
      </c>
      <c r="B1166" s="28" t="s">
        <v>2933</v>
      </c>
      <c r="C1166" s="1">
        <v>1850</v>
      </c>
      <c r="D1166" s="1" t="s">
        <v>2919</v>
      </c>
      <c r="E1166" s="1">
        <v>998</v>
      </c>
      <c r="F1166" s="28">
        <v>30</v>
      </c>
      <c r="G1166" s="1">
        <v>28</v>
      </c>
      <c r="H1166" s="1">
        <v>71</v>
      </c>
      <c r="I1166" s="1">
        <v>68</v>
      </c>
      <c r="J1166" t="str">
        <f t="shared" si="18"/>
        <v>http://www.badatelna.eu/reprodukce/?fondId=241&amp;zaznamId=1133738&amp;reproId=3885676</v>
      </c>
      <c r="K1166">
        <f>IF(LEN(TRIM(E1166))=0,"",VLOOKUP(E1166,Sheet2!$B$1:$E$19,2,FALSE))</f>
        <v>241</v>
      </c>
      <c r="L1166">
        <f>IF(LEN(TRIM(E1166))=0,"",VLOOKUP(E1166,Sheet2!$B$1:$E$19,3,FALSE))</f>
        <v>1133738</v>
      </c>
      <c r="M1166">
        <f>IF(LEN(TRIM(E1166))=0,"",VLOOKUP(E1166,Sheet2!$B$1:$E$19,4,FALSE))+(F1166-1)</f>
        <v>3885676</v>
      </c>
      <c r="N1166" s="1"/>
      <c r="O1166" s="1"/>
      <c r="P1166" s="1"/>
      <c r="Q1166" s="1"/>
    </row>
    <row r="1167" spans="1:17" ht="15" customHeight="1" x14ac:dyDescent="0.25">
      <c r="A1167" s="29" t="s">
        <v>2826</v>
      </c>
      <c r="B1167" s="28" t="s">
        <v>0</v>
      </c>
      <c r="C1167" s="6" t="s">
        <v>2500</v>
      </c>
      <c r="D1167" s="1" t="s">
        <v>454</v>
      </c>
      <c r="E1167" s="1">
        <v>2173</v>
      </c>
      <c r="F1167" s="28">
        <v>206</v>
      </c>
      <c r="G1167" s="17">
        <v>22</v>
      </c>
      <c r="H1167" s="1" t="s">
        <v>3073</v>
      </c>
      <c r="I1167" s="1" t="s">
        <v>3073</v>
      </c>
      <c r="J1167" t="str">
        <f t="shared" si="18"/>
        <v>http://www.badatelna.eu/reprodukce/?fondId=1073&amp;zaznamId=1108959&amp;reproId=3780199</v>
      </c>
      <c r="K1167">
        <f>IF(LEN(TRIM(E1167))=0,"",VLOOKUP(E1167,Sheet2!$B$1:$E$19,2,FALSE))</f>
        <v>1073</v>
      </c>
      <c r="L1167">
        <f>IF(LEN(TRIM(E1167))=0,"",VLOOKUP(E1167,Sheet2!$B$1:$E$19,3,FALSE))</f>
        <v>1108959</v>
      </c>
      <c r="M1167">
        <f>IF(LEN(TRIM(E1167))=0,"",VLOOKUP(E1167,Sheet2!$B$1:$E$19,4,FALSE))+(F1167-1)</f>
        <v>3780199</v>
      </c>
      <c r="N1167" s="1"/>
      <c r="O1167" s="1"/>
      <c r="P1167" s="1"/>
      <c r="Q1167" s="1"/>
    </row>
    <row r="1168" spans="1:17" ht="15" customHeight="1" x14ac:dyDescent="0.25">
      <c r="A1168" s="28" t="s">
        <v>550</v>
      </c>
      <c r="B1168" s="28" t="s">
        <v>707</v>
      </c>
      <c r="C1168" s="1">
        <v>1856</v>
      </c>
      <c r="D1168" s="1" t="s">
        <v>2919</v>
      </c>
      <c r="E1168" s="1">
        <v>998</v>
      </c>
      <c r="F1168" s="28">
        <v>50</v>
      </c>
      <c r="G1168" s="1">
        <v>48</v>
      </c>
      <c r="H1168" s="1">
        <v>71</v>
      </c>
      <c r="I1168" s="1">
        <v>68</v>
      </c>
      <c r="J1168" t="str">
        <f t="shared" si="18"/>
        <v>http://www.badatelna.eu/reprodukce/?fondId=241&amp;zaznamId=1133738&amp;reproId=3885696</v>
      </c>
      <c r="K1168">
        <f>IF(LEN(TRIM(E1168))=0,"",VLOOKUP(E1168,Sheet2!$B$1:$E$19,2,FALSE))</f>
        <v>241</v>
      </c>
      <c r="L1168">
        <f>IF(LEN(TRIM(E1168))=0,"",VLOOKUP(E1168,Sheet2!$B$1:$E$19,3,FALSE))</f>
        <v>1133738</v>
      </c>
      <c r="M1168">
        <f>IF(LEN(TRIM(E1168))=0,"",VLOOKUP(E1168,Sheet2!$B$1:$E$19,4,FALSE))+(F1168-1)</f>
        <v>3885696</v>
      </c>
    </row>
    <row r="1169" spans="1:17" ht="15" customHeight="1" x14ac:dyDescent="0.25">
      <c r="A1169" s="27" t="s">
        <v>550</v>
      </c>
      <c r="B1169" s="27" t="s">
        <v>551</v>
      </c>
      <c r="C1169" s="5" t="s">
        <v>1209</v>
      </c>
      <c r="D1169" s="3" t="s">
        <v>454</v>
      </c>
      <c r="E1169" s="3">
        <v>2170</v>
      </c>
      <c r="F1169" s="28">
        <v>57</v>
      </c>
      <c r="G1169" s="10">
        <v>53</v>
      </c>
      <c r="H1169" s="3">
        <v>63</v>
      </c>
      <c r="I1169" s="3">
        <v>59</v>
      </c>
      <c r="J1169" t="str">
        <f t="shared" si="18"/>
        <v>http://www.badatelna.eu/reprodukce/?fondId=1073&amp;zaznamId=1108956&amp;reproId=3779649</v>
      </c>
      <c r="K1169">
        <f>IF(LEN(TRIM(E1169))=0,"",VLOOKUP(E1169,Sheet2!$B$1:$E$19,2,FALSE))</f>
        <v>1073</v>
      </c>
      <c r="L1169">
        <f>IF(LEN(TRIM(E1169))=0,"",VLOOKUP(E1169,Sheet2!$B$1:$E$19,3,FALSE))</f>
        <v>1108956</v>
      </c>
      <c r="M1169">
        <f>IF(LEN(TRIM(E1169))=0,"",VLOOKUP(E1169,Sheet2!$B$1:$E$19,4,FALSE))+(F1169-1)</f>
        <v>3779649</v>
      </c>
      <c r="N1169" s="1"/>
      <c r="O1169" s="1"/>
      <c r="P1169" s="1"/>
      <c r="Q1169" s="1"/>
    </row>
    <row r="1170" spans="1:17" ht="15" customHeight="1" x14ac:dyDescent="0.25">
      <c r="A1170" s="27" t="s">
        <v>550</v>
      </c>
      <c r="B1170" s="27" t="s">
        <v>552</v>
      </c>
      <c r="C1170" s="5" t="s">
        <v>1208</v>
      </c>
      <c r="D1170" s="3" t="s">
        <v>454</v>
      </c>
      <c r="E1170" s="3">
        <v>2170</v>
      </c>
      <c r="F1170" s="28">
        <v>28</v>
      </c>
      <c r="G1170" s="10">
        <v>24</v>
      </c>
      <c r="H1170" s="3">
        <v>63</v>
      </c>
      <c r="I1170" s="3">
        <v>59</v>
      </c>
      <c r="J1170" t="str">
        <f t="shared" si="18"/>
        <v>http://www.badatelna.eu/reprodukce/?fondId=1073&amp;zaznamId=1108956&amp;reproId=3779620</v>
      </c>
      <c r="K1170">
        <f>IF(LEN(TRIM(E1170))=0,"",VLOOKUP(E1170,Sheet2!$B$1:$E$19,2,FALSE))</f>
        <v>1073</v>
      </c>
      <c r="L1170">
        <f>IF(LEN(TRIM(E1170))=0,"",VLOOKUP(E1170,Sheet2!$B$1:$E$19,3,FALSE))</f>
        <v>1108956</v>
      </c>
      <c r="M1170">
        <f>IF(LEN(TRIM(E1170))=0,"",VLOOKUP(E1170,Sheet2!$B$1:$E$19,4,FALSE))+(F1170-1)</f>
        <v>3779620</v>
      </c>
      <c r="N1170" s="1"/>
      <c r="O1170" s="1"/>
      <c r="P1170" s="1"/>
      <c r="Q1170" s="1"/>
    </row>
    <row r="1171" spans="1:17" ht="15" customHeight="1" x14ac:dyDescent="0.25">
      <c r="A1171" s="28" t="s">
        <v>550</v>
      </c>
      <c r="B1171" s="28" t="s">
        <v>529</v>
      </c>
      <c r="C1171" s="6" t="s">
        <v>1502</v>
      </c>
      <c r="D1171" s="1" t="s">
        <v>454</v>
      </c>
      <c r="E1171" s="1">
        <v>2172</v>
      </c>
      <c r="F1171" s="28">
        <v>5</v>
      </c>
      <c r="G1171" s="9">
        <v>2</v>
      </c>
      <c r="H1171" s="1">
        <v>8</v>
      </c>
      <c r="I1171" s="1">
        <v>1</v>
      </c>
      <c r="J1171" t="str">
        <f t="shared" si="18"/>
        <v>http://www.badatelna.eu/reprodukce/?fondId=1073&amp;zaznamId=1108958&amp;reproId=3779746</v>
      </c>
      <c r="K1171">
        <f>IF(LEN(TRIM(E1171))=0,"",VLOOKUP(E1171,Sheet2!$B$1:$E$19,2,FALSE))</f>
        <v>1073</v>
      </c>
      <c r="L1171">
        <f>IF(LEN(TRIM(E1171))=0,"",VLOOKUP(E1171,Sheet2!$B$1:$E$19,3,FALSE))</f>
        <v>1108958</v>
      </c>
      <c r="M1171">
        <f>IF(LEN(TRIM(E1171))=0,"",VLOOKUP(E1171,Sheet2!$B$1:$E$19,4,FALSE))+(F1171-1)</f>
        <v>3779746</v>
      </c>
      <c r="N1171" s="1"/>
      <c r="O1171" s="1"/>
      <c r="P1171" s="1"/>
      <c r="Q1171" s="1"/>
    </row>
    <row r="1172" spans="1:17" ht="15" customHeight="1" x14ac:dyDescent="0.25">
      <c r="A1172" s="28" t="s">
        <v>550</v>
      </c>
      <c r="B1172" s="28" t="s">
        <v>25</v>
      </c>
      <c r="C1172" s="1">
        <v>1882</v>
      </c>
      <c r="D1172" s="1" t="s">
        <v>454</v>
      </c>
      <c r="E1172" s="1">
        <v>2172</v>
      </c>
      <c r="F1172" s="29">
        <v>28</v>
      </c>
      <c r="G1172" s="9" t="s">
        <v>2757</v>
      </c>
      <c r="H1172" s="1">
        <v>30</v>
      </c>
      <c r="I1172" s="1">
        <v>29</v>
      </c>
      <c r="J1172" t="str">
        <f t="shared" si="18"/>
        <v>http://www.badatelna.eu/reprodukce/?fondId=1073&amp;zaznamId=1108958&amp;reproId=3779769</v>
      </c>
      <c r="K1172">
        <f>IF(LEN(TRIM(E1172))=0,"",VLOOKUP(E1172,Sheet2!$B$1:$E$19,2,FALSE))</f>
        <v>1073</v>
      </c>
      <c r="L1172">
        <f>IF(LEN(TRIM(E1172))=0,"",VLOOKUP(E1172,Sheet2!$B$1:$E$19,3,FALSE))</f>
        <v>1108958</v>
      </c>
      <c r="M1172">
        <f>IF(LEN(TRIM(E1172))=0,"",VLOOKUP(E1172,Sheet2!$B$1:$E$19,4,FALSE))+(F1172-1)</f>
        <v>3779769</v>
      </c>
      <c r="N1172" s="1"/>
      <c r="O1172" s="1"/>
      <c r="P1172" s="1"/>
      <c r="Q1172" s="1"/>
    </row>
    <row r="1173" spans="1:17" ht="15" customHeight="1" x14ac:dyDescent="0.25">
      <c r="A1173" s="28" t="s">
        <v>550</v>
      </c>
      <c r="B1173" s="28" t="s">
        <v>314</v>
      </c>
      <c r="C1173" s="6" t="s">
        <v>1533</v>
      </c>
      <c r="D1173" s="1" t="s">
        <v>454</v>
      </c>
      <c r="E1173" s="1">
        <v>2172</v>
      </c>
      <c r="F1173" s="28">
        <v>14</v>
      </c>
      <c r="G1173" s="9">
        <v>13</v>
      </c>
      <c r="H1173" s="1" t="s">
        <v>3073</v>
      </c>
      <c r="I1173" s="1" t="s">
        <v>3073</v>
      </c>
      <c r="J1173" t="str">
        <f t="shared" si="18"/>
        <v>http://www.badatelna.eu/reprodukce/?fondId=1073&amp;zaznamId=1108958&amp;reproId=3779755</v>
      </c>
      <c r="K1173">
        <f>IF(LEN(TRIM(E1173))=0,"",VLOOKUP(E1173,Sheet2!$B$1:$E$19,2,FALSE))</f>
        <v>1073</v>
      </c>
      <c r="L1173">
        <f>IF(LEN(TRIM(E1173))=0,"",VLOOKUP(E1173,Sheet2!$B$1:$E$19,3,FALSE))</f>
        <v>1108958</v>
      </c>
      <c r="M1173">
        <f>IF(LEN(TRIM(E1173))=0,"",VLOOKUP(E1173,Sheet2!$B$1:$E$19,4,FALSE))+(F1173-1)</f>
        <v>3779755</v>
      </c>
      <c r="N1173" s="1"/>
      <c r="O1173" s="1"/>
      <c r="P1173" s="1"/>
      <c r="Q1173" s="1"/>
    </row>
    <row r="1174" spans="1:17" ht="15" customHeight="1" x14ac:dyDescent="0.25">
      <c r="A1174" s="28" t="s">
        <v>550</v>
      </c>
      <c r="B1174" s="28" t="s">
        <v>39</v>
      </c>
      <c r="C1174" s="1">
        <v>1891</v>
      </c>
      <c r="D1174" s="1" t="s">
        <v>454</v>
      </c>
      <c r="E1174" s="1">
        <v>2172</v>
      </c>
      <c r="F1174" s="28">
        <v>80</v>
      </c>
      <c r="G1174" s="9">
        <v>79</v>
      </c>
      <c r="H1174" s="1">
        <v>83</v>
      </c>
      <c r="I1174" s="1">
        <v>82</v>
      </c>
      <c r="J1174" t="str">
        <f t="shared" si="18"/>
        <v>http://www.badatelna.eu/reprodukce/?fondId=1073&amp;zaznamId=1108958&amp;reproId=3779821</v>
      </c>
      <c r="K1174">
        <f>IF(LEN(TRIM(E1174))=0,"",VLOOKUP(E1174,Sheet2!$B$1:$E$19,2,FALSE))</f>
        <v>1073</v>
      </c>
      <c r="L1174">
        <f>IF(LEN(TRIM(E1174))=0,"",VLOOKUP(E1174,Sheet2!$B$1:$E$19,3,FALSE))</f>
        <v>1108958</v>
      </c>
      <c r="M1174">
        <f>IF(LEN(TRIM(E1174))=0,"",VLOOKUP(E1174,Sheet2!$B$1:$E$19,4,FALSE))+(F1174-1)</f>
        <v>3779821</v>
      </c>
      <c r="N1174" s="1"/>
      <c r="O1174" s="1"/>
      <c r="P1174" s="1"/>
      <c r="Q1174" s="1"/>
    </row>
    <row r="1175" spans="1:17" ht="15" customHeight="1" x14ac:dyDescent="0.25">
      <c r="A1175" s="28" t="s">
        <v>550</v>
      </c>
      <c r="B1175" s="28" t="s">
        <v>905</v>
      </c>
      <c r="C1175" s="6" t="s">
        <v>1542</v>
      </c>
      <c r="D1175" s="1" t="s">
        <v>454</v>
      </c>
      <c r="E1175" s="1">
        <v>2172</v>
      </c>
      <c r="F1175" s="28">
        <v>17</v>
      </c>
      <c r="G1175" s="9">
        <v>16</v>
      </c>
      <c r="H1175" s="1" t="s">
        <v>3073</v>
      </c>
      <c r="I1175" s="1" t="s">
        <v>3073</v>
      </c>
      <c r="J1175" t="str">
        <f t="shared" si="18"/>
        <v>http://www.badatelna.eu/reprodukce/?fondId=1073&amp;zaznamId=1108958&amp;reproId=3779758</v>
      </c>
      <c r="K1175">
        <f>IF(LEN(TRIM(E1175))=0,"",VLOOKUP(E1175,Sheet2!$B$1:$E$19,2,FALSE))</f>
        <v>1073</v>
      </c>
      <c r="L1175">
        <f>IF(LEN(TRIM(E1175))=0,"",VLOOKUP(E1175,Sheet2!$B$1:$E$19,3,FALSE))</f>
        <v>1108958</v>
      </c>
      <c r="M1175">
        <f>IF(LEN(TRIM(E1175))=0,"",VLOOKUP(E1175,Sheet2!$B$1:$E$19,4,FALSE))+(F1175-1)</f>
        <v>3779758</v>
      </c>
      <c r="N1175" s="1"/>
      <c r="O1175" s="1"/>
      <c r="P1175" s="1"/>
      <c r="Q1175" s="1"/>
    </row>
    <row r="1176" spans="1:17" ht="15" customHeight="1" x14ac:dyDescent="0.25">
      <c r="A1176" s="28" t="s">
        <v>5</v>
      </c>
      <c r="B1176" s="28" t="s">
        <v>492</v>
      </c>
      <c r="C1176" s="1">
        <v>1854</v>
      </c>
      <c r="D1176" s="1" t="s">
        <v>2919</v>
      </c>
      <c r="E1176" s="1">
        <v>998</v>
      </c>
      <c r="F1176" s="28">
        <v>42</v>
      </c>
      <c r="G1176" s="1">
        <v>40</v>
      </c>
      <c r="H1176" s="1">
        <v>71</v>
      </c>
      <c r="I1176" s="1">
        <v>68</v>
      </c>
      <c r="J1176" t="str">
        <f t="shared" si="18"/>
        <v>http://www.badatelna.eu/reprodukce/?fondId=241&amp;zaznamId=1133738&amp;reproId=3885688</v>
      </c>
      <c r="K1176">
        <f>IF(LEN(TRIM(E1176))=0,"",VLOOKUP(E1176,Sheet2!$B$1:$E$19,2,FALSE))</f>
        <v>241</v>
      </c>
      <c r="L1176">
        <f>IF(LEN(TRIM(E1176))=0,"",VLOOKUP(E1176,Sheet2!$B$1:$E$19,3,FALSE))</f>
        <v>1133738</v>
      </c>
      <c r="M1176">
        <f>IF(LEN(TRIM(E1176))=0,"",VLOOKUP(E1176,Sheet2!$B$1:$E$19,4,FALSE))+(F1176-1)</f>
        <v>3885688</v>
      </c>
      <c r="N1176" s="1"/>
      <c r="O1176" s="1"/>
      <c r="P1176" s="1"/>
      <c r="Q1176" s="1"/>
    </row>
    <row r="1177" spans="1:17" ht="15" customHeight="1" x14ac:dyDescent="0.25">
      <c r="A1177" s="28" t="s">
        <v>5</v>
      </c>
      <c r="B1177" s="28" t="s">
        <v>155</v>
      </c>
      <c r="C1177" s="6" t="s">
        <v>2536</v>
      </c>
      <c r="D1177" s="1" t="s">
        <v>454</v>
      </c>
      <c r="E1177" s="1">
        <v>2173</v>
      </c>
      <c r="F1177" s="28">
        <v>207</v>
      </c>
      <c r="G1177" s="1">
        <v>24</v>
      </c>
      <c r="H1177" s="1" t="s">
        <v>3073</v>
      </c>
      <c r="I1177" s="1" t="s">
        <v>3073</v>
      </c>
      <c r="J1177" t="str">
        <f t="shared" si="18"/>
        <v>http://www.badatelna.eu/reprodukce/?fondId=1073&amp;zaznamId=1108959&amp;reproId=3780200</v>
      </c>
      <c r="K1177">
        <f>IF(LEN(TRIM(E1177))=0,"",VLOOKUP(E1177,Sheet2!$B$1:$E$19,2,FALSE))</f>
        <v>1073</v>
      </c>
      <c r="L1177">
        <f>IF(LEN(TRIM(E1177))=0,"",VLOOKUP(E1177,Sheet2!$B$1:$E$19,3,FALSE))</f>
        <v>1108959</v>
      </c>
      <c r="M1177">
        <f>IF(LEN(TRIM(E1177))=0,"",VLOOKUP(E1177,Sheet2!$B$1:$E$19,4,FALSE))+(F1177-1)</f>
        <v>3780200</v>
      </c>
    </row>
    <row r="1178" spans="1:17" ht="15" customHeight="1" x14ac:dyDescent="0.25">
      <c r="A1178" s="28" t="s">
        <v>5</v>
      </c>
      <c r="B1178" s="28" t="s">
        <v>56</v>
      </c>
      <c r="C1178" s="6" t="s">
        <v>2690</v>
      </c>
      <c r="D1178" s="1" t="s">
        <v>454</v>
      </c>
      <c r="E1178" s="1">
        <v>2173</v>
      </c>
      <c r="F1178" s="28">
        <v>224</v>
      </c>
      <c r="G1178" s="9">
        <v>54</v>
      </c>
      <c r="H1178" s="1" t="s">
        <v>3073</v>
      </c>
      <c r="I1178" s="1" t="s">
        <v>3073</v>
      </c>
      <c r="J1178" t="str">
        <f t="shared" si="18"/>
        <v>http://www.badatelna.eu/reprodukce/?fondId=1073&amp;zaznamId=1108959&amp;reproId=3780217</v>
      </c>
      <c r="K1178">
        <f>IF(LEN(TRIM(E1178))=0,"",VLOOKUP(E1178,Sheet2!$B$1:$E$19,2,FALSE))</f>
        <v>1073</v>
      </c>
      <c r="L1178">
        <f>IF(LEN(TRIM(E1178))=0,"",VLOOKUP(E1178,Sheet2!$B$1:$E$19,3,FALSE))</f>
        <v>1108959</v>
      </c>
      <c r="M1178">
        <f>IF(LEN(TRIM(E1178))=0,"",VLOOKUP(E1178,Sheet2!$B$1:$E$19,4,FALSE))+(F1178-1)</f>
        <v>3780217</v>
      </c>
      <c r="N1178" s="1"/>
      <c r="O1178" s="1"/>
      <c r="P1178" s="1"/>
      <c r="Q1178" s="1"/>
    </row>
    <row r="1179" spans="1:17" ht="15" customHeight="1" x14ac:dyDescent="0.25">
      <c r="A1179" s="28" t="s">
        <v>5</v>
      </c>
      <c r="B1179" s="28" t="s">
        <v>25</v>
      </c>
      <c r="C1179" s="6" t="s">
        <v>2785</v>
      </c>
      <c r="D1179" s="1" t="s">
        <v>454</v>
      </c>
      <c r="E1179" s="1">
        <v>2173</v>
      </c>
      <c r="F1179" s="28">
        <v>179</v>
      </c>
      <c r="G1179" s="9">
        <v>4</v>
      </c>
      <c r="H1179" s="1">
        <v>189</v>
      </c>
      <c r="I1179" s="1">
        <v>420</v>
      </c>
      <c r="J1179" t="str">
        <f t="shared" si="18"/>
        <v>http://www.badatelna.eu/reprodukce/?fondId=1073&amp;zaznamId=1108959&amp;reproId=3780172</v>
      </c>
      <c r="K1179">
        <f>IF(LEN(TRIM(E1179))=0,"",VLOOKUP(E1179,Sheet2!$B$1:$E$19,2,FALSE))</f>
        <v>1073</v>
      </c>
      <c r="L1179">
        <f>IF(LEN(TRIM(E1179))=0,"",VLOOKUP(E1179,Sheet2!$B$1:$E$19,3,FALSE))</f>
        <v>1108959</v>
      </c>
      <c r="M1179">
        <f>IF(LEN(TRIM(E1179))=0,"",VLOOKUP(E1179,Sheet2!$B$1:$E$19,4,FALSE))+(F1179-1)</f>
        <v>3780172</v>
      </c>
      <c r="N1179" s="1"/>
      <c r="O1179" s="1"/>
      <c r="P1179" s="1"/>
      <c r="Q1179" s="1"/>
    </row>
    <row r="1180" spans="1:17" ht="15" customHeight="1" x14ac:dyDescent="0.25">
      <c r="A1180" s="28" t="s">
        <v>5</v>
      </c>
      <c r="B1180" s="28" t="s">
        <v>49</v>
      </c>
      <c r="C1180" s="1">
        <v>1848</v>
      </c>
      <c r="D1180" s="1" t="s">
        <v>2919</v>
      </c>
      <c r="E1180" s="1">
        <v>998</v>
      </c>
      <c r="F1180" s="28">
        <v>15</v>
      </c>
      <c r="G1180" s="1">
        <v>13</v>
      </c>
      <c r="H1180" s="1">
        <v>71</v>
      </c>
      <c r="I1180" s="1">
        <v>68</v>
      </c>
      <c r="J1180" t="str">
        <f t="shared" si="18"/>
        <v>http://www.badatelna.eu/reprodukce/?fondId=241&amp;zaznamId=1133738&amp;reproId=3885661</v>
      </c>
      <c r="K1180">
        <f>IF(LEN(TRIM(E1180))=0,"",VLOOKUP(E1180,Sheet2!$B$1:$E$19,2,FALSE))</f>
        <v>241</v>
      </c>
      <c r="L1180">
        <f>IF(LEN(TRIM(E1180))=0,"",VLOOKUP(E1180,Sheet2!$B$1:$E$19,3,FALSE))</f>
        <v>1133738</v>
      </c>
      <c r="M1180">
        <f>IF(LEN(TRIM(E1180))=0,"",VLOOKUP(E1180,Sheet2!$B$1:$E$19,4,FALSE))+(F1180-1)</f>
        <v>3885661</v>
      </c>
      <c r="N1180" s="1"/>
      <c r="O1180" s="1"/>
      <c r="P1180" s="1"/>
      <c r="Q1180" s="1"/>
    </row>
    <row r="1181" spans="1:17" ht="15" customHeight="1" x14ac:dyDescent="0.25">
      <c r="A1181" s="28" t="s">
        <v>5</v>
      </c>
      <c r="B1181" s="28" t="s">
        <v>49</v>
      </c>
      <c r="C1181" s="6" t="s">
        <v>2400</v>
      </c>
      <c r="D1181" s="1" t="s">
        <v>454</v>
      </c>
      <c r="E1181" s="1">
        <v>2173</v>
      </c>
      <c r="F1181" s="28">
        <v>202</v>
      </c>
      <c r="G1181" s="9">
        <v>14</v>
      </c>
      <c r="H1181" s="1" t="s">
        <v>3073</v>
      </c>
      <c r="I1181" s="1" t="s">
        <v>3073</v>
      </c>
      <c r="J1181" t="str">
        <f t="shared" si="18"/>
        <v>http://www.badatelna.eu/reprodukce/?fondId=1073&amp;zaznamId=1108959&amp;reproId=3780195</v>
      </c>
      <c r="K1181">
        <f>IF(LEN(TRIM(E1181))=0,"",VLOOKUP(E1181,Sheet2!$B$1:$E$19,2,FALSE))</f>
        <v>1073</v>
      </c>
      <c r="L1181">
        <f>IF(LEN(TRIM(E1181))=0,"",VLOOKUP(E1181,Sheet2!$B$1:$E$19,3,FALSE))</f>
        <v>1108959</v>
      </c>
      <c r="M1181">
        <f>IF(LEN(TRIM(E1181))=0,"",VLOOKUP(E1181,Sheet2!$B$1:$E$19,4,FALSE))+(F1181-1)</f>
        <v>3780195</v>
      </c>
      <c r="N1181" s="1"/>
      <c r="O1181" s="1"/>
      <c r="P1181" s="1"/>
      <c r="Q1181" s="1"/>
    </row>
    <row r="1182" spans="1:17" ht="15" customHeight="1" x14ac:dyDescent="0.25">
      <c r="A1182" s="28" t="s">
        <v>5</v>
      </c>
      <c r="B1182" s="28" t="s">
        <v>49</v>
      </c>
      <c r="C1182" s="6" t="s">
        <v>2693</v>
      </c>
      <c r="D1182" s="1" t="s">
        <v>454</v>
      </c>
      <c r="E1182" s="1">
        <v>2173</v>
      </c>
      <c r="F1182" s="28">
        <v>224</v>
      </c>
      <c r="G1182" s="9">
        <v>54</v>
      </c>
      <c r="H1182" s="1" t="s">
        <v>3073</v>
      </c>
      <c r="I1182" s="1" t="s">
        <v>3073</v>
      </c>
      <c r="J1182" t="str">
        <f t="shared" si="18"/>
        <v>http://www.badatelna.eu/reprodukce/?fondId=1073&amp;zaznamId=1108959&amp;reproId=3780217</v>
      </c>
      <c r="K1182">
        <f>IF(LEN(TRIM(E1182))=0,"",VLOOKUP(E1182,Sheet2!$B$1:$E$19,2,FALSE))</f>
        <v>1073</v>
      </c>
      <c r="L1182">
        <f>IF(LEN(TRIM(E1182))=0,"",VLOOKUP(E1182,Sheet2!$B$1:$E$19,3,FALSE))</f>
        <v>1108959</v>
      </c>
      <c r="M1182">
        <f>IF(LEN(TRIM(E1182))=0,"",VLOOKUP(E1182,Sheet2!$B$1:$E$19,4,FALSE))+(F1182-1)</f>
        <v>3780217</v>
      </c>
      <c r="N1182" s="1"/>
      <c r="O1182" s="1"/>
      <c r="P1182" s="1"/>
      <c r="Q1182" s="1"/>
    </row>
    <row r="1183" spans="1:17" ht="15" customHeight="1" x14ac:dyDescent="0.25">
      <c r="A1183" s="28" t="s">
        <v>5</v>
      </c>
      <c r="B1183" s="29" t="s">
        <v>28</v>
      </c>
      <c r="C1183" s="1">
        <v>1847</v>
      </c>
      <c r="D1183" s="1" t="s">
        <v>2919</v>
      </c>
      <c r="E1183" s="1">
        <v>998</v>
      </c>
      <c r="F1183" s="28">
        <v>5</v>
      </c>
      <c r="G1183" s="1">
        <v>3</v>
      </c>
      <c r="H1183" s="1">
        <v>71</v>
      </c>
      <c r="I1183" s="1">
        <v>68</v>
      </c>
      <c r="J1183" t="str">
        <f t="shared" si="18"/>
        <v>http://www.badatelna.eu/reprodukce/?fondId=241&amp;zaznamId=1133738&amp;reproId=3885651</v>
      </c>
      <c r="K1183">
        <f>IF(LEN(TRIM(E1183))=0,"",VLOOKUP(E1183,Sheet2!$B$1:$E$19,2,FALSE))</f>
        <v>241</v>
      </c>
      <c r="L1183">
        <f>IF(LEN(TRIM(E1183))=0,"",VLOOKUP(E1183,Sheet2!$B$1:$E$19,3,FALSE))</f>
        <v>1133738</v>
      </c>
      <c r="M1183">
        <f>IF(LEN(TRIM(E1183))=0,"",VLOOKUP(E1183,Sheet2!$B$1:$E$19,4,FALSE))+(F1183-1)</f>
        <v>3885651</v>
      </c>
      <c r="N1183" s="1"/>
      <c r="O1183" s="1"/>
      <c r="P1183" s="1"/>
      <c r="Q1183" s="1"/>
    </row>
    <row r="1184" spans="1:17" ht="15" customHeight="1" x14ac:dyDescent="0.25">
      <c r="A1184" s="28" t="s">
        <v>5</v>
      </c>
      <c r="B1184" s="28" t="s">
        <v>39</v>
      </c>
      <c r="C1184" s="1">
        <v>1859</v>
      </c>
      <c r="D1184" s="1" t="s">
        <v>2919</v>
      </c>
      <c r="E1184" s="1">
        <v>998</v>
      </c>
      <c r="F1184" s="28">
        <v>57</v>
      </c>
      <c r="G1184" s="1">
        <v>54</v>
      </c>
      <c r="H1184" s="1">
        <v>71</v>
      </c>
      <c r="I1184" s="1">
        <v>68</v>
      </c>
      <c r="J1184" t="str">
        <f t="shared" si="18"/>
        <v>http://www.badatelna.eu/reprodukce/?fondId=241&amp;zaznamId=1133738&amp;reproId=3885703</v>
      </c>
      <c r="K1184">
        <f>IF(LEN(TRIM(E1184))=0,"",VLOOKUP(E1184,Sheet2!$B$1:$E$19,2,FALSE))</f>
        <v>241</v>
      </c>
      <c r="L1184">
        <f>IF(LEN(TRIM(E1184))=0,"",VLOOKUP(E1184,Sheet2!$B$1:$E$19,3,FALSE))</f>
        <v>1133738</v>
      </c>
      <c r="M1184">
        <f>IF(LEN(TRIM(E1184))=0,"",VLOOKUP(E1184,Sheet2!$B$1:$E$19,4,FALSE))+(F1184-1)</f>
        <v>3885703</v>
      </c>
    </row>
    <row r="1185" spans="1:17" ht="15" customHeight="1" x14ac:dyDescent="0.25">
      <c r="A1185" s="28" t="s">
        <v>5</v>
      </c>
      <c r="B1185" s="28" t="s">
        <v>39</v>
      </c>
      <c r="C1185" s="6" t="s">
        <v>2482</v>
      </c>
      <c r="D1185" s="1" t="s">
        <v>454</v>
      </c>
      <c r="E1185" s="1">
        <v>2173</v>
      </c>
      <c r="F1185" s="28">
        <v>205</v>
      </c>
      <c r="G1185" s="1">
        <v>19</v>
      </c>
      <c r="H1185" s="1" t="s">
        <v>3073</v>
      </c>
      <c r="I1185" s="1" t="s">
        <v>3073</v>
      </c>
      <c r="J1185" t="str">
        <f t="shared" si="18"/>
        <v>http://www.badatelna.eu/reprodukce/?fondId=1073&amp;zaznamId=1108959&amp;reproId=3780198</v>
      </c>
      <c r="K1185">
        <f>IF(LEN(TRIM(E1185))=0,"",VLOOKUP(E1185,Sheet2!$B$1:$E$19,2,FALSE))</f>
        <v>1073</v>
      </c>
      <c r="L1185">
        <f>IF(LEN(TRIM(E1185))=0,"",VLOOKUP(E1185,Sheet2!$B$1:$E$19,3,FALSE))</f>
        <v>1108959</v>
      </c>
      <c r="M1185">
        <f>IF(LEN(TRIM(E1185))=0,"",VLOOKUP(E1185,Sheet2!$B$1:$E$19,4,FALSE))+(F1185-1)</f>
        <v>3780198</v>
      </c>
      <c r="N1185" s="1"/>
      <c r="O1185" s="1"/>
      <c r="P1185" s="1"/>
      <c r="Q1185" s="1"/>
    </row>
    <row r="1186" spans="1:17" ht="15" customHeight="1" x14ac:dyDescent="0.25">
      <c r="A1186" s="28" t="s">
        <v>5</v>
      </c>
      <c r="B1186" s="28" t="s">
        <v>424</v>
      </c>
      <c r="C1186" s="6" t="s">
        <v>2886</v>
      </c>
      <c r="D1186" s="1" t="s">
        <v>454</v>
      </c>
      <c r="E1186" s="1">
        <v>2173</v>
      </c>
      <c r="F1186" s="28">
        <v>211</v>
      </c>
      <c r="G1186" s="9" t="s">
        <v>2881</v>
      </c>
      <c r="H1186" s="1" t="s">
        <v>3073</v>
      </c>
      <c r="I1186" s="1" t="s">
        <v>3073</v>
      </c>
      <c r="J1186" t="str">
        <f t="shared" si="18"/>
        <v>http://www.badatelna.eu/reprodukce/?fondId=1073&amp;zaznamId=1108959&amp;reproId=3780204</v>
      </c>
      <c r="K1186">
        <f>IF(LEN(TRIM(E1186))=0,"",VLOOKUP(E1186,Sheet2!$B$1:$E$19,2,FALSE))</f>
        <v>1073</v>
      </c>
      <c r="L1186">
        <f>IF(LEN(TRIM(E1186))=0,"",VLOOKUP(E1186,Sheet2!$B$1:$E$19,3,FALSE))</f>
        <v>1108959</v>
      </c>
      <c r="M1186">
        <f>IF(LEN(TRIM(E1186))=0,"",VLOOKUP(E1186,Sheet2!$B$1:$E$19,4,FALSE))+(F1186-1)</f>
        <v>3780204</v>
      </c>
      <c r="N1186" s="1"/>
      <c r="O1186" s="1"/>
      <c r="P1186" s="1"/>
      <c r="Q1186" s="1"/>
    </row>
    <row r="1187" spans="1:17" ht="15" customHeight="1" x14ac:dyDescent="0.25">
      <c r="A1187" s="28" t="s">
        <v>5</v>
      </c>
      <c r="B1187" s="28" t="s">
        <v>424</v>
      </c>
      <c r="C1187" s="6" t="s">
        <v>2674</v>
      </c>
      <c r="D1187" s="1" t="s">
        <v>454</v>
      </c>
      <c r="E1187" s="1">
        <v>2173</v>
      </c>
      <c r="F1187" s="28">
        <v>223</v>
      </c>
      <c r="G1187" s="9">
        <v>52</v>
      </c>
      <c r="H1187" s="1" t="s">
        <v>3073</v>
      </c>
      <c r="I1187" s="1" t="s">
        <v>3073</v>
      </c>
      <c r="J1187" t="str">
        <f t="shared" si="18"/>
        <v>http://www.badatelna.eu/reprodukce/?fondId=1073&amp;zaznamId=1108959&amp;reproId=3780216</v>
      </c>
      <c r="K1187">
        <f>IF(LEN(TRIM(E1187))=0,"",VLOOKUP(E1187,Sheet2!$B$1:$E$19,2,FALSE))</f>
        <v>1073</v>
      </c>
      <c r="L1187">
        <f>IF(LEN(TRIM(E1187))=0,"",VLOOKUP(E1187,Sheet2!$B$1:$E$19,3,FALSE))</f>
        <v>1108959</v>
      </c>
      <c r="M1187">
        <f>IF(LEN(TRIM(E1187))=0,"",VLOOKUP(E1187,Sheet2!$B$1:$E$19,4,FALSE))+(F1187-1)</f>
        <v>3780216</v>
      </c>
      <c r="N1187" s="1"/>
      <c r="O1187" s="1"/>
      <c r="P1187" s="1"/>
      <c r="Q1187" s="1"/>
    </row>
    <row r="1188" spans="1:17" ht="15" customHeight="1" x14ac:dyDescent="0.25">
      <c r="A1188" s="28" t="s">
        <v>5</v>
      </c>
      <c r="B1188" s="28" t="s">
        <v>254</v>
      </c>
      <c r="C1188" s="1">
        <v>1861</v>
      </c>
      <c r="D1188" s="1" t="s">
        <v>2919</v>
      </c>
      <c r="E1188" s="1">
        <v>998</v>
      </c>
      <c r="F1188" s="28">
        <v>60</v>
      </c>
      <c r="G1188" s="1">
        <v>57</v>
      </c>
      <c r="H1188" s="1">
        <v>71</v>
      </c>
      <c r="I1188" s="1">
        <v>68</v>
      </c>
      <c r="J1188" t="str">
        <f t="shared" si="18"/>
        <v>http://www.badatelna.eu/reprodukce/?fondId=241&amp;zaznamId=1133738&amp;reproId=3885706</v>
      </c>
      <c r="K1188">
        <f>IF(LEN(TRIM(E1188))=0,"",VLOOKUP(E1188,Sheet2!$B$1:$E$19,2,FALSE))</f>
        <v>241</v>
      </c>
      <c r="L1188">
        <f>IF(LEN(TRIM(E1188))=0,"",VLOOKUP(E1188,Sheet2!$B$1:$E$19,3,FALSE))</f>
        <v>1133738</v>
      </c>
      <c r="M1188">
        <f>IF(LEN(TRIM(E1188))=0,"",VLOOKUP(E1188,Sheet2!$B$1:$E$19,4,FALSE))+(F1188-1)</f>
        <v>3885706</v>
      </c>
      <c r="N1188" s="1"/>
      <c r="O1188" s="1"/>
      <c r="P1188" s="1"/>
      <c r="Q1188" s="1"/>
    </row>
    <row r="1189" spans="1:17" ht="15" customHeight="1" x14ac:dyDescent="0.25">
      <c r="A1189" s="28" t="s">
        <v>5</v>
      </c>
      <c r="B1189" s="28" t="s">
        <v>54</v>
      </c>
      <c r="C1189" s="6" t="s">
        <v>2294</v>
      </c>
      <c r="D1189" s="1" t="s">
        <v>454</v>
      </c>
      <c r="E1189" s="1">
        <v>2173</v>
      </c>
      <c r="F1189" s="28">
        <v>198</v>
      </c>
      <c r="G1189" s="9">
        <v>5</v>
      </c>
      <c r="H1189" s="1" t="s">
        <v>3073</v>
      </c>
      <c r="I1189" s="1" t="s">
        <v>3073</v>
      </c>
      <c r="J1189" t="str">
        <f t="shared" si="18"/>
        <v>http://www.badatelna.eu/reprodukce/?fondId=1073&amp;zaznamId=1108959&amp;reproId=3780191</v>
      </c>
      <c r="K1189">
        <f>IF(LEN(TRIM(E1189))=0,"",VLOOKUP(E1189,Sheet2!$B$1:$E$19,2,FALSE))</f>
        <v>1073</v>
      </c>
      <c r="L1189">
        <f>IF(LEN(TRIM(E1189))=0,"",VLOOKUP(E1189,Sheet2!$B$1:$E$19,3,FALSE))</f>
        <v>1108959</v>
      </c>
      <c r="M1189">
        <f>IF(LEN(TRIM(E1189))=0,"",VLOOKUP(E1189,Sheet2!$B$1:$E$19,4,FALSE))+(F1189-1)</f>
        <v>3780191</v>
      </c>
      <c r="N1189" s="1"/>
      <c r="O1189" s="1"/>
      <c r="P1189" s="1"/>
      <c r="Q1189" s="1"/>
    </row>
    <row r="1190" spans="1:17" ht="15" customHeight="1" x14ac:dyDescent="0.25">
      <c r="A1190" s="28" t="s">
        <v>5</v>
      </c>
      <c r="B1190" s="28" t="s">
        <v>44</v>
      </c>
      <c r="C1190" s="6" t="s">
        <v>2714</v>
      </c>
      <c r="D1190" s="1" t="s">
        <v>454</v>
      </c>
      <c r="E1190" s="1">
        <v>2173</v>
      </c>
      <c r="F1190" s="28">
        <v>225</v>
      </c>
      <c r="G1190" s="9">
        <v>55</v>
      </c>
      <c r="H1190" s="1" t="s">
        <v>3073</v>
      </c>
      <c r="I1190" s="1" t="s">
        <v>3073</v>
      </c>
      <c r="J1190" t="str">
        <f t="shared" si="18"/>
        <v>http://www.badatelna.eu/reprodukce/?fondId=1073&amp;zaznamId=1108959&amp;reproId=3780218</v>
      </c>
      <c r="K1190">
        <f>IF(LEN(TRIM(E1190))=0,"",VLOOKUP(E1190,Sheet2!$B$1:$E$19,2,FALSE))</f>
        <v>1073</v>
      </c>
      <c r="L1190">
        <f>IF(LEN(TRIM(E1190))=0,"",VLOOKUP(E1190,Sheet2!$B$1:$E$19,3,FALSE))</f>
        <v>1108959</v>
      </c>
      <c r="M1190">
        <f>IF(LEN(TRIM(E1190))=0,"",VLOOKUP(E1190,Sheet2!$B$1:$E$19,4,FALSE))+(F1190-1)</f>
        <v>3780218</v>
      </c>
      <c r="N1190" s="1"/>
      <c r="O1190" s="1"/>
      <c r="P1190" s="1"/>
      <c r="Q1190" s="1"/>
    </row>
    <row r="1191" spans="1:17" ht="15" customHeight="1" x14ac:dyDescent="0.25">
      <c r="A1191" s="28" t="s">
        <v>5</v>
      </c>
      <c r="B1191" s="28" t="s">
        <v>201</v>
      </c>
      <c r="C1191" s="6" t="s">
        <v>2713</v>
      </c>
      <c r="D1191" s="1" t="s">
        <v>454</v>
      </c>
      <c r="E1191" s="1">
        <v>2173</v>
      </c>
      <c r="F1191" s="28">
        <v>225</v>
      </c>
      <c r="G1191" s="9">
        <v>56</v>
      </c>
      <c r="H1191" s="1" t="s">
        <v>3073</v>
      </c>
      <c r="I1191" s="1" t="s">
        <v>3073</v>
      </c>
      <c r="J1191" t="str">
        <f t="shared" si="18"/>
        <v>http://www.badatelna.eu/reprodukce/?fondId=1073&amp;zaznamId=1108959&amp;reproId=3780218</v>
      </c>
      <c r="K1191">
        <f>IF(LEN(TRIM(E1191))=0,"",VLOOKUP(E1191,Sheet2!$B$1:$E$19,2,FALSE))</f>
        <v>1073</v>
      </c>
      <c r="L1191">
        <f>IF(LEN(TRIM(E1191))=0,"",VLOOKUP(E1191,Sheet2!$B$1:$E$19,3,FALSE))</f>
        <v>1108959</v>
      </c>
      <c r="M1191">
        <f>IF(LEN(TRIM(E1191))=0,"",VLOOKUP(E1191,Sheet2!$B$1:$E$19,4,FALSE))+(F1191-1)</f>
        <v>3780218</v>
      </c>
      <c r="N1191" s="1"/>
      <c r="O1191" s="1"/>
      <c r="P1191" s="1"/>
      <c r="Q1191" s="1"/>
    </row>
    <row r="1192" spans="1:17" ht="15" customHeight="1" x14ac:dyDescent="0.25">
      <c r="A1192" s="28" t="s">
        <v>5</v>
      </c>
      <c r="B1192" s="28" t="s">
        <v>6</v>
      </c>
      <c r="C1192" s="6" t="s">
        <v>2230</v>
      </c>
      <c r="D1192" s="1" t="s">
        <v>454</v>
      </c>
      <c r="E1192" s="1">
        <v>2173</v>
      </c>
      <c r="F1192" s="28">
        <v>196</v>
      </c>
      <c r="G1192" s="9">
        <v>1</v>
      </c>
      <c r="H1192" s="1" t="s">
        <v>3073</v>
      </c>
      <c r="I1192" s="1" t="s">
        <v>3073</v>
      </c>
      <c r="J1192" t="str">
        <f t="shared" si="18"/>
        <v>http://www.badatelna.eu/reprodukce/?fondId=1073&amp;zaznamId=1108959&amp;reproId=3780189</v>
      </c>
      <c r="K1192">
        <f>IF(LEN(TRIM(E1192))=0,"",VLOOKUP(E1192,Sheet2!$B$1:$E$19,2,FALSE))</f>
        <v>1073</v>
      </c>
      <c r="L1192">
        <f>IF(LEN(TRIM(E1192))=0,"",VLOOKUP(E1192,Sheet2!$B$1:$E$19,3,FALSE))</f>
        <v>1108959</v>
      </c>
      <c r="M1192">
        <f>IF(LEN(TRIM(E1192))=0,"",VLOOKUP(E1192,Sheet2!$B$1:$E$19,4,FALSE))+(F1192-1)</f>
        <v>3780189</v>
      </c>
    </row>
    <row r="1193" spans="1:17" ht="15" customHeight="1" x14ac:dyDescent="0.25">
      <c r="A1193" s="28" t="s">
        <v>299</v>
      </c>
      <c r="B1193" s="28" t="s">
        <v>528</v>
      </c>
      <c r="C1193" s="1">
        <v>1860</v>
      </c>
      <c r="D1193" s="1" t="s">
        <v>2919</v>
      </c>
      <c r="E1193" s="1">
        <v>998</v>
      </c>
      <c r="F1193" s="28">
        <v>59</v>
      </c>
      <c r="G1193" s="1">
        <v>56</v>
      </c>
      <c r="H1193" s="1">
        <v>71</v>
      </c>
      <c r="I1193" s="1">
        <v>68</v>
      </c>
      <c r="J1193" t="str">
        <f t="shared" si="18"/>
        <v>http://www.badatelna.eu/reprodukce/?fondId=241&amp;zaznamId=1133738&amp;reproId=3885705</v>
      </c>
      <c r="K1193">
        <f>IF(LEN(TRIM(E1193))=0,"",VLOOKUP(E1193,Sheet2!$B$1:$E$19,2,FALSE))</f>
        <v>241</v>
      </c>
      <c r="L1193">
        <f>IF(LEN(TRIM(E1193))=0,"",VLOOKUP(E1193,Sheet2!$B$1:$E$19,3,FALSE))</f>
        <v>1133738</v>
      </c>
      <c r="M1193">
        <f>IF(LEN(TRIM(E1193))=0,"",VLOOKUP(E1193,Sheet2!$B$1:$E$19,4,FALSE))+(F1193-1)</f>
        <v>3885705</v>
      </c>
    </row>
    <row r="1194" spans="1:17" ht="15" customHeight="1" x14ac:dyDescent="0.25">
      <c r="A1194" s="28" t="s">
        <v>299</v>
      </c>
      <c r="B1194" s="28" t="s">
        <v>560</v>
      </c>
      <c r="C1194" s="1">
        <v>1860</v>
      </c>
      <c r="D1194" s="1" t="s">
        <v>2919</v>
      </c>
      <c r="E1194" s="1">
        <v>998</v>
      </c>
      <c r="F1194" s="28">
        <v>59</v>
      </c>
      <c r="G1194" s="1">
        <v>56</v>
      </c>
      <c r="H1194" s="1">
        <v>71</v>
      </c>
      <c r="I1194" s="1">
        <v>68</v>
      </c>
      <c r="J1194" t="str">
        <f t="shared" si="18"/>
        <v>http://www.badatelna.eu/reprodukce/?fondId=241&amp;zaznamId=1133738&amp;reproId=3885705</v>
      </c>
      <c r="K1194">
        <f>IF(LEN(TRIM(E1194))=0,"",VLOOKUP(E1194,Sheet2!$B$1:$E$19,2,FALSE))</f>
        <v>241</v>
      </c>
      <c r="L1194">
        <f>IF(LEN(TRIM(E1194))=0,"",VLOOKUP(E1194,Sheet2!$B$1:$E$19,3,FALSE))</f>
        <v>1133738</v>
      </c>
      <c r="M1194">
        <f>IF(LEN(TRIM(E1194))=0,"",VLOOKUP(E1194,Sheet2!$B$1:$E$19,4,FALSE))+(F1194-1)</f>
        <v>3885705</v>
      </c>
    </row>
    <row r="1195" spans="1:17" ht="15" customHeight="1" x14ac:dyDescent="0.25">
      <c r="A1195" s="28" t="s">
        <v>299</v>
      </c>
      <c r="B1195" s="28" t="s">
        <v>40</v>
      </c>
      <c r="C1195" s="6" t="s">
        <v>1992</v>
      </c>
      <c r="D1195" s="1" t="s">
        <v>454</v>
      </c>
      <c r="E1195" s="1">
        <v>2173</v>
      </c>
      <c r="F1195" s="28">
        <v>179</v>
      </c>
      <c r="G1195" s="9">
        <v>6</v>
      </c>
      <c r="H1195" s="1">
        <v>189</v>
      </c>
      <c r="I1195" s="1">
        <v>420</v>
      </c>
      <c r="J1195" t="str">
        <f t="shared" si="18"/>
        <v>http://www.badatelna.eu/reprodukce/?fondId=1073&amp;zaznamId=1108959&amp;reproId=3780172</v>
      </c>
      <c r="K1195">
        <f>IF(LEN(TRIM(E1195))=0,"",VLOOKUP(E1195,Sheet2!$B$1:$E$19,2,FALSE))</f>
        <v>1073</v>
      </c>
      <c r="L1195">
        <f>IF(LEN(TRIM(E1195))=0,"",VLOOKUP(E1195,Sheet2!$B$1:$E$19,3,FALSE))</f>
        <v>1108959</v>
      </c>
      <c r="M1195">
        <f>IF(LEN(TRIM(E1195))=0,"",VLOOKUP(E1195,Sheet2!$B$1:$E$19,4,FALSE))+(F1195-1)</f>
        <v>3780172</v>
      </c>
    </row>
    <row r="1196" spans="1:17" ht="15" customHeight="1" x14ac:dyDescent="0.25">
      <c r="A1196" s="28" t="s">
        <v>299</v>
      </c>
      <c r="B1196" s="28" t="s">
        <v>309</v>
      </c>
      <c r="C1196" s="6" t="s">
        <v>2078</v>
      </c>
      <c r="D1196" s="1" t="s">
        <v>454</v>
      </c>
      <c r="E1196" s="1">
        <v>2173</v>
      </c>
      <c r="F1196" s="28">
        <v>183</v>
      </c>
      <c r="G1196" s="9">
        <v>13</v>
      </c>
      <c r="H1196" s="1">
        <v>189</v>
      </c>
      <c r="I1196" s="1">
        <v>420</v>
      </c>
      <c r="J1196" t="str">
        <f t="shared" si="18"/>
        <v>http://www.badatelna.eu/reprodukce/?fondId=1073&amp;zaznamId=1108959&amp;reproId=3780176</v>
      </c>
      <c r="K1196">
        <f>IF(LEN(TRIM(E1196))=0,"",VLOOKUP(E1196,Sheet2!$B$1:$E$19,2,FALSE))</f>
        <v>1073</v>
      </c>
      <c r="L1196">
        <f>IF(LEN(TRIM(E1196))=0,"",VLOOKUP(E1196,Sheet2!$B$1:$E$19,3,FALSE))</f>
        <v>1108959</v>
      </c>
      <c r="M1196">
        <f>IF(LEN(TRIM(E1196))=0,"",VLOOKUP(E1196,Sheet2!$B$1:$E$19,4,FALSE))+(F1196-1)</f>
        <v>3780176</v>
      </c>
      <c r="N1196" s="1"/>
      <c r="O1196" s="1"/>
      <c r="P1196" s="1"/>
      <c r="Q1196" s="1"/>
    </row>
    <row r="1197" spans="1:17" ht="15" customHeight="1" x14ac:dyDescent="0.25">
      <c r="A1197" s="28" t="s">
        <v>299</v>
      </c>
      <c r="B1197" s="28" t="s">
        <v>80</v>
      </c>
      <c r="C1197" s="6" t="s">
        <v>2081</v>
      </c>
      <c r="D1197" s="1" t="s">
        <v>454</v>
      </c>
      <c r="E1197" s="1">
        <v>2173</v>
      </c>
      <c r="F1197" s="28">
        <v>209</v>
      </c>
      <c r="G1197" s="9" t="s">
        <v>2758</v>
      </c>
      <c r="H1197" s="1" t="s">
        <v>3073</v>
      </c>
      <c r="I1197" s="1" t="s">
        <v>3073</v>
      </c>
      <c r="J1197" t="str">
        <f t="shared" si="18"/>
        <v>http://www.badatelna.eu/reprodukce/?fondId=1073&amp;zaznamId=1108959&amp;reproId=3780202</v>
      </c>
      <c r="K1197">
        <f>IF(LEN(TRIM(E1197))=0,"",VLOOKUP(E1197,Sheet2!$B$1:$E$19,2,FALSE))</f>
        <v>1073</v>
      </c>
      <c r="L1197">
        <f>IF(LEN(TRIM(E1197))=0,"",VLOOKUP(E1197,Sheet2!$B$1:$E$19,3,FALSE))</f>
        <v>1108959</v>
      </c>
      <c r="M1197">
        <f>IF(LEN(TRIM(E1197))=0,"",VLOOKUP(E1197,Sheet2!$B$1:$E$19,4,FALSE))+(F1197-1)</f>
        <v>3780202</v>
      </c>
      <c r="N1197" s="1"/>
      <c r="O1197" s="1"/>
      <c r="P1197" s="1"/>
      <c r="Q1197" s="1"/>
    </row>
    <row r="1198" spans="1:17" ht="15" customHeight="1" x14ac:dyDescent="0.25">
      <c r="A1198" s="28" t="s">
        <v>299</v>
      </c>
      <c r="B1198" s="28" t="s">
        <v>746</v>
      </c>
      <c r="C1198" s="1">
        <v>1891</v>
      </c>
      <c r="D1198" s="1" t="s">
        <v>454</v>
      </c>
      <c r="E1198" s="1">
        <v>2172</v>
      </c>
      <c r="F1198" s="28">
        <v>80</v>
      </c>
      <c r="G1198" s="9">
        <v>79</v>
      </c>
      <c r="H1198" s="1">
        <v>83</v>
      </c>
      <c r="I1198" s="1">
        <v>82</v>
      </c>
      <c r="J1198" t="str">
        <f t="shared" si="18"/>
        <v>http://www.badatelna.eu/reprodukce/?fondId=1073&amp;zaznamId=1108958&amp;reproId=3779821</v>
      </c>
      <c r="K1198">
        <f>IF(LEN(TRIM(E1198))=0,"",VLOOKUP(E1198,Sheet2!$B$1:$E$19,2,FALSE))</f>
        <v>1073</v>
      </c>
      <c r="L1198">
        <f>IF(LEN(TRIM(E1198))=0,"",VLOOKUP(E1198,Sheet2!$B$1:$E$19,3,FALSE))</f>
        <v>1108958</v>
      </c>
      <c r="M1198">
        <f>IF(LEN(TRIM(E1198))=0,"",VLOOKUP(E1198,Sheet2!$B$1:$E$19,4,FALSE))+(F1198-1)</f>
        <v>3779821</v>
      </c>
      <c r="N1198" s="1"/>
      <c r="O1198" s="1"/>
      <c r="P1198" s="1"/>
      <c r="Q1198" s="1"/>
    </row>
    <row r="1199" spans="1:17" ht="15" customHeight="1" x14ac:dyDescent="0.25">
      <c r="A1199" s="29" t="s">
        <v>299</v>
      </c>
      <c r="B1199" s="28"/>
      <c r="C1199" s="6" t="s">
        <v>2351</v>
      </c>
      <c r="D1199" s="1" t="s">
        <v>454</v>
      </c>
      <c r="E1199" s="1">
        <v>2173</v>
      </c>
      <c r="F1199" s="28">
        <v>200</v>
      </c>
      <c r="G1199" s="9">
        <v>10</v>
      </c>
      <c r="H1199" s="1" t="s">
        <v>3073</v>
      </c>
      <c r="I1199" s="1" t="s">
        <v>3073</v>
      </c>
      <c r="J1199" t="str">
        <f t="shared" si="18"/>
        <v>http://www.badatelna.eu/reprodukce/?fondId=1073&amp;zaznamId=1108959&amp;reproId=3780193</v>
      </c>
      <c r="K1199">
        <f>IF(LEN(TRIM(E1199))=0,"",VLOOKUP(E1199,Sheet2!$B$1:$E$19,2,FALSE))</f>
        <v>1073</v>
      </c>
      <c r="L1199">
        <f>IF(LEN(TRIM(E1199))=0,"",VLOOKUP(E1199,Sheet2!$B$1:$E$19,3,FALSE))</f>
        <v>1108959</v>
      </c>
      <c r="M1199">
        <f>IF(LEN(TRIM(E1199))=0,"",VLOOKUP(E1199,Sheet2!$B$1:$E$19,4,FALSE))+(F1199-1)</f>
        <v>3780193</v>
      </c>
      <c r="N1199" s="1"/>
      <c r="O1199" s="1"/>
      <c r="P1199" s="1"/>
      <c r="Q1199" s="1"/>
    </row>
    <row r="1200" spans="1:17" ht="15" customHeight="1" x14ac:dyDescent="0.25">
      <c r="A1200" s="28" t="s">
        <v>224</v>
      </c>
      <c r="B1200" s="28" t="s">
        <v>33</v>
      </c>
      <c r="C1200" s="6" t="s">
        <v>2511</v>
      </c>
      <c r="D1200" s="1" t="s">
        <v>454</v>
      </c>
      <c r="E1200" s="1">
        <v>2173</v>
      </c>
      <c r="F1200" s="28">
        <v>206</v>
      </c>
      <c r="G1200" s="1">
        <v>22</v>
      </c>
      <c r="H1200" s="1" t="s">
        <v>3073</v>
      </c>
      <c r="I1200" s="1" t="s">
        <v>3073</v>
      </c>
      <c r="J1200" t="str">
        <f t="shared" si="18"/>
        <v>http://www.badatelna.eu/reprodukce/?fondId=1073&amp;zaznamId=1108959&amp;reproId=3780199</v>
      </c>
      <c r="K1200">
        <f>IF(LEN(TRIM(E1200))=0,"",VLOOKUP(E1200,Sheet2!$B$1:$E$19,2,FALSE))</f>
        <v>1073</v>
      </c>
      <c r="L1200">
        <f>IF(LEN(TRIM(E1200))=0,"",VLOOKUP(E1200,Sheet2!$B$1:$E$19,3,FALSE))</f>
        <v>1108959</v>
      </c>
      <c r="M1200">
        <f>IF(LEN(TRIM(E1200))=0,"",VLOOKUP(E1200,Sheet2!$B$1:$E$19,4,FALSE))+(F1200-1)</f>
        <v>3780199</v>
      </c>
      <c r="N1200" s="1"/>
      <c r="O1200" s="1"/>
      <c r="P1200" s="1"/>
      <c r="Q1200" s="1"/>
    </row>
    <row r="1201" spans="1:17" ht="15" customHeight="1" x14ac:dyDescent="0.25">
      <c r="A1201" s="28"/>
      <c r="B1201" s="28"/>
      <c r="C1201" s="38" t="s">
        <v>3121</v>
      </c>
      <c r="D1201" s="1"/>
      <c r="E1201" s="1"/>
      <c r="F1201" s="28"/>
      <c r="G1201" s="1"/>
      <c r="H1201" s="1"/>
      <c r="I1201" s="1"/>
      <c r="J1201" t="str">
        <f t="shared" si="18"/>
        <v/>
      </c>
      <c r="K1201" t="str">
        <f>IF(LEN(TRIM(E1201))=0,"",VLOOKUP(E1201,Sheet2!$B$1:$E$19,2,FALSE))</f>
        <v/>
      </c>
      <c r="L1201" t="str">
        <f>IF(LEN(TRIM(E1201))=0,"",VLOOKUP(E1201,Sheet2!$B$1:$E$19,3,FALSE))</f>
        <v/>
      </c>
      <c r="M1201" t="e">
        <f>IF(LEN(TRIM(E1201))=0,"",VLOOKUP(E1201,Sheet2!$B$1:$E$19,4,FALSE))+(F1201-1)</f>
        <v>#VALUE!</v>
      </c>
      <c r="N1201" s="1"/>
      <c r="O1201" s="1"/>
      <c r="P1201" s="1"/>
      <c r="Q1201" s="1"/>
    </row>
    <row r="1202" spans="1:17" ht="15" customHeight="1" x14ac:dyDescent="0.25">
      <c r="A1202" s="28" t="s">
        <v>392</v>
      </c>
      <c r="B1202" s="28" t="s">
        <v>155</v>
      </c>
      <c r="C1202" s="1">
        <v>1866</v>
      </c>
      <c r="D1202" s="1" t="s">
        <v>2919</v>
      </c>
      <c r="E1202" s="1">
        <v>999</v>
      </c>
      <c r="F1202" s="28">
        <v>90</v>
      </c>
      <c r="G1202" s="1">
        <v>11</v>
      </c>
      <c r="H1202" s="1">
        <v>102</v>
      </c>
      <c r="I1202" s="1">
        <v>161</v>
      </c>
      <c r="J1202" t="str">
        <f t="shared" si="18"/>
        <v>http://www.badatelna.eu/reprodukce/?fondId=241&amp;zaznamId=1133739&amp;reproId=3885819</v>
      </c>
      <c r="K1202">
        <f>IF(LEN(TRIM(E1202))=0,"",VLOOKUP(E1202,Sheet2!$B$1:$E$19,2,FALSE))</f>
        <v>241</v>
      </c>
      <c r="L1202">
        <f>IF(LEN(TRIM(E1202))=0,"",VLOOKUP(E1202,Sheet2!$B$1:$E$19,3,FALSE))</f>
        <v>1133739</v>
      </c>
      <c r="M1202">
        <f>IF(LEN(TRIM(E1202))=0,"",VLOOKUP(E1202,Sheet2!$B$1:$E$19,4,FALSE))+(F1202-1)</f>
        <v>3885819</v>
      </c>
      <c r="N1202" s="1"/>
      <c r="O1202" s="1"/>
      <c r="P1202" s="1"/>
      <c r="Q1202" s="1"/>
    </row>
    <row r="1203" spans="1:17" ht="15" customHeight="1" x14ac:dyDescent="0.25">
      <c r="A1203" s="28" t="s">
        <v>392</v>
      </c>
      <c r="B1203" s="28" t="s">
        <v>155</v>
      </c>
      <c r="C1203" s="1">
        <v>1866</v>
      </c>
      <c r="D1203" s="1" t="s">
        <v>2919</v>
      </c>
      <c r="E1203" s="1">
        <v>999</v>
      </c>
      <c r="F1203" s="28">
        <v>90</v>
      </c>
      <c r="G1203" s="1">
        <v>11</v>
      </c>
      <c r="H1203" s="1">
        <v>102</v>
      </c>
      <c r="I1203" s="1">
        <v>161</v>
      </c>
      <c r="J1203" t="str">
        <f t="shared" si="18"/>
        <v>http://www.badatelna.eu/reprodukce/?fondId=241&amp;zaznamId=1133739&amp;reproId=3885819</v>
      </c>
      <c r="K1203">
        <f>IF(LEN(TRIM(E1203))=0,"",VLOOKUP(E1203,Sheet2!$B$1:$E$19,2,FALSE))</f>
        <v>241</v>
      </c>
      <c r="L1203">
        <f>IF(LEN(TRIM(E1203))=0,"",VLOOKUP(E1203,Sheet2!$B$1:$E$19,3,FALSE))</f>
        <v>1133739</v>
      </c>
      <c r="M1203">
        <f>IF(LEN(TRIM(E1203))=0,"",VLOOKUP(E1203,Sheet2!$B$1:$E$19,4,FALSE))+(F1203-1)</f>
        <v>3885819</v>
      </c>
      <c r="N1203" s="1"/>
      <c r="O1203" s="1"/>
      <c r="P1203" s="1"/>
      <c r="Q1203" s="1"/>
    </row>
    <row r="1204" spans="1:17" ht="15" customHeight="1" x14ac:dyDescent="0.25">
      <c r="A1204" s="28" t="s">
        <v>392</v>
      </c>
      <c r="B1204" s="28" t="s">
        <v>155</v>
      </c>
      <c r="C1204" s="6" t="s">
        <v>2872</v>
      </c>
      <c r="D1204" s="1" t="s">
        <v>454</v>
      </c>
      <c r="E1204" s="1">
        <v>2173</v>
      </c>
      <c r="F1204" s="28">
        <v>210</v>
      </c>
      <c r="G1204" s="9" t="s">
        <v>2874</v>
      </c>
      <c r="H1204" s="1" t="s">
        <v>3073</v>
      </c>
      <c r="I1204" s="1" t="s">
        <v>3073</v>
      </c>
      <c r="J1204" t="str">
        <f t="shared" si="18"/>
        <v>http://www.badatelna.eu/reprodukce/?fondId=1073&amp;zaznamId=1108959&amp;reproId=3780203</v>
      </c>
      <c r="K1204">
        <f>IF(LEN(TRIM(E1204))=0,"",VLOOKUP(E1204,Sheet2!$B$1:$E$19,2,FALSE))</f>
        <v>1073</v>
      </c>
      <c r="L1204">
        <f>IF(LEN(TRIM(E1204))=0,"",VLOOKUP(E1204,Sheet2!$B$1:$E$19,3,FALSE))</f>
        <v>1108959</v>
      </c>
      <c r="M1204">
        <f>IF(LEN(TRIM(E1204))=0,"",VLOOKUP(E1204,Sheet2!$B$1:$E$19,4,FALSE))+(F1204-1)</f>
        <v>3780203</v>
      </c>
      <c r="N1204" s="1"/>
      <c r="O1204" s="1"/>
      <c r="P1204" s="1"/>
      <c r="Q1204" s="1"/>
    </row>
    <row r="1205" spans="1:17" ht="15" customHeight="1" x14ac:dyDescent="0.25">
      <c r="A1205" s="28" t="s">
        <v>392</v>
      </c>
      <c r="B1205" s="28" t="s">
        <v>155</v>
      </c>
      <c r="C1205" s="6" t="s">
        <v>2872</v>
      </c>
      <c r="D1205" s="1" t="s">
        <v>454</v>
      </c>
      <c r="E1205" s="1">
        <v>2173</v>
      </c>
      <c r="F1205" s="28">
        <v>210</v>
      </c>
      <c r="G1205" s="9" t="s">
        <v>2874</v>
      </c>
      <c r="H1205" s="1" t="s">
        <v>3073</v>
      </c>
      <c r="I1205" s="1" t="s">
        <v>3073</v>
      </c>
      <c r="J1205" t="str">
        <f t="shared" si="18"/>
        <v>http://www.badatelna.eu/reprodukce/?fondId=1073&amp;zaznamId=1108959&amp;reproId=3780203</v>
      </c>
      <c r="K1205">
        <f>IF(LEN(TRIM(E1205))=0,"",VLOOKUP(E1205,Sheet2!$B$1:$E$19,2,FALSE))</f>
        <v>1073</v>
      </c>
      <c r="L1205">
        <f>IF(LEN(TRIM(E1205))=0,"",VLOOKUP(E1205,Sheet2!$B$1:$E$19,3,FALSE))</f>
        <v>1108959</v>
      </c>
      <c r="M1205">
        <f>IF(LEN(TRIM(E1205))=0,"",VLOOKUP(E1205,Sheet2!$B$1:$E$19,4,FALSE))+(F1205-1)</f>
        <v>3780203</v>
      </c>
      <c r="N1205" s="1"/>
      <c r="O1205" s="1"/>
      <c r="P1205" s="1"/>
      <c r="Q1205" s="1"/>
    </row>
    <row r="1206" spans="1:17" ht="15" customHeight="1" x14ac:dyDescent="0.25">
      <c r="A1206" s="28" t="s">
        <v>392</v>
      </c>
      <c r="B1206" s="28" t="s">
        <v>19</v>
      </c>
      <c r="C1206" s="6" t="s">
        <v>2089</v>
      </c>
      <c r="D1206" s="1" t="s">
        <v>454</v>
      </c>
      <c r="E1206" s="1">
        <v>2173</v>
      </c>
      <c r="F1206" s="28">
        <v>211</v>
      </c>
      <c r="G1206" s="9" t="s">
        <v>2881</v>
      </c>
      <c r="H1206" s="1" t="s">
        <v>3073</v>
      </c>
      <c r="I1206" s="1" t="s">
        <v>3073</v>
      </c>
      <c r="J1206" t="str">
        <f t="shared" si="18"/>
        <v>http://www.badatelna.eu/reprodukce/?fondId=1073&amp;zaznamId=1108959&amp;reproId=3780204</v>
      </c>
      <c r="K1206">
        <f>IF(LEN(TRIM(E1206))=0,"",VLOOKUP(E1206,Sheet2!$B$1:$E$19,2,FALSE))</f>
        <v>1073</v>
      </c>
      <c r="L1206">
        <f>IF(LEN(TRIM(E1206))=0,"",VLOOKUP(E1206,Sheet2!$B$1:$E$19,3,FALSE))</f>
        <v>1108959</v>
      </c>
      <c r="M1206">
        <f>IF(LEN(TRIM(E1206))=0,"",VLOOKUP(E1206,Sheet2!$B$1:$E$19,4,FALSE))+(F1206-1)</f>
        <v>3780204</v>
      </c>
      <c r="N1206" s="1"/>
      <c r="O1206" s="1"/>
      <c r="P1206" s="1"/>
      <c r="Q1206" s="1"/>
    </row>
    <row r="1207" spans="1:17" ht="15" customHeight="1" x14ac:dyDescent="0.25">
      <c r="A1207" s="28" t="s">
        <v>392</v>
      </c>
      <c r="B1207" s="28" t="s">
        <v>19</v>
      </c>
      <c r="C1207" s="6" t="s">
        <v>2089</v>
      </c>
      <c r="D1207" s="1" t="s">
        <v>454</v>
      </c>
      <c r="E1207" s="1">
        <v>2173</v>
      </c>
      <c r="F1207" s="28">
        <v>211</v>
      </c>
      <c r="G1207" s="9" t="s">
        <v>2881</v>
      </c>
      <c r="H1207" s="1" t="s">
        <v>3073</v>
      </c>
      <c r="I1207" s="1" t="s">
        <v>3073</v>
      </c>
      <c r="J1207" t="str">
        <f t="shared" si="18"/>
        <v>http://www.badatelna.eu/reprodukce/?fondId=1073&amp;zaznamId=1108959&amp;reproId=3780204</v>
      </c>
      <c r="K1207">
        <f>IF(LEN(TRIM(E1207))=0,"",VLOOKUP(E1207,Sheet2!$B$1:$E$19,2,FALSE))</f>
        <v>1073</v>
      </c>
      <c r="L1207">
        <f>IF(LEN(TRIM(E1207))=0,"",VLOOKUP(E1207,Sheet2!$B$1:$E$19,3,FALSE))</f>
        <v>1108959</v>
      </c>
      <c r="M1207">
        <f>IF(LEN(TRIM(E1207))=0,"",VLOOKUP(E1207,Sheet2!$B$1:$E$19,4,FALSE))+(F1207-1)</f>
        <v>3780204</v>
      </c>
    </row>
    <row r="1208" spans="1:17" ht="15" customHeight="1" x14ac:dyDescent="0.25">
      <c r="A1208" s="28" t="s">
        <v>392</v>
      </c>
      <c r="B1208" s="28" t="s">
        <v>631</v>
      </c>
      <c r="C1208" s="1">
        <v>1866</v>
      </c>
      <c r="D1208" s="1" t="s">
        <v>2919</v>
      </c>
      <c r="E1208" s="1">
        <v>999</v>
      </c>
      <c r="F1208" s="28">
        <v>92</v>
      </c>
      <c r="G1208" s="1">
        <v>13</v>
      </c>
      <c r="H1208" s="1">
        <v>102</v>
      </c>
      <c r="I1208" s="1">
        <v>161</v>
      </c>
      <c r="J1208" t="str">
        <f t="shared" si="18"/>
        <v>http://www.badatelna.eu/reprodukce/?fondId=241&amp;zaznamId=1133739&amp;reproId=3885821</v>
      </c>
      <c r="K1208">
        <f>IF(LEN(TRIM(E1208))=0,"",VLOOKUP(E1208,Sheet2!$B$1:$E$19,2,FALSE))</f>
        <v>241</v>
      </c>
      <c r="L1208">
        <f>IF(LEN(TRIM(E1208))=0,"",VLOOKUP(E1208,Sheet2!$B$1:$E$19,3,FALSE))</f>
        <v>1133739</v>
      </c>
      <c r="M1208">
        <f>IF(LEN(TRIM(E1208))=0,"",VLOOKUP(E1208,Sheet2!$B$1:$E$19,4,FALSE))+(F1208-1)</f>
        <v>3885821</v>
      </c>
      <c r="N1208" s="1"/>
      <c r="O1208" s="1"/>
      <c r="P1208" s="1"/>
      <c r="Q1208" s="1"/>
    </row>
    <row r="1209" spans="1:17" ht="15" customHeight="1" x14ac:dyDescent="0.25">
      <c r="A1209" s="28" t="s">
        <v>392</v>
      </c>
      <c r="B1209" s="28" t="s">
        <v>631</v>
      </c>
      <c r="C1209" s="1">
        <v>1866</v>
      </c>
      <c r="D1209" s="1" t="s">
        <v>2919</v>
      </c>
      <c r="E1209" s="1">
        <v>999</v>
      </c>
      <c r="F1209" s="28">
        <v>92</v>
      </c>
      <c r="G1209" s="1">
        <v>13</v>
      </c>
      <c r="H1209" s="1">
        <v>102</v>
      </c>
      <c r="I1209" s="1">
        <v>161</v>
      </c>
      <c r="J1209" t="str">
        <f t="shared" si="18"/>
        <v>http://www.badatelna.eu/reprodukce/?fondId=241&amp;zaznamId=1133739&amp;reproId=3885821</v>
      </c>
      <c r="K1209">
        <f>IF(LEN(TRIM(E1209))=0,"",VLOOKUP(E1209,Sheet2!$B$1:$E$19,2,FALSE))</f>
        <v>241</v>
      </c>
      <c r="L1209">
        <f>IF(LEN(TRIM(E1209))=0,"",VLOOKUP(E1209,Sheet2!$B$1:$E$19,3,FALSE))</f>
        <v>1133739</v>
      </c>
      <c r="M1209">
        <f>IF(LEN(TRIM(E1209))=0,"",VLOOKUP(E1209,Sheet2!$B$1:$E$19,4,FALSE))+(F1209-1)</f>
        <v>3885821</v>
      </c>
      <c r="N1209" s="1"/>
      <c r="O1209" s="1"/>
      <c r="P1209" s="1"/>
      <c r="Q1209" s="1"/>
    </row>
    <row r="1210" spans="1:17" ht="15" customHeight="1" x14ac:dyDescent="0.25">
      <c r="A1210" s="27" t="s">
        <v>392</v>
      </c>
      <c r="B1210" s="27" t="s">
        <v>340</v>
      </c>
      <c r="C1210" s="5" t="s">
        <v>1210</v>
      </c>
      <c r="D1210" s="3" t="s">
        <v>454</v>
      </c>
      <c r="E1210" s="3">
        <v>2170</v>
      </c>
      <c r="F1210" s="28">
        <v>20</v>
      </c>
      <c r="G1210" s="10">
        <v>16</v>
      </c>
      <c r="H1210" s="3">
        <v>63</v>
      </c>
      <c r="I1210" s="3">
        <v>59</v>
      </c>
      <c r="J1210" t="str">
        <f t="shared" si="18"/>
        <v>http://www.badatelna.eu/reprodukce/?fondId=1073&amp;zaznamId=1108956&amp;reproId=3779612</v>
      </c>
      <c r="K1210">
        <f>IF(LEN(TRIM(E1210))=0,"",VLOOKUP(E1210,Sheet2!$B$1:$E$19,2,FALSE))</f>
        <v>1073</v>
      </c>
      <c r="L1210">
        <f>IF(LEN(TRIM(E1210))=0,"",VLOOKUP(E1210,Sheet2!$B$1:$E$19,3,FALSE))</f>
        <v>1108956</v>
      </c>
      <c r="M1210">
        <f>IF(LEN(TRIM(E1210))=0,"",VLOOKUP(E1210,Sheet2!$B$1:$E$19,4,FALSE))+(F1210-1)</f>
        <v>3779612</v>
      </c>
    </row>
    <row r="1211" spans="1:17" ht="15" customHeight="1" x14ac:dyDescent="0.25">
      <c r="A1211" s="27" t="s">
        <v>392</v>
      </c>
      <c r="B1211" s="27" t="s">
        <v>340</v>
      </c>
      <c r="C1211" s="5" t="s">
        <v>1210</v>
      </c>
      <c r="D1211" s="3" t="s">
        <v>454</v>
      </c>
      <c r="E1211" s="3">
        <v>2170</v>
      </c>
      <c r="F1211" s="28">
        <v>20</v>
      </c>
      <c r="G1211" s="10">
        <v>16</v>
      </c>
      <c r="H1211" s="3">
        <v>63</v>
      </c>
      <c r="I1211" s="3">
        <v>59</v>
      </c>
      <c r="J1211" t="str">
        <f t="shared" si="18"/>
        <v>http://www.badatelna.eu/reprodukce/?fondId=1073&amp;zaznamId=1108956&amp;reproId=3779612</v>
      </c>
      <c r="K1211">
        <f>IF(LEN(TRIM(E1211))=0,"",VLOOKUP(E1211,Sheet2!$B$1:$E$19,2,FALSE))</f>
        <v>1073</v>
      </c>
      <c r="L1211">
        <f>IF(LEN(TRIM(E1211))=0,"",VLOOKUP(E1211,Sheet2!$B$1:$E$19,3,FALSE))</f>
        <v>1108956</v>
      </c>
      <c r="M1211">
        <f>IF(LEN(TRIM(E1211))=0,"",VLOOKUP(E1211,Sheet2!$B$1:$E$19,4,FALSE))+(F1211-1)</f>
        <v>3779612</v>
      </c>
    </row>
    <row r="1212" spans="1:17" ht="15" customHeight="1" x14ac:dyDescent="0.25">
      <c r="A1212" s="29" t="s">
        <v>392</v>
      </c>
      <c r="B1212" s="28" t="s">
        <v>22</v>
      </c>
      <c r="C1212" s="6" t="s">
        <v>2350</v>
      </c>
      <c r="D1212" s="1" t="s">
        <v>454</v>
      </c>
      <c r="E1212" s="1">
        <v>2173</v>
      </c>
      <c r="F1212" s="28">
        <v>200</v>
      </c>
      <c r="G1212" s="9">
        <v>10</v>
      </c>
      <c r="H1212" s="1" t="s">
        <v>3073</v>
      </c>
      <c r="I1212" s="1" t="s">
        <v>3073</v>
      </c>
      <c r="J1212" t="str">
        <f t="shared" si="18"/>
        <v>http://www.badatelna.eu/reprodukce/?fondId=1073&amp;zaznamId=1108959&amp;reproId=3780193</v>
      </c>
      <c r="K1212">
        <f>IF(LEN(TRIM(E1212))=0,"",VLOOKUP(E1212,Sheet2!$B$1:$E$19,2,FALSE))</f>
        <v>1073</v>
      </c>
      <c r="L1212">
        <f>IF(LEN(TRIM(E1212))=0,"",VLOOKUP(E1212,Sheet2!$B$1:$E$19,3,FALSE))</f>
        <v>1108959</v>
      </c>
      <c r="M1212">
        <f>IF(LEN(TRIM(E1212))=0,"",VLOOKUP(E1212,Sheet2!$B$1:$E$19,4,FALSE))+(F1212-1)</f>
        <v>3780193</v>
      </c>
    </row>
    <row r="1213" spans="1:17" ht="15" customHeight="1" x14ac:dyDescent="0.25">
      <c r="A1213" s="29" t="s">
        <v>392</v>
      </c>
      <c r="B1213" s="28" t="s">
        <v>22</v>
      </c>
      <c r="C1213" s="6" t="s">
        <v>2350</v>
      </c>
      <c r="D1213" s="1" t="s">
        <v>454</v>
      </c>
      <c r="E1213" s="1">
        <v>2173</v>
      </c>
      <c r="F1213" s="28">
        <v>200</v>
      </c>
      <c r="G1213" s="9">
        <v>10</v>
      </c>
      <c r="H1213" s="1" t="s">
        <v>3073</v>
      </c>
      <c r="I1213" s="1" t="s">
        <v>3073</v>
      </c>
      <c r="J1213" t="str">
        <f t="shared" si="18"/>
        <v>http://www.badatelna.eu/reprodukce/?fondId=1073&amp;zaznamId=1108959&amp;reproId=3780193</v>
      </c>
      <c r="K1213">
        <f>IF(LEN(TRIM(E1213))=0,"",VLOOKUP(E1213,Sheet2!$B$1:$E$19,2,FALSE))</f>
        <v>1073</v>
      </c>
      <c r="L1213">
        <f>IF(LEN(TRIM(E1213))=0,"",VLOOKUP(E1213,Sheet2!$B$1:$E$19,3,FALSE))</f>
        <v>1108959</v>
      </c>
      <c r="M1213">
        <f>IF(LEN(TRIM(E1213))=0,"",VLOOKUP(E1213,Sheet2!$B$1:$E$19,4,FALSE))+(F1213-1)</f>
        <v>3780193</v>
      </c>
    </row>
    <row r="1214" spans="1:17" ht="15" customHeight="1" x14ac:dyDescent="0.25">
      <c r="A1214" s="28" t="s">
        <v>392</v>
      </c>
      <c r="B1214" s="28" t="s">
        <v>106</v>
      </c>
      <c r="C1214" s="6" t="s">
        <v>2580</v>
      </c>
      <c r="D1214" s="1" t="s">
        <v>454</v>
      </c>
      <c r="E1214" s="1">
        <v>2173</v>
      </c>
      <c r="F1214" s="28">
        <v>214</v>
      </c>
      <c r="G1214" s="9">
        <v>37</v>
      </c>
      <c r="H1214" s="1" t="s">
        <v>3073</v>
      </c>
      <c r="I1214" s="1" t="s">
        <v>3073</v>
      </c>
      <c r="J1214" t="str">
        <f t="shared" si="18"/>
        <v>http://www.badatelna.eu/reprodukce/?fondId=1073&amp;zaznamId=1108959&amp;reproId=3780207</v>
      </c>
      <c r="K1214">
        <f>IF(LEN(TRIM(E1214))=0,"",VLOOKUP(E1214,Sheet2!$B$1:$E$19,2,FALSE))</f>
        <v>1073</v>
      </c>
      <c r="L1214">
        <f>IF(LEN(TRIM(E1214))=0,"",VLOOKUP(E1214,Sheet2!$B$1:$E$19,3,FALSE))</f>
        <v>1108959</v>
      </c>
      <c r="M1214">
        <f>IF(LEN(TRIM(E1214))=0,"",VLOOKUP(E1214,Sheet2!$B$1:$E$19,4,FALSE))+(F1214-1)</f>
        <v>3780207</v>
      </c>
    </row>
    <row r="1215" spans="1:17" ht="15" customHeight="1" x14ac:dyDescent="0.25">
      <c r="A1215" s="28" t="s">
        <v>392</v>
      </c>
      <c r="B1215" s="28" t="s">
        <v>106</v>
      </c>
      <c r="C1215" s="6" t="s">
        <v>2580</v>
      </c>
      <c r="D1215" s="1" t="s">
        <v>454</v>
      </c>
      <c r="E1215" s="1">
        <v>2173</v>
      </c>
      <c r="F1215" s="28">
        <v>214</v>
      </c>
      <c r="G1215" s="9">
        <v>37</v>
      </c>
      <c r="H1215" s="1" t="s">
        <v>3073</v>
      </c>
      <c r="I1215" s="1" t="s">
        <v>3073</v>
      </c>
      <c r="J1215" t="str">
        <f t="shared" si="18"/>
        <v>http://www.badatelna.eu/reprodukce/?fondId=1073&amp;zaznamId=1108959&amp;reproId=3780207</v>
      </c>
      <c r="K1215">
        <f>IF(LEN(TRIM(E1215))=0,"",VLOOKUP(E1215,Sheet2!$B$1:$E$19,2,FALSE))</f>
        <v>1073</v>
      </c>
      <c r="L1215">
        <f>IF(LEN(TRIM(E1215))=0,"",VLOOKUP(E1215,Sheet2!$B$1:$E$19,3,FALSE))</f>
        <v>1108959</v>
      </c>
      <c r="M1215">
        <f>IF(LEN(TRIM(E1215))=0,"",VLOOKUP(E1215,Sheet2!$B$1:$E$19,4,FALSE))+(F1215-1)</f>
        <v>3780207</v>
      </c>
    </row>
    <row r="1216" spans="1:17" ht="15" customHeight="1" x14ac:dyDescent="0.25">
      <c r="A1216" s="28" t="s">
        <v>88</v>
      </c>
      <c r="B1216" s="28" t="s">
        <v>465</v>
      </c>
      <c r="C1216" s="1">
        <v>1855</v>
      </c>
      <c r="D1216" s="1" t="s">
        <v>2919</v>
      </c>
      <c r="E1216" s="1">
        <v>998</v>
      </c>
      <c r="F1216" s="28">
        <v>45</v>
      </c>
      <c r="G1216" s="1">
        <v>43</v>
      </c>
      <c r="H1216" s="1">
        <v>71</v>
      </c>
      <c r="I1216" s="1">
        <v>68</v>
      </c>
      <c r="J1216" t="str">
        <f t="shared" si="18"/>
        <v>http://www.badatelna.eu/reprodukce/?fondId=241&amp;zaznamId=1133738&amp;reproId=3885691</v>
      </c>
      <c r="K1216">
        <f>IF(LEN(TRIM(E1216))=0,"",VLOOKUP(E1216,Sheet2!$B$1:$E$19,2,FALSE))</f>
        <v>241</v>
      </c>
      <c r="L1216">
        <f>IF(LEN(TRIM(E1216))=0,"",VLOOKUP(E1216,Sheet2!$B$1:$E$19,3,FALSE))</f>
        <v>1133738</v>
      </c>
      <c r="M1216">
        <f>IF(LEN(TRIM(E1216))=0,"",VLOOKUP(E1216,Sheet2!$B$1:$E$19,4,FALSE))+(F1216-1)</f>
        <v>3885691</v>
      </c>
      <c r="N1216" s="1"/>
      <c r="O1216" s="1"/>
      <c r="P1216" s="1"/>
      <c r="Q1216" s="1"/>
    </row>
    <row r="1217" spans="1:17" ht="15" customHeight="1" x14ac:dyDescent="0.25">
      <c r="A1217" s="28" t="s">
        <v>88</v>
      </c>
      <c r="B1217" s="28" t="s">
        <v>87</v>
      </c>
      <c r="C1217" s="6" t="s">
        <v>2295</v>
      </c>
      <c r="D1217" s="1" t="s">
        <v>454</v>
      </c>
      <c r="E1217" s="1">
        <v>2173</v>
      </c>
      <c r="F1217" s="28">
        <v>198</v>
      </c>
      <c r="G1217" s="9">
        <v>5</v>
      </c>
      <c r="H1217" s="1" t="s">
        <v>3073</v>
      </c>
      <c r="I1217" s="1" t="s">
        <v>3073</v>
      </c>
      <c r="J1217" t="str">
        <f t="shared" si="18"/>
        <v>http://www.badatelna.eu/reprodukce/?fondId=1073&amp;zaznamId=1108959&amp;reproId=3780191</v>
      </c>
      <c r="K1217">
        <f>IF(LEN(TRIM(E1217))=0,"",VLOOKUP(E1217,Sheet2!$B$1:$E$19,2,FALSE))</f>
        <v>1073</v>
      </c>
      <c r="L1217">
        <f>IF(LEN(TRIM(E1217))=0,"",VLOOKUP(E1217,Sheet2!$B$1:$E$19,3,FALSE))</f>
        <v>1108959</v>
      </c>
      <c r="M1217">
        <f>IF(LEN(TRIM(E1217))=0,"",VLOOKUP(E1217,Sheet2!$B$1:$E$19,4,FALSE))+(F1217-1)</f>
        <v>3780191</v>
      </c>
    </row>
    <row r="1218" spans="1:17" ht="15" customHeight="1" x14ac:dyDescent="0.25">
      <c r="A1218" s="29" t="s">
        <v>88</v>
      </c>
      <c r="B1218" s="28" t="s">
        <v>87</v>
      </c>
      <c r="C1218" s="6" t="s">
        <v>2283</v>
      </c>
      <c r="D1218" s="1" t="s">
        <v>454</v>
      </c>
      <c r="E1218" s="1">
        <v>2173</v>
      </c>
      <c r="F1218" s="28">
        <v>198</v>
      </c>
      <c r="G1218" s="9">
        <v>6</v>
      </c>
      <c r="H1218" s="1" t="s">
        <v>3073</v>
      </c>
      <c r="I1218" s="1" t="s">
        <v>3073</v>
      </c>
      <c r="J1218" t="str">
        <f t="shared" si="18"/>
        <v>http://www.badatelna.eu/reprodukce/?fondId=1073&amp;zaznamId=1108959&amp;reproId=3780191</v>
      </c>
      <c r="K1218">
        <f>IF(LEN(TRIM(E1218))=0,"",VLOOKUP(E1218,Sheet2!$B$1:$E$19,2,FALSE))</f>
        <v>1073</v>
      </c>
      <c r="L1218">
        <f>IF(LEN(TRIM(E1218))=0,"",VLOOKUP(E1218,Sheet2!$B$1:$E$19,3,FALSE))</f>
        <v>1108959</v>
      </c>
      <c r="M1218">
        <f>IF(LEN(TRIM(E1218))=0,"",VLOOKUP(E1218,Sheet2!$B$1:$E$19,4,FALSE))+(F1218-1)</f>
        <v>3780191</v>
      </c>
      <c r="N1218" s="1"/>
      <c r="O1218" s="1"/>
      <c r="P1218" s="1"/>
      <c r="Q1218" s="1"/>
    </row>
    <row r="1219" spans="1:17" ht="15" customHeight="1" x14ac:dyDescent="0.25">
      <c r="A1219" s="28" t="s">
        <v>88</v>
      </c>
      <c r="B1219" s="28" t="s">
        <v>909</v>
      </c>
      <c r="C1219" s="1">
        <v>1857</v>
      </c>
      <c r="D1219" s="1" t="s">
        <v>2919</v>
      </c>
      <c r="E1219" s="1">
        <v>998</v>
      </c>
      <c r="F1219" s="28">
        <v>52</v>
      </c>
      <c r="G1219" s="1">
        <v>50</v>
      </c>
      <c r="H1219" s="1">
        <v>71</v>
      </c>
      <c r="I1219" s="1">
        <v>68</v>
      </c>
      <c r="J1219" t="str">
        <f t="shared" ref="J1219:J1282" si="19">IF(LEN(TRIM(E1219))=0,"","http://www.badatelna.eu/reprodukce/?fondId="&amp;K1219&amp;"&amp;zaznamId="&amp;L1219&amp;"&amp;reproId="&amp;M1219)</f>
        <v>http://www.badatelna.eu/reprodukce/?fondId=241&amp;zaznamId=1133738&amp;reproId=3885698</v>
      </c>
      <c r="K1219">
        <f>IF(LEN(TRIM(E1219))=0,"",VLOOKUP(E1219,Sheet2!$B$1:$E$19,2,FALSE))</f>
        <v>241</v>
      </c>
      <c r="L1219">
        <f>IF(LEN(TRIM(E1219))=0,"",VLOOKUP(E1219,Sheet2!$B$1:$E$19,3,FALSE))</f>
        <v>1133738</v>
      </c>
      <c r="M1219">
        <f>IF(LEN(TRIM(E1219))=0,"",VLOOKUP(E1219,Sheet2!$B$1:$E$19,4,FALSE))+(F1219-1)</f>
        <v>3885698</v>
      </c>
    </row>
    <row r="1220" spans="1:17" ht="15" customHeight="1" x14ac:dyDescent="0.25">
      <c r="A1220" s="27" t="s">
        <v>88</v>
      </c>
      <c r="B1220" s="27" t="s">
        <v>272</v>
      </c>
      <c r="C1220" s="5" t="s">
        <v>1211</v>
      </c>
      <c r="D1220" s="3" t="s">
        <v>454</v>
      </c>
      <c r="E1220" s="3">
        <v>2170</v>
      </c>
      <c r="F1220" s="28">
        <v>58</v>
      </c>
      <c r="G1220" s="10">
        <v>54</v>
      </c>
      <c r="H1220" s="3">
        <v>63</v>
      </c>
      <c r="I1220" s="3">
        <v>59</v>
      </c>
      <c r="J1220" t="str">
        <f t="shared" si="19"/>
        <v>http://www.badatelna.eu/reprodukce/?fondId=1073&amp;zaznamId=1108956&amp;reproId=3779650</v>
      </c>
      <c r="K1220">
        <f>IF(LEN(TRIM(E1220))=0,"",VLOOKUP(E1220,Sheet2!$B$1:$E$19,2,FALSE))</f>
        <v>1073</v>
      </c>
      <c r="L1220">
        <f>IF(LEN(TRIM(E1220))=0,"",VLOOKUP(E1220,Sheet2!$B$1:$E$19,3,FALSE))</f>
        <v>1108956</v>
      </c>
      <c r="M1220">
        <f>IF(LEN(TRIM(E1220))=0,"",VLOOKUP(E1220,Sheet2!$B$1:$E$19,4,FALSE))+(F1220-1)</f>
        <v>3779650</v>
      </c>
    </row>
    <row r="1221" spans="1:17" ht="15" customHeight="1" x14ac:dyDescent="0.25">
      <c r="A1221" s="28" t="s">
        <v>88</v>
      </c>
      <c r="B1221" s="28" t="s">
        <v>46</v>
      </c>
      <c r="C1221" s="6" t="s">
        <v>2453</v>
      </c>
      <c r="D1221" s="1" t="s">
        <v>454</v>
      </c>
      <c r="E1221" s="1">
        <v>2173</v>
      </c>
      <c r="F1221" s="28">
        <v>204</v>
      </c>
      <c r="G1221" s="1">
        <v>18</v>
      </c>
      <c r="H1221" s="1" t="s">
        <v>3073</v>
      </c>
      <c r="I1221" s="1" t="s">
        <v>3073</v>
      </c>
      <c r="J1221" t="str">
        <f t="shared" si="19"/>
        <v>http://www.badatelna.eu/reprodukce/?fondId=1073&amp;zaznamId=1108959&amp;reproId=3780197</v>
      </c>
      <c r="K1221">
        <f>IF(LEN(TRIM(E1221))=0,"",VLOOKUP(E1221,Sheet2!$B$1:$E$19,2,FALSE))</f>
        <v>1073</v>
      </c>
      <c r="L1221">
        <f>IF(LEN(TRIM(E1221))=0,"",VLOOKUP(E1221,Sheet2!$B$1:$E$19,3,FALSE))</f>
        <v>1108959</v>
      </c>
      <c r="M1221">
        <f>IF(LEN(TRIM(E1221))=0,"",VLOOKUP(E1221,Sheet2!$B$1:$E$19,4,FALSE))+(F1221-1)</f>
        <v>3780197</v>
      </c>
      <c r="N1221" s="1"/>
      <c r="O1221" s="1"/>
      <c r="P1221" s="1"/>
      <c r="Q1221" s="1"/>
    </row>
    <row r="1222" spans="1:17" ht="15" customHeight="1" x14ac:dyDescent="0.25">
      <c r="A1222" s="28" t="s">
        <v>88</v>
      </c>
      <c r="B1222" s="28" t="s">
        <v>46</v>
      </c>
      <c r="C1222" s="6" t="s">
        <v>2675</v>
      </c>
      <c r="D1222" s="1" t="s">
        <v>454</v>
      </c>
      <c r="E1222" s="1">
        <v>2173</v>
      </c>
      <c r="F1222" s="28">
        <v>223</v>
      </c>
      <c r="G1222" s="9">
        <v>51</v>
      </c>
      <c r="H1222" s="1" t="s">
        <v>3073</v>
      </c>
      <c r="I1222" s="1" t="s">
        <v>3073</v>
      </c>
      <c r="J1222" t="str">
        <f t="shared" si="19"/>
        <v>http://www.badatelna.eu/reprodukce/?fondId=1073&amp;zaznamId=1108959&amp;reproId=3780216</v>
      </c>
      <c r="K1222">
        <f>IF(LEN(TRIM(E1222))=0,"",VLOOKUP(E1222,Sheet2!$B$1:$E$19,2,FALSE))</f>
        <v>1073</v>
      </c>
      <c r="L1222">
        <f>IF(LEN(TRIM(E1222))=0,"",VLOOKUP(E1222,Sheet2!$B$1:$E$19,3,FALSE))</f>
        <v>1108959</v>
      </c>
      <c r="M1222">
        <f>IF(LEN(TRIM(E1222))=0,"",VLOOKUP(E1222,Sheet2!$B$1:$E$19,4,FALSE))+(F1222-1)</f>
        <v>3780216</v>
      </c>
    </row>
    <row r="1223" spans="1:17" ht="15" customHeight="1" x14ac:dyDescent="0.25">
      <c r="A1223" s="28" t="s">
        <v>88</v>
      </c>
      <c r="B1223" s="29" t="s">
        <v>2975</v>
      </c>
      <c r="C1223" s="1">
        <v>1861</v>
      </c>
      <c r="D1223" s="1" t="s">
        <v>2919</v>
      </c>
      <c r="E1223" s="1">
        <v>998</v>
      </c>
      <c r="F1223" s="28">
        <v>61</v>
      </c>
      <c r="G1223" s="1">
        <v>58</v>
      </c>
      <c r="H1223" s="1">
        <v>71</v>
      </c>
      <c r="I1223" s="1">
        <v>68</v>
      </c>
      <c r="J1223" t="str">
        <f t="shared" si="19"/>
        <v>http://www.badatelna.eu/reprodukce/?fondId=241&amp;zaznamId=1133738&amp;reproId=3885707</v>
      </c>
      <c r="K1223">
        <f>IF(LEN(TRIM(E1223))=0,"",VLOOKUP(E1223,Sheet2!$B$1:$E$19,2,FALSE))</f>
        <v>241</v>
      </c>
      <c r="L1223">
        <f>IF(LEN(TRIM(E1223))=0,"",VLOOKUP(E1223,Sheet2!$B$1:$E$19,3,FALSE))</f>
        <v>1133738</v>
      </c>
      <c r="M1223">
        <f>IF(LEN(TRIM(E1223))=0,"",VLOOKUP(E1223,Sheet2!$B$1:$E$19,4,FALSE))+(F1223-1)</f>
        <v>3885707</v>
      </c>
      <c r="N1223" s="1"/>
      <c r="O1223" s="1"/>
      <c r="P1223" s="1"/>
      <c r="Q1223" s="1"/>
    </row>
    <row r="1224" spans="1:17" ht="15" customHeight="1" x14ac:dyDescent="0.25">
      <c r="A1224" s="28" t="s">
        <v>906</v>
      </c>
      <c r="B1224" s="28" t="s">
        <v>498</v>
      </c>
      <c r="C1224" s="6" t="s">
        <v>1795</v>
      </c>
      <c r="D1224" s="1" t="s">
        <v>454</v>
      </c>
      <c r="E1224" s="1">
        <v>2172</v>
      </c>
      <c r="F1224" s="28">
        <v>157</v>
      </c>
      <c r="G1224" s="9">
        <v>151</v>
      </c>
      <c r="H1224" s="1">
        <v>160</v>
      </c>
      <c r="I1224" s="1">
        <v>154</v>
      </c>
      <c r="J1224" t="str">
        <f t="shared" si="19"/>
        <v>http://www.badatelna.eu/reprodukce/?fondId=1073&amp;zaznamId=1108958&amp;reproId=3779898</v>
      </c>
      <c r="K1224">
        <f>IF(LEN(TRIM(E1224))=0,"",VLOOKUP(E1224,Sheet2!$B$1:$E$19,2,FALSE))</f>
        <v>1073</v>
      </c>
      <c r="L1224">
        <f>IF(LEN(TRIM(E1224))=0,"",VLOOKUP(E1224,Sheet2!$B$1:$E$19,3,FALSE))</f>
        <v>1108958</v>
      </c>
      <c r="M1224">
        <f>IF(LEN(TRIM(E1224))=0,"",VLOOKUP(E1224,Sheet2!$B$1:$E$19,4,FALSE))+(F1224-1)</f>
        <v>3779898</v>
      </c>
    </row>
    <row r="1225" spans="1:17" ht="15" customHeight="1" x14ac:dyDescent="0.25">
      <c r="A1225" s="28"/>
      <c r="B1225" s="28"/>
      <c r="C1225" s="38" t="s">
        <v>3122</v>
      </c>
      <c r="D1225" s="1"/>
      <c r="E1225" s="1"/>
      <c r="F1225" s="28"/>
      <c r="G1225" s="9"/>
      <c r="H1225" s="1"/>
      <c r="I1225" s="1"/>
      <c r="J1225" t="str">
        <f t="shared" si="19"/>
        <v/>
      </c>
      <c r="K1225" t="str">
        <f>IF(LEN(TRIM(E1225))=0,"",VLOOKUP(E1225,Sheet2!$B$1:$E$19,2,FALSE))</f>
        <v/>
      </c>
      <c r="L1225" t="str">
        <f>IF(LEN(TRIM(E1225))=0,"",VLOOKUP(E1225,Sheet2!$B$1:$E$19,3,FALSE))</f>
        <v/>
      </c>
      <c r="M1225" t="e">
        <f>IF(LEN(TRIM(E1225))=0,"",VLOOKUP(E1225,Sheet2!$B$1:$E$19,4,FALSE))+(F1225-1)</f>
        <v>#VALUE!</v>
      </c>
    </row>
    <row r="1226" spans="1:17" ht="15" customHeight="1" x14ac:dyDescent="0.25">
      <c r="A1226" s="28" t="s">
        <v>907</v>
      </c>
      <c r="B1226" s="28" t="s">
        <v>44</v>
      </c>
      <c r="C1226" s="6" t="s">
        <v>1867</v>
      </c>
      <c r="D1226" s="1" t="s">
        <v>454</v>
      </c>
      <c r="E1226" s="1">
        <v>2172</v>
      </c>
      <c r="F1226" s="28">
        <v>189</v>
      </c>
      <c r="G1226" s="9">
        <v>179</v>
      </c>
      <c r="H1226" s="1" t="s">
        <v>3073</v>
      </c>
      <c r="I1226" s="1" t="s">
        <v>3073</v>
      </c>
      <c r="J1226" t="str">
        <f t="shared" si="19"/>
        <v>http://www.badatelna.eu/reprodukce/?fondId=1073&amp;zaznamId=1108958&amp;reproId=3779930</v>
      </c>
      <c r="K1226">
        <f>IF(LEN(TRIM(E1226))=0,"",VLOOKUP(E1226,Sheet2!$B$1:$E$19,2,FALSE))</f>
        <v>1073</v>
      </c>
      <c r="L1226">
        <f>IF(LEN(TRIM(E1226))=0,"",VLOOKUP(E1226,Sheet2!$B$1:$E$19,3,FALSE))</f>
        <v>1108958</v>
      </c>
      <c r="M1226">
        <f>IF(LEN(TRIM(E1226))=0,"",VLOOKUP(E1226,Sheet2!$B$1:$E$19,4,FALSE))+(F1226-1)</f>
        <v>3779930</v>
      </c>
    </row>
    <row r="1227" spans="1:17" ht="15" customHeight="1" x14ac:dyDescent="0.25">
      <c r="A1227" s="28" t="s">
        <v>908</v>
      </c>
      <c r="B1227" s="28" t="s">
        <v>909</v>
      </c>
      <c r="C1227" s="6" t="s">
        <v>1867</v>
      </c>
      <c r="D1227" s="1" t="s">
        <v>454</v>
      </c>
      <c r="E1227" s="1">
        <v>2172</v>
      </c>
      <c r="F1227" s="28">
        <v>188</v>
      </c>
      <c r="G1227" s="9">
        <v>178</v>
      </c>
      <c r="H1227" s="1" t="s">
        <v>3073</v>
      </c>
      <c r="I1227" s="1" t="s">
        <v>3073</v>
      </c>
      <c r="J1227" t="str">
        <f t="shared" si="19"/>
        <v>http://www.badatelna.eu/reprodukce/?fondId=1073&amp;zaznamId=1108958&amp;reproId=3779929</v>
      </c>
      <c r="K1227">
        <f>IF(LEN(TRIM(E1227))=0,"",VLOOKUP(E1227,Sheet2!$B$1:$E$19,2,FALSE))</f>
        <v>1073</v>
      </c>
      <c r="L1227">
        <f>IF(LEN(TRIM(E1227))=0,"",VLOOKUP(E1227,Sheet2!$B$1:$E$19,3,FALSE))</f>
        <v>1108958</v>
      </c>
      <c r="M1227">
        <f>IF(LEN(TRIM(E1227))=0,"",VLOOKUP(E1227,Sheet2!$B$1:$E$19,4,FALSE))+(F1227-1)</f>
        <v>3779929</v>
      </c>
      <c r="N1227" s="1"/>
      <c r="O1227" s="1"/>
      <c r="P1227" s="1"/>
      <c r="Q1227" s="1"/>
    </row>
    <row r="1228" spans="1:17" ht="15" customHeight="1" x14ac:dyDescent="0.25">
      <c r="A1228" s="28" t="s">
        <v>113</v>
      </c>
      <c r="B1228" s="28" t="s">
        <v>33</v>
      </c>
      <c r="C1228" s="6" t="s">
        <v>2080</v>
      </c>
      <c r="D1228" s="1" t="s">
        <v>454</v>
      </c>
      <c r="E1228" s="1">
        <v>2173</v>
      </c>
      <c r="F1228" s="28">
        <v>181</v>
      </c>
      <c r="G1228" s="9">
        <v>9</v>
      </c>
      <c r="H1228" s="1">
        <v>189</v>
      </c>
      <c r="I1228" s="1">
        <v>420</v>
      </c>
      <c r="J1228" t="str">
        <f t="shared" si="19"/>
        <v>http://www.badatelna.eu/reprodukce/?fondId=1073&amp;zaznamId=1108959&amp;reproId=3780174</v>
      </c>
      <c r="K1228">
        <f>IF(LEN(TRIM(E1228))=0,"",VLOOKUP(E1228,Sheet2!$B$1:$E$19,2,FALSE))</f>
        <v>1073</v>
      </c>
      <c r="L1228">
        <f>IF(LEN(TRIM(E1228))=0,"",VLOOKUP(E1228,Sheet2!$B$1:$E$19,3,FALSE))</f>
        <v>1108959</v>
      </c>
      <c r="M1228">
        <f>IF(LEN(TRIM(E1228))=0,"",VLOOKUP(E1228,Sheet2!$B$1:$E$19,4,FALSE))+(F1228-1)</f>
        <v>3780174</v>
      </c>
    </row>
    <row r="1229" spans="1:17" ht="15" customHeight="1" x14ac:dyDescent="0.25">
      <c r="A1229" s="28" t="s">
        <v>113</v>
      </c>
      <c r="B1229" s="28" t="s">
        <v>2971</v>
      </c>
      <c r="C1229" s="1">
        <v>1848</v>
      </c>
      <c r="D1229" s="1" t="s">
        <v>2919</v>
      </c>
      <c r="E1229" s="1">
        <v>998</v>
      </c>
      <c r="F1229" s="28">
        <v>14</v>
      </c>
      <c r="G1229" s="1">
        <v>12</v>
      </c>
      <c r="H1229" s="1">
        <v>71</v>
      </c>
      <c r="I1229" s="1">
        <v>68</v>
      </c>
      <c r="J1229" t="str">
        <f t="shared" si="19"/>
        <v>http://www.badatelna.eu/reprodukce/?fondId=241&amp;zaznamId=1133738&amp;reproId=3885660</v>
      </c>
      <c r="K1229">
        <f>IF(LEN(TRIM(E1229))=0,"",VLOOKUP(E1229,Sheet2!$B$1:$E$19,2,FALSE))</f>
        <v>241</v>
      </c>
      <c r="L1229">
        <f>IF(LEN(TRIM(E1229))=0,"",VLOOKUP(E1229,Sheet2!$B$1:$E$19,3,FALSE))</f>
        <v>1133738</v>
      </c>
      <c r="M1229">
        <f>IF(LEN(TRIM(E1229))=0,"",VLOOKUP(E1229,Sheet2!$B$1:$E$19,4,FALSE))+(F1229-1)</f>
        <v>3885660</v>
      </c>
      <c r="N1229" s="1"/>
      <c r="O1229" s="1"/>
      <c r="P1229" s="1"/>
      <c r="Q1229" s="1"/>
    </row>
    <row r="1230" spans="1:17" ht="15" customHeight="1" x14ac:dyDescent="0.25">
      <c r="A1230" s="28" t="s">
        <v>113</v>
      </c>
      <c r="B1230" s="28" t="s">
        <v>290</v>
      </c>
      <c r="C1230" s="6" t="s">
        <v>1889</v>
      </c>
      <c r="D1230" s="1" t="s">
        <v>454</v>
      </c>
      <c r="E1230" s="1">
        <v>2172</v>
      </c>
      <c r="F1230" s="28">
        <v>197</v>
      </c>
      <c r="G1230" s="9" t="s">
        <v>3095</v>
      </c>
      <c r="H1230" s="1" t="s">
        <v>3073</v>
      </c>
      <c r="I1230" s="1" t="s">
        <v>3073</v>
      </c>
      <c r="J1230" t="str">
        <f t="shared" si="19"/>
        <v>http://www.badatelna.eu/reprodukce/?fondId=1073&amp;zaznamId=1108958&amp;reproId=3779938</v>
      </c>
      <c r="K1230">
        <f>IF(LEN(TRIM(E1230))=0,"",VLOOKUP(E1230,Sheet2!$B$1:$E$19,2,FALSE))</f>
        <v>1073</v>
      </c>
      <c r="L1230">
        <f>IF(LEN(TRIM(E1230))=0,"",VLOOKUP(E1230,Sheet2!$B$1:$E$19,3,FALSE))</f>
        <v>1108958</v>
      </c>
      <c r="M1230">
        <f>IF(LEN(TRIM(E1230))=0,"",VLOOKUP(E1230,Sheet2!$B$1:$E$19,4,FALSE))+(F1230-1)</f>
        <v>3779938</v>
      </c>
      <c r="N1230" s="1"/>
      <c r="O1230" s="1"/>
      <c r="P1230" s="1"/>
      <c r="Q1230" s="1"/>
    </row>
    <row r="1231" spans="1:17" ht="15" customHeight="1" x14ac:dyDescent="0.25">
      <c r="A1231" s="28" t="s">
        <v>113</v>
      </c>
      <c r="B1231" s="28" t="s">
        <v>357</v>
      </c>
      <c r="C1231" s="1">
        <v>1849</v>
      </c>
      <c r="D1231" s="1" t="s">
        <v>2919</v>
      </c>
      <c r="E1231" s="1">
        <v>998</v>
      </c>
      <c r="F1231" s="28">
        <v>18</v>
      </c>
      <c r="G1231" s="1">
        <v>16</v>
      </c>
      <c r="H1231" s="1">
        <v>71</v>
      </c>
      <c r="I1231" s="1">
        <v>68</v>
      </c>
      <c r="J1231" t="str">
        <f t="shared" si="19"/>
        <v>http://www.badatelna.eu/reprodukce/?fondId=241&amp;zaznamId=1133738&amp;reproId=3885664</v>
      </c>
      <c r="K1231">
        <f>IF(LEN(TRIM(E1231))=0,"",VLOOKUP(E1231,Sheet2!$B$1:$E$19,2,FALSE))</f>
        <v>241</v>
      </c>
      <c r="L1231">
        <f>IF(LEN(TRIM(E1231))=0,"",VLOOKUP(E1231,Sheet2!$B$1:$E$19,3,FALSE))</f>
        <v>1133738</v>
      </c>
      <c r="M1231">
        <f>IF(LEN(TRIM(E1231))=0,"",VLOOKUP(E1231,Sheet2!$B$1:$E$19,4,FALSE))+(F1231-1)</f>
        <v>3885664</v>
      </c>
    </row>
    <row r="1232" spans="1:17" ht="15" customHeight="1" x14ac:dyDescent="0.25">
      <c r="A1232" s="28" t="s">
        <v>113</v>
      </c>
      <c r="B1232" s="29" t="s">
        <v>29</v>
      </c>
      <c r="C1232" s="1">
        <v>1858</v>
      </c>
      <c r="D1232" s="1" t="s">
        <v>2919</v>
      </c>
      <c r="E1232" s="1">
        <v>998</v>
      </c>
      <c r="F1232" s="28">
        <v>54</v>
      </c>
      <c r="G1232" s="1">
        <v>52</v>
      </c>
      <c r="H1232" s="1">
        <v>71</v>
      </c>
      <c r="I1232" s="1">
        <v>68</v>
      </c>
      <c r="J1232" t="str">
        <f t="shared" si="19"/>
        <v>http://www.badatelna.eu/reprodukce/?fondId=241&amp;zaznamId=1133738&amp;reproId=3885700</v>
      </c>
      <c r="K1232">
        <f>IF(LEN(TRIM(E1232))=0,"",VLOOKUP(E1232,Sheet2!$B$1:$E$19,2,FALSE))</f>
        <v>241</v>
      </c>
      <c r="L1232">
        <f>IF(LEN(TRIM(E1232))=0,"",VLOOKUP(E1232,Sheet2!$B$1:$E$19,3,FALSE))</f>
        <v>1133738</v>
      </c>
      <c r="M1232">
        <f>IF(LEN(TRIM(E1232))=0,"",VLOOKUP(E1232,Sheet2!$B$1:$E$19,4,FALSE))+(F1232-1)</f>
        <v>3885700</v>
      </c>
    </row>
    <row r="1233" spans="1:17" ht="15" customHeight="1" x14ac:dyDescent="0.25">
      <c r="A1233" s="28" t="s">
        <v>113</v>
      </c>
      <c r="B1233" s="28" t="s">
        <v>29</v>
      </c>
      <c r="C1233" s="6" t="s">
        <v>2561</v>
      </c>
      <c r="D1233" s="1" t="s">
        <v>454</v>
      </c>
      <c r="E1233" s="1">
        <v>2173</v>
      </c>
      <c r="F1233" s="28">
        <v>208</v>
      </c>
      <c r="G1233" s="1">
        <v>26</v>
      </c>
      <c r="H1233" s="1" t="s">
        <v>3073</v>
      </c>
      <c r="I1233" s="1" t="s">
        <v>3073</v>
      </c>
      <c r="J1233" t="str">
        <f t="shared" si="19"/>
        <v>http://www.badatelna.eu/reprodukce/?fondId=1073&amp;zaznamId=1108959&amp;reproId=3780201</v>
      </c>
      <c r="K1233">
        <f>IF(LEN(TRIM(E1233))=0,"",VLOOKUP(E1233,Sheet2!$B$1:$E$19,2,FALSE))</f>
        <v>1073</v>
      </c>
      <c r="L1233">
        <f>IF(LEN(TRIM(E1233))=0,"",VLOOKUP(E1233,Sheet2!$B$1:$E$19,3,FALSE))</f>
        <v>1108959</v>
      </c>
      <c r="M1233">
        <f>IF(LEN(TRIM(E1233))=0,"",VLOOKUP(E1233,Sheet2!$B$1:$E$19,4,FALSE))+(F1233-1)</f>
        <v>3780201</v>
      </c>
    </row>
    <row r="1234" spans="1:17" ht="15" customHeight="1" x14ac:dyDescent="0.25">
      <c r="A1234" s="28" t="s">
        <v>113</v>
      </c>
      <c r="B1234" s="28" t="s">
        <v>707</v>
      </c>
      <c r="C1234" s="6" t="s">
        <v>1676</v>
      </c>
      <c r="D1234" s="1" t="s">
        <v>454</v>
      </c>
      <c r="E1234" s="1">
        <v>2172</v>
      </c>
      <c r="F1234" s="28">
        <v>108</v>
      </c>
      <c r="G1234" s="9">
        <v>107</v>
      </c>
      <c r="H1234" s="1">
        <v>109</v>
      </c>
      <c r="I1234" s="1">
        <v>108</v>
      </c>
      <c r="J1234" t="str">
        <f t="shared" si="19"/>
        <v>http://www.badatelna.eu/reprodukce/?fondId=1073&amp;zaznamId=1108958&amp;reproId=3779849</v>
      </c>
      <c r="K1234">
        <f>IF(LEN(TRIM(E1234))=0,"",VLOOKUP(E1234,Sheet2!$B$1:$E$19,2,FALSE))</f>
        <v>1073</v>
      </c>
      <c r="L1234">
        <f>IF(LEN(TRIM(E1234))=0,"",VLOOKUP(E1234,Sheet2!$B$1:$E$19,3,FALSE))</f>
        <v>1108958</v>
      </c>
      <c r="M1234">
        <f>IF(LEN(TRIM(E1234))=0,"",VLOOKUP(E1234,Sheet2!$B$1:$E$19,4,FALSE))+(F1234-1)</f>
        <v>3779849</v>
      </c>
      <c r="N1234" s="1"/>
      <c r="O1234" s="1"/>
      <c r="P1234" s="1"/>
      <c r="Q1234" s="1"/>
    </row>
    <row r="1235" spans="1:17" ht="15" customHeight="1" x14ac:dyDescent="0.25">
      <c r="A1235" s="27" t="s">
        <v>113</v>
      </c>
      <c r="B1235" s="27" t="s">
        <v>553</v>
      </c>
      <c r="C1235" s="5" t="s">
        <v>1212</v>
      </c>
      <c r="D1235" s="3" t="s">
        <v>454</v>
      </c>
      <c r="E1235" s="3">
        <v>2170</v>
      </c>
      <c r="F1235" s="28">
        <v>27</v>
      </c>
      <c r="G1235" s="10">
        <v>23</v>
      </c>
      <c r="H1235" s="3">
        <v>63</v>
      </c>
      <c r="I1235" s="3">
        <v>59</v>
      </c>
      <c r="J1235" t="str">
        <f t="shared" si="19"/>
        <v>http://www.badatelna.eu/reprodukce/?fondId=1073&amp;zaznamId=1108956&amp;reproId=3779619</v>
      </c>
      <c r="K1235">
        <f>IF(LEN(TRIM(E1235))=0,"",VLOOKUP(E1235,Sheet2!$B$1:$E$19,2,FALSE))</f>
        <v>1073</v>
      </c>
      <c r="L1235">
        <f>IF(LEN(TRIM(E1235))=0,"",VLOOKUP(E1235,Sheet2!$B$1:$E$19,3,FALSE))</f>
        <v>1108956</v>
      </c>
      <c r="M1235">
        <f>IF(LEN(TRIM(E1235))=0,"",VLOOKUP(E1235,Sheet2!$B$1:$E$19,4,FALSE))+(F1235-1)</f>
        <v>3779619</v>
      </c>
    </row>
    <row r="1236" spans="1:17" ht="15" customHeight="1" x14ac:dyDescent="0.25">
      <c r="A1236" s="28" t="s">
        <v>113</v>
      </c>
      <c r="B1236" s="28" t="s">
        <v>172</v>
      </c>
      <c r="C1236" s="1">
        <v>1849</v>
      </c>
      <c r="D1236" s="1" t="s">
        <v>2919</v>
      </c>
      <c r="E1236" s="1">
        <v>998</v>
      </c>
      <c r="F1236" s="28">
        <v>21</v>
      </c>
      <c r="G1236" s="1">
        <v>19</v>
      </c>
      <c r="H1236" s="1">
        <v>71</v>
      </c>
      <c r="I1236" s="1">
        <v>68</v>
      </c>
      <c r="J1236" t="str">
        <f t="shared" si="19"/>
        <v>http://www.badatelna.eu/reprodukce/?fondId=241&amp;zaznamId=1133738&amp;reproId=3885667</v>
      </c>
      <c r="K1236">
        <f>IF(LEN(TRIM(E1236))=0,"",VLOOKUP(E1236,Sheet2!$B$1:$E$19,2,FALSE))</f>
        <v>241</v>
      </c>
      <c r="L1236">
        <f>IF(LEN(TRIM(E1236))=0,"",VLOOKUP(E1236,Sheet2!$B$1:$E$19,3,FALSE))</f>
        <v>1133738</v>
      </c>
      <c r="M1236">
        <f>IF(LEN(TRIM(E1236))=0,"",VLOOKUP(E1236,Sheet2!$B$1:$E$19,4,FALSE))+(F1236-1)</f>
        <v>3885667</v>
      </c>
    </row>
    <row r="1237" spans="1:17" ht="15" customHeight="1" x14ac:dyDescent="0.25">
      <c r="A1237" s="28" t="s">
        <v>113</v>
      </c>
      <c r="B1237" s="28" t="s">
        <v>56</v>
      </c>
      <c r="C1237" s="1">
        <v>1847</v>
      </c>
      <c r="D1237" s="1" t="s">
        <v>2919</v>
      </c>
      <c r="E1237" s="1">
        <v>998</v>
      </c>
      <c r="F1237" s="28">
        <v>7</v>
      </c>
      <c r="G1237" s="1">
        <v>5</v>
      </c>
      <c r="H1237" s="1">
        <v>71</v>
      </c>
      <c r="I1237" s="1">
        <v>68</v>
      </c>
      <c r="J1237" t="str">
        <f t="shared" si="19"/>
        <v>http://www.badatelna.eu/reprodukce/?fondId=241&amp;zaznamId=1133738&amp;reproId=3885653</v>
      </c>
      <c r="K1237">
        <f>IF(LEN(TRIM(E1237))=0,"",VLOOKUP(E1237,Sheet2!$B$1:$E$19,2,FALSE))</f>
        <v>241</v>
      </c>
      <c r="L1237">
        <f>IF(LEN(TRIM(E1237))=0,"",VLOOKUP(E1237,Sheet2!$B$1:$E$19,3,FALSE))</f>
        <v>1133738</v>
      </c>
      <c r="M1237">
        <f>IF(LEN(TRIM(E1237))=0,"",VLOOKUP(E1237,Sheet2!$B$1:$E$19,4,FALSE))+(F1237-1)</f>
        <v>3885653</v>
      </c>
    </row>
    <row r="1238" spans="1:17" ht="15" customHeight="1" x14ac:dyDescent="0.25">
      <c r="A1238" s="28" t="s">
        <v>113</v>
      </c>
      <c r="B1238" s="28" t="s">
        <v>56</v>
      </c>
      <c r="C1238" s="6" t="s">
        <v>2694</v>
      </c>
      <c r="D1238" s="1" t="s">
        <v>454</v>
      </c>
      <c r="E1238" s="1">
        <v>2173</v>
      </c>
      <c r="F1238" s="28">
        <v>224</v>
      </c>
      <c r="G1238" s="9">
        <v>53</v>
      </c>
      <c r="H1238" s="1" t="s">
        <v>3073</v>
      </c>
      <c r="I1238" s="1" t="s">
        <v>3073</v>
      </c>
      <c r="J1238" t="str">
        <f t="shared" si="19"/>
        <v>http://www.badatelna.eu/reprodukce/?fondId=1073&amp;zaznamId=1108959&amp;reproId=3780217</v>
      </c>
      <c r="K1238">
        <f>IF(LEN(TRIM(E1238))=0,"",VLOOKUP(E1238,Sheet2!$B$1:$E$19,2,FALSE))</f>
        <v>1073</v>
      </c>
      <c r="L1238">
        <f>IF(LEN(TRIM(E1238))=0,"",VLOOKUP(E1238,Sheet2!$B$1:$E$19,3,FALSE))</f>
        <v>1108959</v>
      </c>
      <c r="M1238">
        <f>IF(LEN(TRIM(E1238))=0,"",VLOOKUP(E1238,Sheet2!$B$1:$E$19,4,FALSE))+(F1238-1)</f>
        <v>3780217</v>
      </c>
      <c r="N1238" s="1"/>
      <c r="O1238" s="1"/>
      <c r="P1238" s="1"/>
      <c r="Q1238" s="1"/>
    </row>
    <row r="1239" spans="1:17" ht="15" customHeight="1" x14ac:dyDescent="0.25">
      <c r="A1239" s="28" t="s">
        <v>113</v>
      </c>
      <c r="B1239" s="29" t="s">
        <v>2924</v>
      </c>
      <c r="C1239" s="1">
        <v>1858</v>
      </c>
      <c r="D1239" s="1" t="s">
        <v>2919</v>
      </c>
      <c r="E1239" s="1">
        <v>998</v>
      </c>
      <c r="F1239" s="28">
        <v>54</v>
      </c>
      <c r="G1239" s="1">
        <v>52</v>
      </c>
      <c r="H1239" s="1">
        <v>71</v>
      </c>
      <c r="I1239" s="1">
        <v>68</v>
      </c>
      <c r="J1239" t="str">
        <f t="shared" si="19"/>
        <v>http://www.badatelna.eu/reprodukce/?fondId=241&amp;zaznamId=1133738&amp;reproId=3885700</v>
      </c>
      <c r="K1239">
        <f>IF(LEN(TRIM(E1239))=0,"",VLOOKUP(E1239,Sheet2!$B$1:$E$19,2,FALSE))</f>
        <v>241</v>
      </c>
      <c r="L1239">
        <f>IF(LEN(TRIM(E1239))=0,"",VLOOKUP(E1239,Sheet2!$B$1:$E$19,3,FALSE))</f>
        <v>1133738</v>
      </c>
      <c r="M1239">
        <f>IF(LEN(TRIM(E1239))=0,"",VLOOKUP(E1239,Sheet2!$B$1:$E$19,4,FALSE))+(F1239-1)</f>
        <v>3885700</v>
      </c>
      <c r="N1239" s="1"/>
      <c r="O1239" s="1"/>
      <c r="P1239" s="1"/>
      <c r="Q1239" s="1"/>
    </row>
    <row r="1240" spans="1:17" ht="15" customHeight="1" x14ac:dyDescent="0.25">
      <c r="A1240" s="28" t="s">
        <v>113</v>
      </c>
      <c r="B1240" s="28" t="s">
        <v>541</v>
      </c>
      <c r="C1240" s="1">
        <v>1860</v>
      </c>
      <c r="D1240" s="1" t="s">
        <v>2919</v>
      </c>
      <c r="E1240" s="1">
        <v>998</v>
      </c>
      <c r="F1240" s="28">
        <v>58</v>
      </c>
      <c r="G1240" s="1">
        <v>55</v>
      </c>
      <c r="H1240" s="1">
        <v>71</v>
      </c>
      <c r="I1240" s="1">
        <v>68</v>
      </c>
      <c r="J1240" t="str">
        <f t="shared" si="19"/>
        <v>http://www.badatelna.eu/reprodukce/?fondId=241&amp;zaznamId=1133738&amp;reproId=3885704</v>
      </c>
      <c r="K1240">
        <f>IF(LEN(TRIM(E1240))=0,"",VLOOKUP(E1240,Sheet2!$B$1:$E$19,2,FALSE))</f>
        <v>241</v>
      </c>
      <c r="L1240">
        <f>IF(LEN(TRIM(E1240))=0,"",VLOOKUP(E1240,Sheet2!$B$1:$E$19,3,FALSE))</f>
        <v>1133738</v>
      </c>
      <c r="M1240">
        <f>IF(LEN(TRIM(E1240))=0,"",VLOOKUP(E1240,Sheet2!$B$1:$E$19,4,FALSE))+(F1240-1)</f>
        <v>3885704</v>
      </c>
      <c r="N1240" s="1"/>
      <c r="O1240" s="1"/>
      <c r="P1240" s="1"/>
      <c r="Q1240" s="1"/>
    </row>
    <row r="1241" spans="1:17" ht="15" customHeight="1" x14ac:dyDescent="0.25">
      <c r="A1241" s="28" t="s">
        <v>113</v>
      </c>
      <c r="B1241" s="28" t="s">
        <v>45</v>
      </c>
      <c r="C1241" s="6" t="s">
        <v>2081</v>
      </c>
      <c r="D1241" s="1" t="s">
        <v>454</v>
      </c>
      <c r="E1241" s="1">
        <v>2173</v>
      </c>
      <c r="F1241" s="28">
        <v>179</v>
      </c>
      <c r="G1241" s="9">
        <v>4</v>
      </c>
      <c r="H1241" s="1">
        <v>189</v>
      </c>
      <c r="I1241" s="1">
        <v>420</v>
      </c>
      <c r="J1241" t="str">
        <f t="shared" si="19"/>
        <v>http://www.badatelna.eu/reprodukce/?fondId=1073&amp;zaznamId=1108959&amp;reproId=3780172</v>
      </c>
      <c r="K1241">
        <f>IF(LEN(TRIM(E1241))=0,"",VLOOKUP(E1241,Sheet2!$B$1:$E$19,2,FALSE))</f>
        <v>1073</v>
      </c>
      <c r="L1241">
        <f>IF(LEN(TRIM(E1241))=0,"",VLOOKUP(E1241,Sheet2!$B$1:$E$19,3,FALSE))</f>
        <v>1108959</v>
      </c>
      <c r="M1241">
        <f>IF(LEN(TRIM(E1241))=0,"",VLOOKUP(E1241,Sheet2!$B$1:$E$19,4,FALSE))+(F1241-1)</f>
        <v>3780172</v>
      </c>
      <c r="N1241" s="1"/>
      <c r="O1241" s="1"/>
      <c r="P1241" s="1"/>
      <c r="Q1241" s="1"/>
    </row>
    <row r="1242" spans="1:17" ht="15" customHeight="1" x14ac:dyDescent="0.25">
      <c r="A1242" s="28" t="s">
        <v>113</v>
      </c>
      <c r="B1242" s="28" t="s">
        <v>10</v>
      </c>
      <c r="C1242" s="6" t="s">
        <v>1503</v>
      </c>
      <c r="D1242" s="1" t="s">
        <v>454</v>
      </c>
      <c r="E1242" s="1">
        <v>2172</v>
      </c>
      <c r="F1242" s="28">
        <v>5</v>
      </c>
      <c r="G1242" s="9">
        <v>2</v>
      </c>
      <c r="H1242" s="1">
        <v>8</v>
      </c>
      <c r="I1242" s="1">
        <v>1</v>
      </c>
      <c r="J1242" t="str">
        <f t="shared" si="19"/>
        <v>http://www.badatelna.eu/reprodukce/?fondId=1073&amp;zaznamId=1108958&amp;reproId=3779746</v>
      </c>
      <c r="K1242">
        <f>IF(LEN(TRIM(E1242))=0,"",VLOOKUP(E1242,Sheet2!$B$1:$E$19,2,FALSE))</f>
        <v>1073</v>
      </c>
      <c r="L1242">
        <f>IF(LEN(TRIM(E1242))=0,"",VLOOKUP(E1242,Sheet2!$B$1:$E$19,3,FALSE))</f>
        <v>1108958</v>
      </c>
      <c r="M1242">
        <f>IF(LEN(TRIM(E1242))=0,"",VLOOKUP(E1242,Sheet2!$B$1:$E$19,4,FALSE))+(F1242-1)</f>
        <v>3779746</v>
      </c>
      <c r="N1242" s="1"/>
      <c r="O1242" s="1"/>
      <c r="P1242" s="1"/>
      <c r="Q1242" s="1"/>
    </row>
    <row r="1243" spans="1:17" ht="15" customHeight="1" x14ac:dyDescent="0.25">
      <c r="A1243" s="27" t="s">
        <v>113</v>
      </c>
      <c r="B1243" s="27" t="s">
        <v>545</v>
      </c>
      <c r="C1243" s="5" t="s">
        <v>1213</v>
      </c>
      <c r="D1243" s="3" t="s">
        <v>454</v>
      </c>
      <c r="E1243" s="3">
        <v>2170</v>
      </c>
      <c r="F1243" s="28">
        <v>28</v>
      </c>
      <c r="G1243" s="10">
        <v>24</v>
      </c>
      <c r="H1243" s="3">
        <v>63</v>
      </c>
      <c r="I1243" s="3">
        <v>59</v>
      </c>
      <c r="J1243" t="str">
        <f t="shared" si="19"/>
        <v>http://www.badatelna.eu/reprodukce/?fondId=1073&amp;zaznamId=1108956&amp;reproId=3779620</v>
      </c>
      <c r="K1243">
        <f>IF(LEN(TRIM(E1243))=0,"",VLOOKUP(E1243,Sheet2!$B$1:$E$19,2,FALSE))</f>
        <v>1073</v>
      </c>
      <c r="L1243">
        <f>IF(LEN(TRIM(E1243))=0,"",VLOOKUP(E1243,Sheet2!$B$1:$E$19,3,FALSE))</f>
        <v>1108956</v>
      </c>
      <c r="M1243">
        <f>IF(LEN(TRIM(E1243))=0,"",VLOOKUP(E1243,Sheet2!$B$1:$E$19,4,FALSE))+(F1243-1)</f>
        <v>3779620</v>
      </c>
    </row>
    <row r="1244" spans="1:17" ht="15" customHeight="1" x14ac:dyDescent="0.25">
      <c r="A1244" s="28" t="s">
        <v>113</v>
      </c>
      <c r="B1244" s="28" t="s">
        <v>49</v>
      </c>
      <c r="C1244" s="6" t="s">
        <v>2079</v>
      </c>
      <c r="D1244" s="1" t="s">
        <v>454</v>
      </c>
      <c r="E1244" s="1">
        <v>2173</v>
      </c>
      <c r="F1244" s="28">
        <v>182</v>
      </c>
      <c r="G1244" s="9">
        <v>10</v>
      </c>
      <c r="H1244" s="1">
        <v>189</v>
      </c>
      <c r="I1244" s="1">
        <v>420</v>
      </c>
      <c r="J1244" t="str">
        <f t="shared" si="19"/>
        <v>http://www.badatelna.eu/reprodukce/?fondId=1073&amp;zaznamId=1108959&amp;reproId=3780175</v>
      </c>
      <c r="K1244">
        <f>IF(LEN(TRIM(E1244))=0,"",VLOOKUP(E1244,Sheet2!$B$1:$E$19,2,FALSE))</f>
        <v>1073</v>
      </c>
      <c r="L1244">
        <f>IF(LEN(TRIM(E1244))=0,"",VLOOKUP(E1244,Sheet2!$B$1:$E$19,3,FALSE))</f>
        <v>1108959</v>
      </c>
      <c r="M1244">
        <f>IF(LEN(TRIM(E1244))=0,"",VLOOKUP(E1244,Sheet2!$B$1:$E$19,4,FALSE))+(F1244-1)</f>
        <v>3780175</v>
      </c>
      <c r="N1244" s="1"/>
      <c r="O1244" s="1"/>
      <c r="P1244" s="1"/>
      <c r="Q1244" s="1"/>
    </row>
    <row r="1245" spans="1:17" ht="15" customHeight="1" x14ac:dyDescent="0.25">
      <c r="A1245" s="28" t="s">
        <v>113</v>
      </c>
      <c r="B1245" s="28" t="s">
        <v>49</v>
      </c>
      <c r="C1245" s="6" t="s">
        <v>2079</v>
      </c>
      <c r="D1245" s="1" t="s">
        <v>454</v>
      </c>
      <c r="E1245" s="1">
        <v>2173</v>
      </c>
      <c r="F1245" s="28">
        <v>212</v>
      </c>
      <c r="G1245" s="9" t="s">
        <v>2761</v>
      </c>
      <c r="H1245" s="1" t="s">
        <v>3073</v>
      </c>
      <c r="I1245" s="1" t="s">
        <v>3073</v>
      </c>
      <c r="J1245" t="str">
        <f t="shared" si="19"/>
        <v>http://www.badatelna.eu/reprodukce/?fondId=1073&amp;zaznamId=1108959&amp;reproId=3780205</v>
      </c>
      <c r="K1245">
        <f>IF(LEN(TRIM(E1245))=0,"",VLOOKUP(E1245,Sheet2!$B$1:$E$19,2,FALSE))</f>
        <v>1073</v>
      </c>
      <c r="L1245">
        <f>IF(LEN(TRIM(E1245))=0,"",VLOOKUP(E1245,Sheet2!$B$1:$E$19,3,FALSE))</f>
        <v>1108959</v>
      </c>
      <c r="M1245">
        <f>IF(LEN(TRIM(E1245))=0,"",VLOOKUP(E1245,Sheet2!$B$1:$E$19,4,FALSE))+(F1245-1)</f>
        <v>3780205</v>
      </c>
    </row>
    <row r="1246" spans="1:17" ht="15" customHeight="1" x14ac:dyDescent="0.25">
      <c r="A1246" s="28" t="s">
        <v>113</v>
      </c>
      <c r="B1246" s="28" t="s">
        <v>272</v>
      </c>
      <c r="C1246" s="1">
        <v>1863</v>
      </c>
      <c r="D1246" s="1" t="s">
        <v>2919</v>
      </c>
      <c r="E1246" s="1">
        <v>999</v>
      </c>
      <c r="F1246" s="28">
        <v>83</v>
      </c>
      <c r="G1246" s="1">
        <v>4</v>
      </c>
      <c r="H1246" s="1">
        <v>102</v>
      </c>
      <c r="I1246" s="1">
        <v>161</v>
      </c>
      <c r="J1246" t="str">
        <f t="shared" si="19"/>
        <v>http://www.badatelna.eu/reprodukce/?fondId=241&amp;zaznamId=1133739&amp;reproId=3885812</v>
      </c>
      <c r="K1246">
        <f>IF(LEN(TRIM(E1246))=0,"",VLOOKUP(E1246,Sheet2!$B$1:$E$19,2,FALSE))</f>
        <v>241</v>
      </c>
      <c r="L1246">
        <f>IF(LEN(TRIM(E1246))=0,"",VLOOKUP(E1246,Sheet2!$B$1:$E$19,3,FALSE))</f>
        <v>1133739</v>
      </c>
      <c r="M1246">
        <f>IF(LEN(TRIM(E1246))=0,"",VLOOKUP(E1246,Sheet2!$B$1:$E$19,4,FALSE))+(F1246-1)</f>
        <v>3885812</v>
      </c>
      <c r="N1246" s="1"/>
      <c r="O1246" s="1"/>
      <c r="P1246" s="1"/>
      <c r="Q1246" s="1"/>
    </row>
    <row r="1247" spans="1:17" ht="15" customHeight="1" x14ac:dyDescent="0.25">
      <c r="A1247" s="27" t="s">
        <v>113</v>
      </c>
      <c r="B1247" s="27" t="s">
        <v>272</v>
      </c>
      <c r="C1247" s="5" t="s">
        <v>1215</v>
      </c>
      <c r="D1247" s="3" t="s">
        <v>454</v>
      </c>
      <c r="E1247" s="3">
        <v>2170</v>
      </c>
      <c r="F1247" s="31">
        <v>8</v>
      </c>
      <c r="G1247" s="10">
        <v>4</v>
      </c>
      <c r="H1247" s="3">
        <v>63</v>
      </c>
      <c r="I1247" s="3">
        <v>59</v>
      </c>
      <c r="J1247" t="str">
        <f t="shared" si="19"/>
        <v>http://www.badatelna.eu/reprodukce/?fondId=1073&amp;zaznamId=1108956&amp;reproId=3779600</v>
      </c>
      <c r="K1247">
        <f>IF(LEN(TRIM(E1247))=0,"",VLOOKUP(E1247,Sheet2!$B$1:$E$19,2,FALSE))</f>
        <v>1073</v>
      </c>
      <c r="L1247">
        <f>IF(LEN(TRIM(E1247))=0,"",VLOOKUP(E1247,Sheet2!$B$1:$E$19,3,FALSE))</f>
        <v>1108956</v>
      </c>
      <c r="M1247">
        <f>IF(LEN(TRIM(E1247))=0,"",VLOOKUP(E1247,Sheet2!$B$1:$E$19,4,FALSE))+(F1247-1)</f>
        <v>3779600</v>
      </c>
      <c r="N1247" s="1"/>
      <c r="O1247" s="1"/>
      <c r="P1247" s="1"/>
      <c r="Q1247" s="1"/>
    </row>
    <row r="1248" spans="1:17" ht="15" customHeight="1" x14ac:dyDescent="0.25">
      <c r="A1248" s="28" t="s">
        <v>113</v>
      </c>
      <c r="B1248" s="28" t="s">
        <v>482</v>
      </c>
      <c r="C1248" s="6" t="s">
        <v>1543</v>
      </c>
      <c r="D1248" s="1" t="s">
        <v>454</v>
      </c>
      <c r="E1248" s="1">
        <v>2172</v>
      </c>
      <c r="F1248" s="28">
        <v>17</v>
      </c>
      <c r="G1248" s="9">
        <v>16</v>
      </c>
      <c r="H1248" s="1" t="s">
        <v>3073</v>
      </c>
      <c r="I1248" s="1" t="s">
        <v>3073</v>
      </c>
      <c r="J1248" t="str">
        <f t="shared" si="19"/>
        <v>http://www.badatelna.eu/reprodukce/?fondId=1073&amp;zaznamId=1108958&amp;reproId=3779758</v>
      </c>
      <c r="K1248">
        <f>IF(LEN(TRIM(E1248))=0,"",VLOOKUP(E1248,Sheet2!$B$1:$E$19,2,FALSE))</f>
        <v>1073</v>
      </c>
      <c r="L1248">
        <f>IF(LEN(TRIM(E1248))=0,"",VLOOKUP(E1248,Sheet2!$B$1:$E$19,3,FALSE))</f>
        <v>1108958</v>
      </c>
      <c r="M1248">
        <f>IF(LEN(TRIM(E1248))=0,"",VLOOKUP(E1248,Sheet2!$B$1:$E$19,4,FALSE))+(F1248-1)</f>
        <v>3779758</v>
      </c>
      <c r="N1248" s="1"/>
      <c r="O1248" s="1"/>
      <c r="P1248" s="1"/>
      <c r="Q1248" s="1"/>
    </row>
    <row r="1249" spans="1:17" ht="15" customHeight="1" x14ac:dyDescent="0.25">
      <c r="A1249" s="29" t="s">
        <v>113</v>
      </c>
      <c r="B1249" s="28" t="s">
        <v>135</v>
      </c>
      <c r="C1249" s="6" t="s">
        <v>2634</v>
      </c>
      <c r="D1249" s="1" t="s">
        <v>454</v>
      </c>
      <c r="E1249" s="1">
        <v>2173</v>
      </c>
      <c r="F1249" s="28">
        <v>221</v>
      </c>
      <c r="G1249" s="9">
        <v>49</v>
      </c>
      <c r="H1249" s="1" t="s">
        <v>3073</v>
      </c>
      <c r="I1249" s="1" t="s">
        <v>3073</v>
      </c>
      <c r="J1249" t="str">
        <f t="shared" si="19"/>
        <v>http://www.badatelna.eu/reprodukce/?fondId=1073&amp;zaznamId=1108959&amp;reproId=3780214</v>
      </c>
      <c r="K1249">
        <f>IF(LEN(TRIM(E1249))=0,"",VLOOKUP(E1249,Sheet2!$B$1:$E$19,2,FALSE))</f>
        <v>1073</v>
      </c>
      <c r="L1249">
        <f>IF(LEN(TRIM(E1249))=0,"",VLOOKUP(E1249,Sheet2!$B$1:$E$19,3,FALSE))</f>
        <v>1108959</v>
      </c>
      <c r="M1249">
        <f>IF(LEN(TRIM(E1249))=0,"",VLOOKUP(E1249,Sheet2!$B$1:$E$19,4,FALSE))+(F1249-1)</f>
        <v>3780214</v>
      </c>
      <c r="N1249" s="1"/>
      <c r="O1249" s="1"/>
      <c r="P1249" s="1"/>
      <c r="Q1249" s="1"/>
    </row>
    <row r="1250" spans="1:17" ht="15" customHeight="1" x14ac:dyDescent="0.25">
      <c r="A1250" s="28" t="s">
        <v>113</v>
      </c>
      <c r="B1250" s="28" t="s">
        <v>135</v>
      </c>
      <c r="C1250" s="6" t="s">
        <v>1698</v>
      </c>
      <c r="D1250" s="1" t="s">
        <v>454</v>
      </c>
      <c r="E1250" s="1">
        <v>2172</v>
      </c>
      <c r="F1250" s="28">
        <v>115</v>
      </c>
      <c r="G1250" s="9" t="s">
        <v>2771</v>
      </c>
      <c r="H1250" s="1">
        <v>116</v>
      </c>
      <c r="I1250" s="1">
        <v>115</v>
      </c>
      <c r="J1250" t="str">
        <f t="shared" si="19"/>
        <v>http://www.badatelna.eu/reprodukce/?fondId=1073&amp;zaznamId=1108958&amp;reproId=3779856</v>
      </c>
      <c r="K1250">
        <f>IF(LEN(TRIM(E1250))=0,"",VLOOKUP(E1250,Sheet2!$B$1:$E$19,2,FALSE))</f>
        <v>1073</v>
      </c>
      <c r="L1250">
        <f>IF(LEN(TRIM(E1250))=0,"",VLOOKUP(E1250,Sheet2!$B$1:$E$19,3,FALSE))</f>
        <v>1108958</v>
      </c>
      <c r="M1250">
        <f>IF(LEN(TRIM(E1250))=0,"",VLOOKUP(E1250,Sheet2!$B$1:$E$19,4,FALSE))+(F1250-1)</f>
        <v>3779856</v>
      </c>
      <c r="N1250" s="1"/>
      <c r="O1250" s="1"/>
      <c r="P1250" s="1"/>
      <c r="Q1250" s="1"/>
    </row>
    <row r="1251" spans="1:17" ht="15" customHeight="1" x14ac:dyDescent="0.25">
      <c r="A1251" s="28" t="s">
        <v>113</v>
      </c>
      <c r="B1251" s="28" t="s">
        <v>48</v>
      </c>
      <c r="C1251" s="6" t="s">
        <v>2318</v>
      </c>
      <c r="D1251" s="1" t="s">
        <v>454</v>
      </c>
      <c r="E1251" s="1">
        <v>2173</v>
      </c>
      <c r="F1251" s="31">
        <v>199</v>
      </c>
      <c r="G1251" s="9">
        <v>7</v>
      </c>
      <c r="H1251" s="1" t="s">
        <v>3073</v>
      </c>
      <c r="I1251" s="1" t="s">
        <v>3073</v>
      </c>
      <c r="J1251" t="str">
        <f t="shared" si="19"/>
        <v>http://www.badatelna.eu/reprodukce/?fondId=1073&amp;zaznamId=1108959&amp;reproId=3780192</v>
      </c>
      <c r="K1251">
        <f>IF(LEN(TRIM(E1251))=0,"",VLOOKUP(E1251,Sheet2!$B$1:$E$19,2,FALSE))</f>
        <v>1073</v>
      </c>
      <c r="L1251">
        <f>IF(LEN(TRIM(E1251))=0,"",VLOOKUP(E1251,Sheet2!$B$1:$E$19,3,FALSE))</f>
        <v>1108959</v>
      </c>
      <c r="M1251">
        <f>IF(LEN(TRIM(E1251))=0,"",VLOOKUP(E1251,Sheet2!$B$1:$E$19,4,FALSE))+(F1251-1)</f>
        <v>3780192</v>
      </c>
      <c r="N1251" s="1"/>
      <c r="O1251" s="1"/>
      <c r="P1251" s="1"/>
      <c r="Q1251" s="1"/>
    </row>
    <row r="1252" spans="1:17" ht="15" customHeight="1" x14ac:dyDescent="0.25">
      <c r="A1252" s="27" t="s">
        <v>113</v>
      </c>
      <c r="B1252" s="27" t="s">
        <v>306</v>
      </c>
      <c r="C1252" s="5" t="s">
        <v>1214</v>
      </c>
      <c r="D1252" s="3" t="s">
        <v>454</v>
      </c>
      <c r="E1252" s="3">
        <v>2170</v>
      </c>
      <c r="F1252" s="28">
        <v>12</v>
      </c>
      <c r="G1252" s="10">
        <v>8</v>
      </c>
      <c r="H1252" s="3">
        <v>63</v>
      </c>
      <c r="I1252" s="3">
        <v>59</v>
      </c>
      <c r="J1252" t="str">
        <f t="shared" si="19"/>
        <v>http://www.badatelna.eu/reprodukce/?fondId=1073&amp;zaznamId=1108956&amp;reproId=3779604</v>
      </c>
      <c r="K1252">
        <f>IF(LEN(TRIM(E1252))=0,"",VLOOKUP(E1252,Sheet2!$B$1:$E$19,2,FALSE))</f>
        <v>1073</v>
      </c>
      <c r="L1252">
        <f>IF(LEN(TRIM(E1252))=0,"",VLOOKUP(E1252,Sheet2!$B$1:$E$19,3,FALSE))</f>
        <v>1108956</v>
      </c>
      <c r="M1252">
        <f>IF(LEN(TRIM(E1252))=0,"",VLOOKUP(E1252,Sheet2!$B$1:$E$19,4,FALSE))+(F1252-1)</f>
        <v>3779604</v>
      </c>
      <c r="N1252" s="1"/>
      <c r="O1252" s="1"/>
      <c r="P1252" s="1"/>
      <c r="Q1252" s="1"/>
    </row>
    <row r="1253" spans="1:17" ht="15" customHeight="1" x14ac:dyDescent="0.25">
      <c r="A1253" s="28" t="s">
        <v>113</v>
      </c>
      <c r="B1253" s="29" t="s">
        <v>289</v>
      </c>
      <c r="C1253" s="1">
        <v>1847</v>
      </c>
      <c r="D1253" s="1" t="s">
        <v>2919</v>
      </c>
      <c r="E1253" s="1">
        <v>998</v>
      </c>
      <c r="F1253" s="28">
        <v>6</v>
      </c>
      <c r="G1253" s="1">
        <v>4</v>
      </c>
      <c r="H1253" s="1">
        <v>71</v>
      </c>
      <c r="I1253" s="1">
        <v>68</v>
      </c>
      <c r="J1253" t="str">
        <f t="shared" si="19"/>
        <v>http://www.badatelna.eu/reprodukce/?fondId=241&amp;zaznamId=1133738&amp;reproId=3885652</v>
      </c>
      <c r="K1253">
        <f>IF(LEN(TRIM(E1253))=0,"",VLOOKUP(E1253,Sheet2!$B$1:$E$19,2,FALSE))</f>
        <v>241</v>
      </c>
      <c r="L1253">
        <f>IF(LEN(TRIM(E1253))=0,"",VLOOKUP(E1253,Sheet2!$B$1:$E$19,3,FALSE))</f>
        <v>1133738</v>
      </c>
      <c r="M1253">
        <f>IF(LEN(TRIM(E1253))=0,"",VLOOKUP(E1253,Sheet2!$B$1:$E$19,4,FALSE))+(F1253-1)</f>
        <v>3885652</v>
      </c>
      <c r="N1253" s="1"/>
      <c r="O1253" s="1"/>
      <c r="P1253" s="1"/>
      <c r="Q1253" s="1"/>
    </row>
    <row r="1254" spans="1:17" ht="15" customHeight="1" x14ac:dyDescent="0.25">
      <c r="A1254" s="28" t="s">
        <v>113</v>
      </c>
      <c r="B1254" s="28" t="s">
        <v>82</v>
      </c>
      <c r="C1254" s="6" t="s">
        <v>2905</v>
      </c>
      <c r="D1254" s="1" t="s">
        <v>454</v>
      </c>
      <c r="E1254" s="1">
        <v>2173</v>
      </c>
      <c r="F1254" s="28">
        <v>212</v>
      </c>
      <c r="G1254" s="9" t="s">
        <v>2761</v>
      </c>
      <c r="H1254" s="1" t="s">
        <v>3073</v>
      </c>
      <c r="I1254" s="1" t="s">
        <v>3073</v>
      </c>
      <c r="J1254" t="str">
        <f t="shared" si="19"/>
        <v>http://www.badatelna.eu/reprodukce/?fondId=1073&amp;zaznamId=1108959&amp;reproId=3780205</v>
      </c>
      <c r="K1254">
        <f>IF(LEN(TRIM(E1254))=0,"",VLOOKUP(E1254,Sheet2!$B$1:$E$19,2,FALSE))</f>
        <v>1073</v>
      </c>
      <c r="L1254">
        <f>IF(LEN(TRIM(E1254))=0,"",VLOOKUP(E1254,Sheet2!$B$1:$E$19,3,FALSE))</f>
        <v>1108959</v>
      </c>
      <c r="M1254">
        <f>IF(LEN(TRIM(E1254))=0,"",VLOOKUP(E1254,Sheet2!$B$1:$E$19,4,FALSE))+(F1254-1)</f>
        <v>3780205</v>
      </c>
      <c r="N1254" s="1"/>
      <c r="O1254" s="1"/>
      <c r="P1254" s="1"/>
      <c r="Q1254" s="1"/>
    </row>
    <row r="1255" spans="1:17" ht="15" customHeight="1" x14ac:dyDescent="0.25">
      <c r="A1255" s="28" t="s">
        <v>300</v>
      </c>
      <c r="B1255" s="28" t="s">
        <v>307</v>
      </c>
      <c r="C1255" s="6" t="s">
        <v>2082</v>
      </c>
      <c r="D1255" s="1" t="s">
        <v>454</v>
      </c>
      <c r="E1255" s="1">
        <v>2173</v>
      </c>
      <c r="F1255" s="28">
        <v>180</v>
      </c>
      <c r="G1255" s="9">
        <v>6</v>
      </c>
      <c r="H1255" s="1">
        <v>189</v>
      </c>
      <c r="I1255" s="1">
        <v>420</v>
      </c>
      <c r="J1255" t="str">
        <f t="shared" si="19"/>
        <v>http://www.badatelna.eu/reprodukce/?fondId=1073&amp;zaznamId=1108959&amp;reproId=3780173</v>
      </c>
      <c r="K1255">
        <f>IF(LEN(TRIM(E1255))=0,"",VLOOKUP(E1255,Sheet2!$B$1:$E$19,2,FALSE))</f>
        <v>1073</v>
      </c>
      <c r="L1255">
        <f>IF(LEN(TRIM(E1255))=0,"",VLOOKUP(E1255,Sheet2!$B$1:$E$19,3,FALSE))</f>
        <v>1108959</v>
      </c>
      <c r="M1255">
        <f>IF(LEN(TRIM(E1255))=0,"",VLOOKUP(E1255,Sheet2!$B$1:$E$19,4,FALSE))+(F1255-1)</f>
        <v>3780173</v>
      </c>
      <c r="N1255" s="1"/>
      <c r="O1255" s="1"/>
      <c r="P1255" s="1"/>
      <c r="Q1255" s="1"/>
    </row>
    <row r="1256" spans="1:17" ht="15" customHeight="1" x14ac:dyDescent="0.25">
      <c r="A1256" s="28" t="s">
        <v>300</v>
      </c>
      <c r="B1256" s="28" t="s">
        <v>306</v>
      </c>
      <c r="C1256" s="6" t="s">
        <v>2082</v>
      </c>
      <c r="D1256" s="1" t="s">
        <v>454</v>
      </c>
      <c r="E1256" s="1">
        <v>2173</v>
      </c>
      <c r="F1256" s="28">
        <v>180</v>
      </c>
      <c r="G1256" s="9">
        <v>6</v>
      </c>
      <c r="H1256" s="1">
        <v>189</v>
      </c>
      <c r="I1256" s="1">
        <v>420</v>
      </c>
      <c r="J1256" t="str">
        <f t="shared" si="19"/>
        <v>http://www.badatelna.eu/reprodukce/?fondId=1073&amp;zaznamId=1108959&amp;reproId=3780173</v>
      </c>
      <c r="K1256">
        <f>IF(LEN(TRIM(E1256))=0,"",VLOOKUP(E1256,Sheet2!$B$1:$E$19,2,FALSE))</f>
        <v>1073</v>
      </c>
      <c r="L1256">
        <f>IF(LEN(TRIM(E1256))=0,"",VLOOKUP(E1256,Sheet2!$B$1:$E$19,3,FALSE))</f>
        <v>1108959</v>
      </c>
      <c r="M1256">
        <f>IF(LEN(TRIM(E1256))=0,"",VLOOKUP(E1256,Sheet2!$B$1:$E$19,4,FALSE))+(F1256-1)</f>
        <v>3780173</v>
      </c>
      <c r="N1256" s="1"/>
      <c r="O1256" s="1"/>
      <c r="P1256" s="1"/>
      <c r="Q1256" s="1"/>
    </row>
    <row r="1257" spans="1:17" ht="15" customHeight="1" x14ac:dyDescent="0.25">
      <c r="A1257" s="28" t="s">
        <v>167</v>
      </c>
      <c r="B1257" s="28" t="s">
        <v>33</v>
      </c>
      <c r="C1257" s="6" t="s">
        <v>2083</v>
      </c>
      <c r="D1257" s="1" t="s">
        <v>454</v>
      </c>
      <c r="E1257" s="1">
        <v>2173</v>
      </c>
      <c r="F1257" s="28">
        <v>177</v>
      </c>
      <c r="G1257" s="9">
        <v>1</v>
      </c>
      <c r="H1257" s="1">
        <v>189</v>
      </c>
      <c r="I1257" s="1">
        <v>420</v>
      </c>
      <c r="J1257" t="str">
        <f t="shared" si="19"/>
        <v>http://www.badatelna.eu/reprodukce/?fondId=1073&amp;zaznamId=1108959&amp;reproId=3780170</v>
      </c>
      <c r="K1257">
        <f>IF(LEN(TRIM(E1257))=0,"",VLOOKUP(E1257,Sheet2!$B$1:$E$19,2,FALSE))</f>
        <v>1073</v>
      </c>
      <c r="L1257">
        <f>IF(LEN(TRIM(E1257))=0,"",VLOOKUP(E1257,Sheet2!$B$1:$E$19,3,FALSE))</f>
        <v>1108959</v>
      </c>
      <c r="M1257">
        <f>IF(LEN(TRIM(E1257))=0,"",VLOOKUP(E1257,Sheet2!$B$1:$E$19,4,FALSE))+(F1257-1)</f>
        <v>3780170</v>
      </c>
      <c r="N1257" s="1"/>
      <c r="O1257" s="1"/>
      <c r="P1257" s="1"/>
      <c r="Q1257" s="1"/>
    </row>
    <row r="1258" spans="1:17" ht="15" customHeight="1" x14ac:dyDescent="0.25">
      <c r="A1258" s="28" t="s">
        <v>167</v>
      </c>
      <c r="B1258" s="28" t="s">
        <v>280</v>
      </c>
      <c r="C1258" s="6" t="s">
        <v>2088</v>
      </c>
      <c r="D1258" s="1" t="s">
        <v>454</v>
      </c>
      <c r="E1258" s="1">
        <v>2173</v>
      </c>
      <c r="F1258" s="28">
        <v>178</v>
      </c>
      <c r="G1258" s="9" t="s">
        <v>2767</v>
      </c>
      <c r="H1258" s="1">
        <v>189</v>
      </c>
      <c r="I1258" s="1">
        <v>420</v>
      </c>
      <c r="J1258" t="str">
        <f t="shared" si="19"/>
        <v>http://www.badatelna.eu/reprodukce/?fondId=1073&amp;zaznamId=1108959&amp;reproId=3780171</v>
      </c>
      <c r="K1258">
        <f>IF(LEN(TRIM(E1258))=0,"",VLOOKUP(E1258,Sheet2!$B$1:$E$19,2,FALSE))</f>
        <v>1073</v>
      </c>
      <c r="L1258">
        <f>IF(LEN(TRIM(E1258))=0,"",VLOOKUP(E1258,Sheet2!$B$1:$E$19,3,FALSE))</f>
        <v>1108959</v>
      </c>
      <c r="M1258">
        <f>IF(LEN(TRIM(E1258))=0,"",VLOOKUP(E1258,Sheet2!$B$1:$E$19,4,FALSE))+(F1258-1)</f>
        <v>3780171</v>
      </c>
      <c r="N1258" s="1"/>
      <c r="O1258" s="1"/>
      <c r="P1258" s="1"/>
      <c r="Q1258" s="1"/>
    </row>
    <row r="1259" spans="1:17" ht="15" customHeight="1" x14ac:dyDescent="0.25">
      <c r="A1259" s="28" t="s">
        <v>167</v>
      </c>
      <c r="B1259" s="28" t="s">
        <v>56</v>
      </c>
      <c r="C1259" s="6" t="s">
        <v>2483</v>
      </c>
      <c r="D1259" s="1" t="s">
        <v>454</v>
      </c>
      <c r="E1259" s="1">
        <v>2173</v>
      </c>
      <c r="F1259" s="28">
        <v>205</v>
      </c>
      <c r="G1259" s="1">
        <v>20</v>
      </c>
      <c r="H1259" s="1" t="s">
        <v>3073</v>
      </c>
      <c r="I1259" s="1" t="s">
        <v>3073</v>
      </c>
      <c r="J1259" t="str">
        <f t="shared" si="19"/>
        <v>http://www.badatelna.eu/reprodukce/?fondId=1073&amp;zaznamId=1108959&amp;reproId=3780198</v>
      </c>
      <c r="K1259">
        <f>IF(LEN(TRIM(E1259))=0,"",VLOOKUP(E1259,Sheet2!$B$1:$E$19,2,FALSE))</f>
        <v>1073</v>
      </c>
      <c r="L1259">
        <f>IF(LEN(TRIM(E1259))=0,"",VLOOKUP(E1259,Sheet2!$B$1:$E$19,3,FALSE))</f>
        <v>1108959</v>
      </c>
      <c r="M1259">
        <f>IF(LEN(TRIM(E1259))=0,"",VLOOKUP(E1259,Sheet2!$B$1:$E$19,4,FALSE))+(F1259-1)</f>
        <v>3780198</v>
      </c>
      <c r="N1259" s="1"/>
      <c r="O1259" s="1"/>
      <c r="P1259" s="1"/>
      <c r="Q1259" s="1"/>
    </row>
    <row r="1260" spans="1:17" ht="15" customHeight="1" x14ac:dyDescent="0.25">
      <c r="A1260" s="29" t="s">
        <v>167</v>
      </c>
      <c r="B1260" s="28" t="s">
        <v>10</v>
      </c>
      <c r="C1260" s="6" t="s">
        <v>2262</v>
      </c>
      <c r="D1260" s="1" t="s">
        <v>454</v>
      </c>
      <c r="E1260" s="1">
        <v>2173</v>
      </c>
      <c r="F1260" s="31">
        <v>197</v>
      </c>
      <c r="G1260" s="12">
        <v>4</v>
      </c>
      <c r="H1260" s="1" t="s">
        <v>3073</v>
      </c>
      <c r="I1260" s="1" t="s">
        <v>3073</v>
      </c>
      <c r="J1260" t="str">
        <f t="shared" si="19"/>
        <v>http://www.badatelna.eu/reprodukce/?fondId=1073&amp;zaznamId=1108959&amp;reproId=3780190</v>
      </c>
      <c r="K1260">
        <f>IF(LEN(TRIM(E1260))=0,"",VLOOKUP(E1260,Sheet2!$B$1:$E$19,2,FALSE))</f>
        <v>1073</v>
      </c>
      <c r="L1260">
        <f>IF(LEN(TRIM(E1260))=0,"",VLOOKUP(E1260,Sheet2!$B$1:$E$19,3,FALSE))</f>
        <v>1108959</v>
      </c>
      <c r="M1260">
        <f>IF(LEN(TRIM(E1260))=0,"",VLOOKUP(E1260,Sheet2!$B$1:$E$19,4,FALSE))+(F1260-1)</f>
        <v>3780190</v>
      </c>
      <c r="N1260" s="1"/>
      <c r="O1260" s="1"/>
      <c r="P1260" s="1"/>
      <c r="Q1260" s="1"/>
    </row>
    <row r="1261" spans="1:17" ht="15" customHeight="1" x14ac:dyDescent="0.25">
      <c r="A1261" s="28" t="s">
        <v>167</v>
      </c>
      <c r="B1261" s="28" t="s">
        <v>10</v>
      </c>
      <c r="C1261" s="6" t="s">
        <v>2405</v>
      </c>
      <c r="D1261" s="1" t="s">
        <v>454</v>
      </c>
      <c r="E1261" s="1">
        <v>2173</v>
      </c>
      <c r="F1261" s="28">
        <v>202</v>
      </c>
      <c r="G1261" s="9">
        <v>14</v>
      </c>
      <c r="H1261" s="1" t="s">
        <v>3073</v>
      </c>
      <c r="I1261" s="1" t="s">
        <v>3073</v>
      </c>
      <c r="J1261" t="str">
        <f t="shared" si="19"/>
        <v>http://www.badatelna.eu/reprodukce/?fondId=1073&amp;zaznamId=1108959&amp;reproId=3780195</v>
      </c>
      <c r="K1261">
        <f>IF(LEN(TRIM(E1261))=0,"",VLOOKUP(E1261,Sheet2!$B$1:$E$19,2,FALSE))</f>
        <v>1073</v>
      </c>
      <c r="L1261">
        <f>IF(LEN(TRIM(E1261))=0,"",VLOOKUP(E1261,Sheet2!$B$1:$E$19,3,FALSE))</f>
        <v>1108959</v>
      </c>
      <c r="M1261">
        <f>IF(LEN(TRIM(E1261))=0,"",VLOOKUP(E1261,Sheet2!$B$1:$E$19,4,FALSE))+(F1261-1)</f>
        <v>3780195</v>
      </c>
      <c r="N1261" s="1"/>
      <c r="O1261" s="1"/>
      <c r="P1261" s="1"/>
      <c r="Q1261" s="1"/>
    </row>
    <row r="1262" spans="1:17" ht="15" customHeight="1" x14ac:dyDescent="0.25">
      <c r="A1262" s="28" t="s">
        <v>167</v>
      </c>
      <c r="B1262" s="28" t="s">
        <v>10</v>
      </c>
      <c r="C1262" s="6" t="s">
        <v>2537</v>
      </c>
      <c r="D1262" s="1" t="s">
        <v>454</v>
      </c>
      <c r="E1262" s="1">
        <v>2173</v>
      </c>
      <c r="F1262" s="28">
        <v>207</v>
      </c>
      <c r="G1262" s="1">
        <v>24</v>
      </c>
      <c r="H1262" s="1" t="s">
        <v>3073</v>
      </c>
      <c r="I1262" s="1" t="s">
        <v>3073</v>
      </c>
      <c r="J1262" t="str">
        <f t="shared" si="19"/>
        <v>http://www.badatelna.eu/reprodukce/?fondId=1073&amp;zaznamId=1108959&amp;reproId=3780200</v>
      </c>
      <c r="K1262">
        <f>IF(LEN(TRIM(E1262))=0,"",VLOOKUP(E1262,Sheet2!$B$1:$E$19,2,FALSE))</f>
        <v>1073</v>
      </c>
      <c r="L1262">
        <f>IF(LEN(TRIM(E1262))=0,"",VLOOKUP(E1262,Sheet2!$B$1:$E$19,3,FALSE))</f>
        <v>1108959</v>
      </c>
      <c r="M1262">
        <f>IF(LEN(TRIM(E1262))=0,"",VLOOKUP(E1262,Sheet2!$B$1:$E$19,4,FALSE))+(F1262-1)</f>
        <v>3780200</v>
      </c>
      <c r="N1262" s="1"/>
      <c r="O1262" s="1"/>
      <c r="P1262" s="1"/>
      <c r="Q1262" s="1"/>
    </row>
    <row r="1263" spans="1:17" ht="15" customHeight="1" x14ac:dyDescent="0.25">
      <c r="A1263" s="28" t="s">
        <v>167</v>
      </c>
      <c r="B1263" s="28" t="s">
        <v>305</v>
      </c>
      <c r="C1263" s="6" t="s">
        <v>2085</v>
      </c>
      <c r="D1263" s="1" t="s">
        <v>454</v>
      </c>
      <c r="E1263" s="1">
        <v>2173</v>
      </c>
      <c r="F1263" s="28">
        <v>179</v>
      </c>
      <c r="G1263" s="9">
        <v>5</v>
      </c>
      <c r="H1263" s="1">
        <v>189</v>
      </c>
      <c r="I1263" s="1">
        <v>420</v>
      </c>
      <c r="J1263" t="str">
        <f t="shared" si="19"/>
        <v>http://www.badatelna.eu/reprodukce/?fondId=1073&amp;zaznamId=1108959&amp;reproId=3780172</v>
      </c>
      <c r="K1263">
        <f>IF(LEN(TRIM(E1263))=0,"",VLOOKUP(E1263,Sheet2!$B$1:$E$19,2,FALSE))</f>
        <v>1073</v>
      </c>
      <c r="L1263">
        <f>IF(LEN(TRIM(E1263))=0,"",VLOOKUP(E1263,Sheet2!$B$1:$E$19,3,FALSE))</f>
        <v>1108959</v>
      </c>
      <c r="M1263">
        <f>IF(LEN(TRIM(E1263))=0,"",VLOOKUP(E1263,Sheet2!$B$1:$E$19,4,FALSE))+(F1263-1)</f>
        <v>3780172</v>
      </c>
    </row>
    <row r="1264" spans="1:17" ht="15" customHeight="1" x14ac:dyDescent="0.25">
      <c r="A1264" s="28" t="s">
        <v>167</v>
      </c>
      <c r="B1264" s="28" t="s">
        <v>305</v>
      </c>
      <c r="C1264" s="6" t="s">
        <v>2086</v>
      </c>
      <c r="D1264" s="1" t="s">
        <v>454</v>
      </c>
      <c r="E1264" s="1">
        <v>2173</v>
      </c>
      <c r="F1264" s="28">
        <v>180</v>
      </c>
      <c r="G1264" s="9">
        <v>6</v>
      </c>
      <c r="H1264" s="1">
        <v>189</v>
      </c>
      <c r="I1264" s="1">
        <v>420</v>
      </c>
      <c r="J1264" t="str">
        <f t="shared" si="19"/>
        <v>http://www.badatelna.eu/reprodukce/?fondId=1073&amp;zaznamId=1108959&amp;reproId=3780173</v>
      </c>
      <c r="K1264">
        <f>IF(LEN(TRIM(E1264))=0,"",VLOOKUP(E1264,Sheet2!$B$1:$E$19,2,FALSE))</f>
        <v>1073</v>
      </c>
      <c r="L1264">
        <f>IF(LEN(TRIM(E1264))=0,"",VLOOKUP(E1264,Sheet2!$B$1:$E$19,3,FALSE))</f>
        <v>1108959</v>
      </c>
      <c r="M1264">
        <f>IF(LEN(TRIM(E1264))=0,"",VLOOKUP(E1264,Sheet2!$B$1:$E$19,4,FALSE))+(F1264-1)</f>
        <v>3780173</v>
      </c>
      <c r="N1264" s="1"/>
      <c r="O1264" s="1"/>
      <c r="P1264" s="1"/>
      <c r="Q1264" s="1"/>
    </row>
    <row r="1265" spans="1:17" ht="15" customHeight="1" x14ac:dyDescent="0.25">
      <c r="A1265" s="28" t="s">
        <v>167</v>
      </c>
      <c r="B1265" s="28" t="s">
        <v>304</v>
      </c>
      <c r="C1265" s="6" t="s">
        <v>2084</v>
      </c>
      <c r="D1265" s="1" t="s">
        <v>454</v>
      </c>
      <c r="E1265" s="1">
        <v>2173</v>
      </c>
      <c r="F1265" s="28">
        <v>177</v>
      </c>
      <c r="G1265" s="9">
        <v>1</v>
      </c>
      <c r="H1265" s="1">
        <v>189</v>
      </c>
      <c r="I1265" s="1">
        <v>420</v>
      </c>
      <c r="J1265" t="str">
        <f t="shared" si="19"/>
        <v>http://www.badatelna.eu/reprodukce/?fondId=1073&amp;zaznamId=1108959&amp;reproId=3780170</v>
      </c>
      <c r="K1265">
        <f>IF(LEN(TRIM(E1265))=0,"",VLOOKUP(E1265,Sheet2!$B$1:$E$19,2,FALSE))</f>
        <v>1073</v>
      </c>
      <c r="L1265">
        <f>IF(LEN(TRIM(E1265))=0,"",VLOOKUP(E1265,Sheet2!$B$1:$E$19,3,FALSE))</f>
        <v>1108959</v>
      </c>
      <c r="M1265">
        <f>IF(LEN(TRIM(E1265))=0,"",VLOOKUP(E1265,Sheet2!$B$1:$E$19,4,FALSE))+(F1265-1)</f>
        <v>3780170</v>
      </c>
      <c r="N1265" s="1"/>
      <c r="O1265" s="1"/>
      <c r="P1265" s="1"/>
      <c r="Q1265" s="1"/>
    </row>
    <row r="1266" spans="1:17" ht="15" customHeight="1" x14ac:dyDescent="0.25">
      <c r="A1266" s="28" t="s">
        <v>167</v>
      </c>
      <c r="B1266" s="28" t="s">
        <v>39</v>
      </c>
      <c r="C1266" s="6" t="s">
        <v>2087</v>
      </c>
      <c r="D1266" s="1" t="s">
        <v>454</v>
      </c>
      <c r="E1266" s="1">
        <v>2173</v>
      </c>
      <c r="F1266" s="28">
        <v>181</v>
      </c>
      <c r="G1266" s="9">
        <v>8</v>
      </c>
      <c r="H1266" s="1">
        <v>189</v>
      </c>
      <c r="I1266" s="1">
        <v>420</v>
      </c>
      <c r="J1266" t="str">
        <f t="shared" si="19"/>
        <v>http://www.badatelna.eu/reprodukce/?fondId=1073&amp;zaznamId=1108959&amp;reproId=3780174</v>
      </c>
      <c r="K1266">
        <f>IF(LEN(TRIM(E1266))=0,"",VLOOKUP(E1266,Sheet2!$B$1:$E$19,2,FALSE))</f>
        <v>1073</v>
      </c>
      <c r="L1266">
        <f>IF(LEN(TRIM(E1266))=0,"",VLOOKUP(E1266,Sheet2!$B$1:$E$19,3,FALSE))</f>
        <v>1108959</v>
      </c>
      <c r="M1266">
        <f>IF(LEN(TRIM(E1266))=0,"",VLOOKUP(E1266,Sheet2!$B$1:$E$19,4,FALSE))+(F1266-1)</f>
        <v>3780174</v>
      </c>
      <c r="N1266" s="1"/>
      <c r="O1266" s="1"/>
      <c r="P1266" s="1"/>
      <c r="Q1266" s="1"/>
    </row>
    <row r="1267" spans="1:17" ht="15" customHeight="1" x14ac:dyDescent="0.25">
      <c r="A1267" s="29" t="s">
        <v>167</v>
      </c>
      <c r="B1267" s="28" t="s">
        <v>39</v>
      </c>
      <c r="C1267" s="6" t="s">
        <v>2284</v>
      </c>
      <c r="D1267" s="1" t="s">
        <v>454</v>
      </c>
      <c r="E1267" s="1">
        <v>2173</v>
      </c>
      <c r="F1267" s="28">
        <v>198</v>
      </c>
      <c r="G1267" s="9">
        <v>6</v>
      </c>
      <c r="H1267" s="1" t="s">
        <v>3073</v>
      </c>
      <c r="I1267" s="1" t="s">
        <v>3073</v>
      </c>
      <c r="J1267" t="str">
        <f t="shared" si="19"/>
        <v>http://www.badatelna.eu/reprodukce/?fondId=1073&amp;zaznamId=1108959&amp;reproId=3780191</v>
      </c>
      <c r="K1267">
        <f>IF(LEN(TRIM(E1267))=0,"",VLOOKUP(E1267,Sheet2!$B$1:$E$19,2,FALSE))</f>
        <v>1073</v>
      </c>
      <c r="L1267">
        <f>IF(LEN(TRIM(E1267))=0,"",VLOOKUP(E1267,Sheet2!$B$1:$E$19,3,FALSE))</f>
        <v>1108959</v>
      </c>
      <c r="M1267">
        <f>IF(LEN(TRIM(E1267))=0,"",VLOOKUP(E1267,Sheet2!$B$1:$E$19,4,FALSE))+(F1267-1)</f>
        <v>3780191</v>
      </c>
      <c r="N1267" s="1"/>
      <c r="O1267" s="1"/>
      <c r="P1267" s="1"/>
      <c r="Q1267" s="1"/>
    </row>
    <row r="1268" spans="1:17" ht="15" customHeight="1" x14ac:dyDescent="0.25">
      <c r="A1268" s="27" t="s">
        <v>302</v>
      </c>
      <c r="B1268" s="27" t="s">
        <v>155</v>
      </c>
      <c r="C1268" s="5" t="s">
        <v>1136</v>
      </c>
      <c r="D1268" s="3" t="s">
        <v>454</v>
      </c>
      <c r="E1268" s="3">
        <v>2170</v>
      </c>
      <c r="F1268" s="28">
        <v>17</v>
      </c>
      <c r="G1268" s="10">
        <v>13</v>
      </c>
      <c r="H1268" s="3">
        <v>63</v>
      </c>
      <c r="I1268" s="3">
        <v>59</v>
      </c>
      <c r="J1268" t="str">
        <f t="shared" si="19"/>
        <v>http://www.badatelna.eu/reprodukce/?fondId=1073&amp;zaznamId=1108956&amp;reproId=3779609</v>
      </c>
      <c r="K1268">
        <f>IF(LEN(TRIM(E1268))=0,"",VLOOKUP(E1268,Sheet2!$B$1:$E$19,2,FALSE))</f>
        <v>1073</v>
      </c>
      <c r="L1268">
        <f>IF(LEN(TRIM(E1268))=0,"",VLOOKUP(E1268,Sheet2!$B$1:$E$19,3,FALSE))</f>
        <v>1108956</v>
      </c>
      <c r="M1268">
        <f>IF(LEN(TRIM(E1268))=0,"",VLOOKUP(E1268,Sheet2!$B$1:$E$19,4,FALSE))+(F1268-1)</f>
        <v>3779609</v>
      </c>
      <c r="N1268" s="1"/>
      <c r="O1268" s="1"/>
      <c r="P1268" s="1"/>
      <c r="Q1268" s="1"/>
    </row>
    <row r="1269" spans="1:17" ht="15" customHeight="1" x14ac:dyDescent="0.25">
      <c r="A1269" s="28" t="s">
        <v>302</v>
      </c>
      <c r="B1269" s="28" t="s">
        <v>308</v>
      </c>
      <c r="C1269" s="6" t="s">
        <v>2089</v>
      </c>
      <c r="D1269" s="1" t="s">
        <v>454</v>
      </c>
      <c r="E1269" s="1">
        <v>2173</v>
      </c>
      <c r="F1269" s="28">
        <v>182</v>
      </c>
      <c r="G1269" s="9">
        <v>10</v>
      </c>
      <c r="H1269" s="1">
        <v>189</v>
      </c>
      <c r="I1269" s="1">
        <v>420</v>
      </c>
      <c r="J1269" t="str">
        <f t="shared" si="19"/>
        <v>http://www.badatelna.eu/reprodukce/?fondId=1073&amp;zaznamId=1108959&amp;reproId=3780175</v>
      </c>
      <c r="K1269">
        <f>IF(LEN(TRIM(E1269))=0,"",VLOOKUP(E1269,Sheet2!$B$1:$E$19,2,FALSE))</f>
        <v>1073</v>
      </c>
      <c r="L1269">
        <f>IF(LEN(TRIM(E1269))=0,"",VLOOKUP(E1269,Sheet2!$B$1:$E$19,3,FALSE))</f>
        <v>1108959</v>
      </c>
      <c r="M1269">
        <f>IF(LEN(TRIM(E1269))=0,"",VLOOKUP(E1269,Sheet2!$B$1:$E$19,4,FALSE))+(F1269-1)</f>
        <v>3780175</v>
      </c>
      <c r="N1269" s="1"/>
      <c r="O1269" s="1"/>
      <c r="P1269" s="1"/>
      <c r="Q1269" s="1"/>
    </row>
    <row r="1270" spans="1:17" ht="15" customHeight="1" x14ac:dyDescent="0.25">
      <c r="A1270" s="27" t="s">
        <v>302</v>
      </c>
      <c r="B1270" s="27" t="s">
        <v>60</v>
      </c>
      <c r="C1270" s="5" t="s">
        <v>1217</v>
      </c>
      <c r="D1270" s="3" t="s">
        <v>454</v>
      </c>
      <c r="E1270" s="3">
        <v>2170</v>
      </c>
      <c r="F1270" s="28">
        <v>51</v>
      </c>
      <c r="G1270" s="10">
        <v>47</v>
      </c>
      <c r="H1270" s="3">
        <v>63</v>
      </c>
      <c r="I1270" s="3">
        <v>59</v>
      </c>
      <c r="J1270" t="str">
        <f t="shared" si="19"/>
        <v>http://www.badatelna.eu/reprodukce/?fondId=1073&amp;zaznamId=1108956&amp;reproId=3779643</v>
      </c>
      <c r="K1270">
        <f>IF(LEN(TRIM(E1270))=0,"",VLOOKUP(E1270,Sheet2!$B$1:$E$19,2,FALSE))</f>
        <v>1073</v>
      </c>
      <c r="L1270">
        <f>IF(LEN(TRIM(E1270))=0,"",VLOOKUP(E1270,Sheet2!$B$1:$E$19,3,FALSE))</f>
        <v>1108956</v>
      </c>
      <c r="M1270">
        <f>IF(LEN(TRIM(E1270))=0,"",VLOOKUP(E1270,Sheet2!$B$1:$E$19,4,FALSE))+(F1270-1)</f>
        <v>3779643</v>
      </c>
      <c r="N1270" s="1"/>
      <c r="O1270" s="1"/>
      <c r="P1270" s="1"/>
      <c r="Q1270" s="1"/>
    </row>
    <row r="1271" spans="1:17" ht="15" customHeight="1" x14ac:dyDescent="0.25">
      <c r="A1271" s="28" t="s">
        <v>302</v>
      </c>
      <c r="B1271" s="28" t="s">
        <v>340</v>
      </c>
      <c r="C1271" s="6" t="s">
        <v>1566</v>
      </c>
      <c r="D1271" s="1" t="s">
        <v>454</v>
      </c>
      <c r="E1271" s="1">
        <v>2172</v>
      </c>
      <c r="F1271" s="28">
        <v>19</v>
      </c>
      <c r="G1271" s="9" t="s">
        <v>1041</v>
      </c>
      <c r="H1271" s="1">
        <v>24</v>
      </c>
      <c r="I1271" s="1">
        <v>23</v>
      </c>
      <c r="J1271" t="str">
        <f t="shared" si="19"/>
        <v>http://www.badatelna.eu/reprodukce/?fondId=1073&amp;zaznamId=1108958&amp;reproId=3779760</v>
      </c>
      <c r="K1271">
        <f>IF(LEN(TRIM(E1271))=0,"",VLOOKUP(E1271,Sheet2!$B$1:$E$19,2,FALSE))</f>
        <v>1073</v>
      </c>
      <c r="L1271">
        <f>IF(LEN(TRIM(E1271))=0,"",VLOOKUP(E1271,Sheet2!$B$1:$E$19,3,FALSE))</f>
        <v>1108958</v>
      </c>
      <c r="M1271">
        <f>IF(LEN(TRIM(E1271))=0,"",VLOOKUP(E1271,Sheet2!$B$1:$E$19,4,FALSE))+(F1271-1)</f>
        <v>3779760</v>
      </c>
      <c r="N1271" s="1"/>
      <c r="O1271" s="1"/>
      <c r="P1271" s="1"/>
      <c r="Q1271" s="1"/>
    </row>
    <row r="1272" spans="1:17" ht="15" customHeight="1" x14ac:dyDescent="0.25">
      <c r="A1272" s="27" t="s">
        <v>302</v>
      </c>
      <c r="B1272" s="27" t="s">
        <v>91</v>
      </c>
      <c r="C1272" s="5" t="s">
        <v>1216</v>
      </c>
      <c r="D1272" s="3" t="s">
        <v>454</v>
      </c>
      <c r="E1272" s="3">
        <v>2170</v>
      </c>
      <c r="F1272" s="28">
        <v>10</v>
      </c>
      <c r="G1272" s="10">
        <v>6</v>
      </c>
      <c r="H1272" s="3">
        <v>63</v>
      </c>
      <c r="I1272" s="3">
        <v>59</v>
      </c>
      <c r="J1272" t="str">
        <f t="shared" si="19"/>
        <v>http://www.badatelna.eu/reprodukce/?fondId=1073&amp;zaznamId=1108956&amp;reproId=3779602</v>
      </c>
      <c r="K1272">
        <f>IF(LEN(TRIM(E1272))=0,"",VLOOKUP(E1272,Sheet2!$B$1:$E$19,2,FALSE))</f>
        <v>1073</v>
      </c>
      <c r="L1272">
        <f>IF(LEN(TRIM(E1272))=0,"",VLOOKUP(E1272,Sheet2!$B$1:$E$19,3,FALSE))</f>
        <v>1108956</v>
      </c>
      <c r="M1272">
        <f>IF(LEN(TRIM(E1272))=0,"",VLOOKUP(E1272,Sheet2!$B$1:$E$19,4,FALSE))+(F1272-1)</f>
        <v>3779602</v>
      </c>
      <c r="N1272" s="1"/>
      <c r="O1272" s="1"/>
      <c r="P1272" s="1"/>
      <c r="Q1272" s="1"/>
    </row>
    <row r="1273" spans="1:17" ht="15" customHeight="1" x14ac:dyDescent="0.25">
      <c r="A1273" s="27"/>
      <c r="B1273" s="27"/>
      <c r="C1273" s="35" t="s">
        <v>3123</v>
      </c>
      <c r="D1273" s="3"/>
      <c r="E1273" s="3"/>
      <c r="F1273" s="28"/>
      <c r="G1273" s="10"/>
      <c r="H1273" s="3"/>
      <c r="I1273" s="3"/>
      <c r="J1273" t="str">
        <f t="shared" si="19"/>
        <v/>
      </c>
      <c r="K1273" t="str">
        <f>IF(LEN(TRIM(E1273))=0,"",VLOOKUP(E1273,Sheet2!$B$1:$E$19,2,FALSE))</f>
        <v/>
      </c>
      <c r="L1273" t="str">
        <f>IF(LEN(TRIM(E1273))=0,"",VLOOKUP(E1273,Sheet2!$B$1:$E$19,3,FALSE))</f>
        <v/>
      </c>
      <c r="M1273" t="e">
        <f>IF(LEN(TRIM(E1273))=0,"",VLOOKUP(E1273,Sheet2!$B$1:$E$19,4,FALSE))+(F1273-1)</f>
        <v>#VALUE!</v>
      </c>
      <c r="N1273" s="1"/>
      <c r="O1273" s="1"/>
      <c r="P1273" s="1"/>
      <c r="Q1273" s="1"/>
    </row>
    <row r="1274" spans="1:17" ht="15" customHeight="1" x14ac:dyDescent="0.25">
      <c r="A1274" s="29" t="s">
        <v>2859</v>
      </c>
      <c r="B1274" s="28" t="s">
        <v>31</v>
      </c>
      <c r="C1274" s="6" t="s">
        <v>2401</v>
      </c>
      <c r="D1274" s="1" t="s">
        <v>454</v>
      </c>
      <c r="E1274" s="1">
        <v>2173</v>
      </c>
      <c r="F1274" s="28">
        <v>202</v>
      </c>
      <c r="G1274" s="9">
        <v>14</v>
      </c>
      <c r="H1274" s="1" t="s">
        <v>3073</v>
      </c>
      <c r="I1274" s="1" t="s">
        <v>3073</v>
      </c>
      <c r="J1274" t="str">
        <f t="shared" si="19"/>
        <v>http://www.badatelna.eu/reprodukce/?fondId=1073&amp;zaznamId=1108959&amp;reproId=3780195</v>
      </c>
      <c r="K1274">
        <f>IF(LEN(TRIM(E1274))=0,"",VLOOKUP(E1274,Sheet2!$B$1:$E$19,2,FALSE))</f>
        <v>1073</v>
      </c>
      <c r="L1274">
        <f>IF(LEN(TRIM(E1274))=0,"",VLOOKUP(E1274,Sheet2!$B$1:$E$19,3,FALSE))</f>
        <v>1108959</v>
      </c>
      <c r="M1274">
        <f>IF(LEN(TRIM(E1274))=0,"",VLOOKUP(E1274,Sheet2!$B$1:$E$19,4,FALSE))+(F1274-1)</f>
        <v>3780195</v>
      </c>
      <c r="N1274" s="1"/>
      <c r="O1274" s="1"/>
      <c r="P1274" s="1"/>
      <c r="Q1274" s="1"/>
    </row>
    <row r="1275" spans="1:17" ht="15" customHeight="1" x14ac:dyDescent="0.25">
      <c r="A1275" s="28" t="s">
        <v>910</v>
      </c>
      <c r="B1275" s="29" t="s">
        <v>2973</v>
      </c>
      <c r="C1275" s="1">
        <v>1852</v>
      </c>
      <c r="D1275" s="1" t="s">
        <v>2919</v>
      </c>
      <c r="E1275" s="1">
        <v>998</v>
      </c>
      <c r="F1275" s="28">
        <v>36</v>
      </c>
      <c r="G1275" s="1">
        <v>34</v>
      </c>
      <c r="H1275" s="1">
        <v>71</v>
      </c>
      <c r="I1275" s="1">
        <v>68</v>
      </c>
      <c r="J1275" t="str">
        <f t="shared" si="19"/>
        <v>http://www.badatelna.eu/reprodukce/?fondId=241&amp;zaznamId=1133738&amp;reproId=3885682</v>
      </c>
      <c r="K1275">
        <f>IF(LEN(TRIM(E1275))=0,"",VLOOKUP(E1275,Sheet2!$B$1:$E$19,2,FALSE))</f>
        <v>241</v>
      </c>
      <c r="L1275">
        <f>IF(LEN(TRIM(E1275))=0,"",VLOOKUP(E1275,Sheet2!$B$1:$E$19,3,FALSE))</f>
        <v>1133738</v>
      </c>
      <c r="M1275">
        <f>IF(LEN(TRIM(E1275))=0,"",VLOOKUP(E1275,Sheet2!$B$1:$E$19,4,FALSE))+(F1275-1)</f>
        <v>3885682</v>
      </c>
      <c r="N1275" s="1"/>
      <c r="O1275" s="1"/>
      <c r="P1275" s="1"/>
      <c r="Q1275" s="1"/>
    </row>
    <row r="1276" spans="1:17" ht="15" customHeight="1" x14ac:dyDescent="0.25">
      <c r="A1276" s="28" t="s">
        <v>910</v>
      </c>
      <c r="B1276" s="28" t="s">
        <v>801</v>
      </c>
      <c r="C1276" s="6" t="s">
        <v>1658</v>
      </c>
      <c r="D1276" s="1" t="s">
        <v>454</v>
      </c>
      <c r="E1276" s="1">
        <v>2172</v>
      </c>
      <c r="F1276" s="28">
        <v>102</v>
      </c>
      <c r="G1276" s="9">
        <v>101</v>
      </c>
      <c r="H1276" s="1">
        <v>103</v>
      </c>
      <c r="I1276" s="1">
        <v>102</v>
      </c>
      <c r="J1276" t="str">
        <f t="shared" si="19"/>
        <v>http://www.badatelna.eu/reprodukce/?fondId=1073&amp;zaznamId=1108958&amp;reproId=3779843</v>
      </c>
      <c r="K1276">
        <f>IF(LEN(TRIM(E1276))=0,"",VLOOKUP(E1276,Sheet2!$B$1:$E$19,2,FALSE))</f>
        <v>1073</v>
      </c>
      <c r="L1276">
        <f>IF(LEN(TRIM(E1276))=0,"",VLOOKUP(E1276,Sheet2!$B$1:$E$19,3,FALSE))</f>
        <v>1108958</v>
      </c>
      <c r="M1276">
        <f>IF(LEN(TRIM(E1276))=0,"",VLOOKUP(E1276,Sheet2!$B$1:$E$19,4,FALSE))+(F1276-1)</f>
        <v>3779843</v>
      </c>
      <c r="N1276" s="1"/>
      <c r="O1276" s="1"/>
      <c r="P1276" s="1"/>
      <c r="Q1276" s="1"/>
    </row>
    <row r="1277" spans="1:17" ht="15" customHeight="1" x14ac:dyDescent="0.25">
      <c r="A1277" s="28" t="s">
        <v>910</v>
      </c>
      <c r="B1277" s="28" t="s">
        <v>84</v>
      </c>
      <c r="C1277" s="1">
        <v>1889</v>
      </c>
      <c r="D1277" s="1" t="s">
        <v>454</v>
      </c>
      <c r="E1277" s="1">
        <v>2172</v>
      </c>
      <c r="F1277" s="28">
        <v>68</v>
      </c>
      <c r="G1277" s="9" t="s">
        <v>3083</v>
      </c>
      <c r="H1277" s="1">
        <v>70</v>
      </c>
      <c r="I1277" s="1">
        <v>69</v>
      </c>
      <c r="J1277" t="str">
        <f t="shared" si="19"/>
        <v>http://www.badatelna.eu/reprodukce/?fondId=1073&amp;zaznamId=1108958&amp;reproId=3779809</v>
      </c>
      <c r="K1277">
        <f>IF(LEN(TRIM(E1277))=0,"",VLOOKUP(E1277,Sheet2!$B$1:$E$19,2,FALSE))</f>
        <v>1073</v>
      </c>
      <c r="L1277">
        <f>IF(LEN(TRIM(E1277))=0,"",VLOOKUP(E1277,Sheet2!$B$1:$E$19,3,FALSE))</f>
        <v>1108958</v>
      </c>
      <c r="M1277">
        <f>IF(LEN(TRIM(E1277))=0,"",VLOOKUP(E1277,Sheet2!$B$1:$E$19,4,FALSE))+(F1277-1)</f>
        <v>3779809</v>
      </c>
    </row>
    <row r="1278" spans="1:17" ht="15" customHeight="1" x14ac:dyDescent="0.25">
      <c r="A1278" s="28" t="s">
        <v>910</v>
      </c>
      <c r="B1278" s="28" t="s">
        <v>778</v>
      </c>
      <c r="C1278" s="1">
        <v>1882</v>
      </c>
      <c r="D1278" s="1" t="s">
        <v>454</v>
      </c>
      <c r="E1278" s="1">
        <v>2172</v>
      </c>
      <c r="F1278" s="29">
        <v>28</v>
      </c>
      <c r="G1278" s="9" t="s">
        <v>2757</v>
      </c>
      <c r="H1278" s="1">
        <v>30</v>
      </c>
      <c r="I1278" s="1">
        <v>29</v>
      </c>
      <c r="J1278" t="str">
        <f t="shared" si="19"/>
        <v>http://www.badatelna.eu/reprodukce/?fondId=1073&amp;zaznamId=1108958&amp;reproId=3779769</v>
      </c>
      <c r="K1278">
        <f>IF(LEN(TRIM(E1278))=0,"",VLOOKUP(E1278,Sheet2!$B$1:$E$19,2,FALSE))</f>
        <v>1073</v>
      </c>
      <c r="L1278">
        <f>IF(LEN(TRIM(E1278))=0,"",VLOOKUP(E1278,Sheet2!$B$1:$E$19,3,FALSE))</f>
        <v>1108958</v>
      </c>
      <c r="M1278">
        <f>IF(LEN(TRIM(E1278))=0,"",VLOOKUP(E1278,Sheet2!$B$1:$E$19,4,FALSE))+(F1278-1)</f>
        <v>3779769</v>
      </c>
      <c r="N1278" s="1"/>
      <c r="O1278" s="1"/>
      <c r="P1278" s="1"/>
      <c r="Q1278" s="1"/>
    </row>
    <row r="1279" spans="1:17" ht="15" customHeight="1" x14ac:dyDescent="0.25">
      <c r="A1279" s="28" t="s">
        <v>910</v>
      </c>
      <c r="B1279" s="28" t="s">
        <v>28</v>
      </c>
      <c r="C1279" s="1">
        <v>1850</v>
      </c>
      <c r="D1279" s="1" t="s">
        <v>2919</v>
      </c>
      <c r="E1279" s="1">
        <v>998</v>
      </c>
      <c r="F1279" s="28">
        <v>30</v>
      </c>
      <c r="G1279" s="1">
        <v>28</v>
      </c>
      <c r="H1279" s="1">
        <v>71</v>
      </c>
      <c r="I1279" s="1">
        <v>68</v>
      </c>
      <c r="J1279" t="str">
        <f t="shared" si="19"/>
        <v>http://www.badatelna.eu/reprodukce/?fondId=241&amp;zaznamId=1133738&amp;reproId=3885676</v>
      </c>
      <c r="K1279">
        <f>IF(LEN(TRIM(E1279))=0,"",VLOOKUP(E1279,Sheet2!$B$1:$E$19,2,FALSE))</f>
        <v>241</v>
      </c>
      <c r="L1279">
        <f>IF(LEN(TRIM(E1279))=0,"",VLOOKUP(E1279,Sheet2!$B$1:$E$19,3,FALSE))</f>
        <v>1133738</v>
      </c>
      <c r="M1279">
        <f>IF(LEN(TRIM(E1279))=0,"",VLOOKUP(E1279,Sheet2!$B$1:$E$19,4,FALSE))+(F1279-1)</f>
        <v>3885676</v>
      </c>
    </row>
    <row r="1280" spans="1:17" ht="15" customHeight="1" x14ac:dyDescent="0.2">
      <c r="A1280" s="32" t="s">
        <v>3102</v>
      </c>
      <c r="B1280" s="31" t="s">
        <v>25</v>
      </c>
      <c r="C1280" s="7" t="s">
        <v>2250</v>
      </c>
      <c r="D1280" s="1" t="s">
        <v>454</v>
      </c>
      <c r="E1280" s="1">
        <v>2173</v>
      </c>
      <c r="F1280" s="31">
        <v>197</v>
      </c>
      <c r="G1280" s="12">
        <v>4</v>
      </c>
      <c r="H1280" s="1" t="s">
        <v>3073</v>
      </c>
      <c r="I1280" s="1" t="s">
        <v>3073</v>
      </c>
      <c r="J1280" t="str">
        <f t="shared" si="19"/>
        <v>http://www.badatelna.eu/reprodukce/?fondId=1073&amp;zaznamId=1108959&amp;reproId=3780190</v>
      </c>
      <c r="K1280">
        <f>IF(LEN(TRIM(E1280))=0,"",VLOOKUP(E1280,Sheet2!$B$1:$E$19,2,FALSE))</f>
        <v>1073</v>
      </c>
      <c r="L1280">
        <f>IF(LEN(TRIM(E1280))=0,"",VLOOKUP(E1280,Sheet2!$B$1:$E$19,3,FALSE))</f>
        <v>1108959</v>
      </c>
      <c r="M1280">
        <f>IF(LEN(TRIM(E1280))=0,"",VLOOKUP(E1280,Sheet2!$B$1:$E$19,4,FALSE))+(F1280-1)</f>
        <v>3780190</v>
      </c>
      <c r="N1280" s="1"/>
      <c r="O1280" s="1"/>
      <c r="P1280" s="1"/>
      <c r="Q1280" s="1"/>
    </row>
    <row r="1281" spans="1:17" ht="15" customHeight="1" x14ac:dyDescent="0.25">
      <c r="A1281" s="29" t="s">
        <v>3102</v>
      </c>
      <c r="B1281" s="28" t="s">
        <v>74</v>
      </c>
      <c r="C1281" s="6" t="s">
        <v>2249</v>
      </c>
      <c r="D1281" s="1" t="s">
        <v>454</v>
      </c>
      <c r="E1281" s="1">
        <v>2173</v>
      </c>
      <c r="F1281" s="31">
        <v>197</v>
      </c>
      <c r="G1281" s="12">
        <v>4</v>
      </c>
      <c r="H1281" s="1" t="s">
        <v>3073</v>
      </c>
      <c r="I1281" s="1" t="s">
        <v>3073</v>
      </c>
      <c r="J1281" t="str">
        <f t="shared" si="19"/>
        <v>http://www.badatelna.eu/reprodukce/?fondId=1073&amp;zaznamId=1108959&amp;reproId=3780190</v>
      </c>
      <c r="K1281">
        <f>IF(LEN(TRIM(E1281))=0,"",VLOOKUP(E1281,Sheet2!$B$1:$E$19,2,FALSE))</f>
        <v>1073</v>
      </c>
      <c r="L1281">
        <f>IF(LEN(TRIM(E1281))=0,"",VLOOKUP(E1281,Sheet2!$B$1:$E$19,3,FALSE))</f>
        <v>1108959</v>
      </c>
      <c r="M1281">
        <f>IF(LEN(TRIM(E1281))=0,"",VLOOKUP(E1281,Sheet2!$B$1:$E$19,4,FALSE))+(F1281-1)</f>
        <v>3780190</v>
      </c>
      <c r="N1281" s="1"/>
      <c r="O1281" s="1"/>
      <c r="P1281" s="1"/>
      <c r="Q1281" s="1"/>
    </row>
    <row r="1282" spans="1:17" ht="15" customHeight="1" x14ac:dyDescent="0.25">
      <c r="A1282" s="28" t="s">
        <v>423</v>
      </c>
      <c r="B1282" s="28" t="s">
        <v>22</v>
      </c>
      <c r="C1282" s="6" t="s">
        <v>2676</v>
      </c>
      <c r="D1282" s="1" t="s">
        <v>454</v>
      </c>
      <c r="E1282" s="1">
        <v>2173</v>
      </c>
      <c r="F1282" s="28">
        <v>223</v>
      </c>
      <c r="G1282" s="9">
        <v>52</v>
      </c>
      <c r="H1282" s="1" t="s">
        <v>3073</v>
      </c>
      <c r="I1282" s="1" t="s">
        <v>3073</v>
      </c>
      <c r="J1282" t="str">
        <f t="shared" si="19"/>
        <v>http://www.badatelna.eu/reprodukce/?fondId=1073&amp;zaznamId=1108959&amp;reproId=3780216</v>
      </c>
      <c r="K1282">
        <f>IF(LEN(TRIM(E1282))=0,"",VLOOKUP(E1282,Sheet2!$B$1:$E$19,2,FALSE))</f>
        <v>1073</v>
      </c>
      <c r="L1282">
        <f>IF(LEN(TRIM(E1282))=0,"",VLOOKUP(E1282,Sheet2!$B$1:$E$19,3,FALSE))</f>
        <v>1108959</v>
      </c>
      <c r="M1282">
        <f>IF(LEN(TRIM(E1282))=0,"",VLOOKUP(E1282,Sheet2!$B$1:$E$19,4,FALSE))+(F1282-1)</f>
        <v>3780216</v>
      </c>
      <c r="N1282" s="1"/>
      <c r="O1282" s="1"/>
      <c r="P1282" s="1"/>
      <c r="Q1282" s="1"/>
    </row>
    <row r="1283" spans="1:17" ht="15" customHeight="1" x14ac:dyDescent="0.25">
      <c r="A1283" s="28" t="s">
        <v>911</v>
      </c>
      <c r="B1283" s="28" t="s">
        <v>690</v>
      </c>
      <c r="C1283" s="15">
        <v>12243</v>
      </c>
      <c r="D1283" s="1" t="s">
        <v>454</v>
      </c>
      <c r="E1283" s="1">
        <v>2172</v>
      </c>
      <c r="F1283" s="28">
        <v>227</v>
      </c>
      <c r="G1283" s="9">
        <v>208</v>
      </c>
      <c r="H1283" s="1" t="s">
        <v>3073</v>
      </c>
      <c r="I1283" s="1" t="s">
        <v>3073</v>
      </c>
      <c r="J1283" t="str">
        <f t="shared" ref="J1283:J1346" si="20">IF(LEN(TRIM(E1283))=0,"","http://www.badatelna.eu/reprodukce/?fondId="&amp;K1283&amp;"&amp;zaznamId="&amp;L1283&amp;"&amp;reproId="&amp;M1283)</f>
        <v>http://www.badatelna.eu/reprodukce/?fondId=1073&amp;zaznamId=1108958&amp;reproId=3779968</v>
      </c>
      <c r="K1283">
        <f>IF(LEN(TRIM(E1283))=0,"",VLOOKUP(E1283,Sheet2!$B$1:$E$19,2,FALSE))</f>
        <v>1073</v>
      </c>
      <c r="L1283">
        <f>IF(LEN(TRIM(E1283))=0,"",VLOOKUP(E1283,Sheet2!$B$1:$E$19,3,FALSE))</f>
        <v>1108958</v>
      </c>
      <c r="M1283">
        <f>IF(LEN(TRIM(E1283))=0,"",VLOOKUP(E1283,Sheet2!$B$1:$E$19,4,FALSE))+(F1283-1)</f>
        <v>3779968</v>
      </c>
      <c r="N1283" s="1"/>
      <c r="O1283" s="1"/>
      <c r="P1283" s="1"/>
      <c r="Q1283" s="1"/>
    </row>
    <row r="1284" spans="1:17" ht="15" customHeight="1" x14ac:dyDescent="0.25">
      <c r="A1284" s="28" t="s">
        <v>298</v>
      </c>
      <c r="B1284" s="28" t="s">
        <v>48</v>
      </c>
      <c r="C1284" s="6" t="s">
        <v>2090</v>
      </c>
      <c r="D1284" s="1" t="s">
        <v>454</v>
      </c>
      <c r="E1284" s="1">
        <v>2173</v>
      </c>
      <c r="F1284" s="28">
        <v>179</v>
      </c>
      <c r="G1284" s="9">
        <v>4</v>
      </c>
      <c r="H1284" s="1">
        <v>189</v>
      </c>
      <c r="I1284" s="1">
        <v>420</v>
      </c>
      <c r="J1284" t="str">
        <f t="shared" si="20"/>
        <v>http://www.badatelna.eu/reprodukce/?fondId=1073&amp;zaznamId=1108959&amp;reproId=3780172</v>
      </c>
      <c r="K1284">
        <f>IF(LEN(TRIM(E1284))=0,"",VLOOKUP(E1284,Sheet2!$B$1:$E$19,2,FALSE))</f>
        <v>1073</v>
      </c>
      <c r="L1284">
        <f>IF(LEN(TRIM(E1284))=0,"",VLOOKUP(E1284,Sheet2!$B$1:$E$19,3,FALSE))</f>
        <v>1108959</v>
      </c>
      <c r="M1284">
        <f>IF(LEN(TRIM(E1284))=0,"",VLOOKUP(E1284,Sheet2!$B$1:$E$19,4,FALSE))+(F1284-1)</f>
        <v>3780172</v>
      </c>
      <c r="N1284" s="1"/>
      <c r="O1284" s="1"/>
      <c r="P1284" s="1"/>
      <c r="Q1284" s="1"/>
    </row>
    <row r="1285" spans="1:17" ht="15" customHeight="1" x14ac:dyDescent="0.25">
      <c r="A1285" s="29" t="s">
        <v>298</v>
      </c>
      <c r="B1285" s="28" t="s">
        <v>184</v>
      </c>
      <c r="C1285" s="6" t="s">
        <v>2608</v>
      </c>
      <c r="D1285" s="1" t="s">
        <v>454</v>
      </c>
      <c r="E1285" s="1">
        <v>2173</v>
      </c>
      <c r="F1285" s="28">
        <v>218</v>
      </c>
      <c r="G1285" s="9">
        <v>45</v>
      </c>
      <c r="H1285" s="1" t="s">
        <v>3073</v>
      </c>
      <c r="I1285" s="1" t="s">
        <v>3073</v>
      </c>
      <c r="J1285" t="str">
        <f t="shared" si="20"/>
        <v>http://www.badatelna.eu/reprodukce/?fondId=1073&amp;zaznamId=1108959&amp;reproId=3780211</v>
      </c>
      <c r="K1285">
        <f>IF(LEN(TRIM(E1285))=0,"",VLOOKUP(E1285,Sheet2!$B$1:$E$19,2,FALSE))</f>
        <v>1073</v>
      </c>
      <c r="L1285">
        <f>IF(LEN(TRIM(E1285))=0,"",VLOOKUP(E1285,Sheet2!$B$1:$E$19,3,FALSE))</f>
        <v>1108959</v>
      </c>
      <c r="M1285">
        <f>IF(LEN(TRIM(E1285))=0,"",VLOOKUP(E1285,Sheet2!$B$1:$E$19,4,FALSE))+(F1285-1)</f>
        <v>3780211</v>
      </c>
      <c r="N1285" s="1"/>
      <c r="O1285" s="1"/>
      <c r="P1285" s="1"/>
      <c r="Q1285" s="1"/>
    </row>
    <row r="1286" spans="1:17" ht="15" customHeight="1" x14ac:dyDescent="0.25">
      <c r="A1286" s="28" t="s">
        <v>295</v>
      </c>
      <c r="B1286" s="28" t="s">
        <v>263</v>
      </c>
      <c r="C1286" s="6" t="s">
        <v>2091</v>
      </c>
      <c r="D1286" s="1" t="s">
        <v>454</v>
      </c>
      <c r="E1286" s="1">
        <v>2173</v>
      </c>
      <c r="F1286" s="28">
        <v>178</v>
      </c>
      <c r="G1286" s="9">
        <v>2</v>
      </c>
      <c r="H1286" s="1">
        <v>189</v>
      </c>
      <c r="I1286" s="1">
        <v>420</v>
      </c>
      <c r="J1286" t="str">
        <f t="shared" si="20"/>
        <v>http://www.badatelna.eu/reprodukce/?fondId=1073&amp;zaznamId=1108959&amp;reproId=3780171</v>
      </c>
      <c r="K1286">
        <f>IF(LEN(TRIM(E1286))=0,"",VLOOKUP(E1286,Sheet2!$B$1:$E$19,2,FALSE))</f>
        <v>1073</v>
      </c>
      <c r="L1286">
        <f>IF(LEN(TRIM(E1286))=0,"",VLOOKUP(E1286,Sheet2!$B$1:$E$19,3,FALSE))</f>
        <v>1108959</v>
      </c>
      <c r="M1286">
        <f>IF(LEN(TRIM(E1286))=0,"",VLOOKUP(E1286,Sheet2!$B$1:$E$19,4,FALSE))+(F1286-1)</f>
        <v>3780171</v>
      </c>
      <c r="N1286" s="1"/>
      <c r="O1286" s="1"/>
      <c r="P1286" s="1"/>
      <c r="Q1286" s="1"/>
    </row>
    <row r="1287" spans="1:17" ht="15" customHeight="1" x14ac:dyDescent="0.25">
      <c r="A1287" s="27" t="s">
        <v>554</v>
      </c>
      <c r="B1287" s="27" t="s">
        <v>466</v>
      </c>
      <c r="C1287" s="5" t="s">
        <v>1218</v>
      </c>
      <c r="D1287" s="3" t="s">
        <v>454</v>
      </c>
      <c r="E1287" s="3">
        <v>2170</v>
      </c>
      <c r="F1287" s="28">
        <v>30</v>
      </c>
      <c r="G1287" s="10">
        <v>26</v>
      </c>
      <c r="H1287" s="3">
        <v>63</v>
      </c>
      <c r="I1287" s="3">
        <v>59</v>
      </c>
      <c r="J1287" t="str">
        <f t="shared" si="20"/>
        <v>http://www.badatelna.eu/reprodukce/?fondId=1073&amp;zaznamId=1108956&amp;reproId=3779622</v>
      </c>
      <c r="K1287">
        <f>IF(LEN(TRIM(E1287))=0,"",VLOOKUP(E1287,Sheet2!$B$1:$E$19,2,FALSE))</f>
        <v>1073</v>
      </c>
      <c r="L1287">
        <f>IF(LEN(TRIM(E1287))=0,"",VLOOKUP(E1287,Sheet2!$B$1:$E$19,3,FALSE))</f>
        <v>1108956</v>
      </c>
      <c r="M1287">
        <f>IF(LEN(TRIM(E1287))=0,"",VLOOKUP(E1287,Sheet2!$B$1:$E$19,4,FALSE))+(F1287-1)</f>
        <v>3779622</v>
      </c>
      <c r="N1287" s="1"/>
      <c r="O1287" s="1"/>
      <c r="P1287" s="1"/>
      <c r="Q1287" s="1"/>
    </row>
    <row r="1288" spans="1:17" ht="15" customHeight="1" x14ac:dyDescent="0.25">
      <c r="A1288" s="28" t="s">
        <v>216</v>
      </c>
      <c r="B1288" s="28" t="s">
        <v>80</v>
      </c>
      <c r="C1288" s="6" t="s">
        <v>2512</v>
      </c>
      <c r="D1288" s="1" t="s">
        <v>454</v>
      </c>
      <c r="E1288" s="1">
        <v>2173</v>
      </c>
      <c r="F1288" s="28">
        <v>206</v>
      </c>
      <c r="G1288" s="1">
        <v>21</v>
      </c>
      <c r="H1288" s="1" t="s">
        <v>3073</v>
      </c>
      <c r="I1288" s="1" t="s">
        <v>3073</v>
      </c>
      <c r="J1288" t="str">
        <f t="shared" si="20"/>
        <v>http://www.badatelna.eu/reprodukce/?fondId=1073&amp;zaznamId=1108959&amp;reproId=3780199</v>
      </c>
      <c r="K1288">
        <f>IF(LEN(TRIM(E1288))=0,"",VLOOKUP(E1288,Sheet2!$B$1:$E$19,2,FALSE))</f>
        <v>1073</v>
      </c>
      <c r="L1288">
        <f>IF(LEN(TRIM(E1288))=0,"",VLOOKUP(E1288,Sheet2!$B$1:$E$19,3,FALSE))</f>
        <v>1108959</v>
      </c>
      <c r="M1288">
        <f>IF(LEN(TRIM(E1288))=0,"",VLOOKUP(E1288,Sheet2!$B$1:$E$19,4,FALSE))+(F1288-1)</f>
        <v>3780199</v>
      </c>
    </row>
    <row r="1289" spans="1:17" ht="15" customHeight="1" x14ac:dyDescent="0.25">
      <c r="A1289" s="29" t="s">
        <v>34</v>
      </c>
      <c r="B1289" s="28" t="s">
        <v>33</v>
      </c>
      <c r="C1289" s="6" t="s">
        <v>2231</v>
      </c>
      <c r="D1289" s="1" t="s">
        <v>454</v>
      </c>
      <c r="E1289" s="1">
        <v>2173</v>
      </c>
      <c r="F1289" s="28">
        <v>196</v>
      </c>
      <c r="G1289" s="9">
        <v>2</v>
      </c>
      <c r="H1289" s="1" t="s">
        <v>3073</v>
      </c>
      <c r="I1289" s="1" t="s">
        <v>3073</v>
      </c>
      <c r="J1289" t="str">
        <f t="shared" si="20"/>
        <v>http://www.badatelna.eu/reprodukce/?fondId=1073&amp;zaznamId=1108959&amp;reproId=3780189</v>
      </c>
      <c r="K1289">
        <f>IF(LEN(TRIM(E1289))=0,"",VLOOKUP(E1289,Sheet2!$B$1:$E$19,2,FALSE))</f>
        <v>1073</v>
      </c>
      <c r="L1289">
        <f>IF(LEN(TRIM(E1289))=0,"",VLOOKUP(E1289,Sheet2!$B$1:$E$19,3,FALSE))</f>
        <v>1108959</v>
      </c>
      <c r="M1289">
        <f>IF(LEN(TRIM(E1289))=0,"",VLOOKUP(E1289,Sheet2!$B$1:$E$19,4,FALSE))+(F1289-1)</f>
        <v>3780189</v>
      </c>
    </row>
    <row r="1290" spans="1:17" ht="15" customHeight="1" x14ac:dyDescent="0.25">
      <c r="A1290" s="32" t="s">
        <v>34</v>
      </c>
      <c r="B1290" s="31" t="s">
        <v>53</v>
      </c>
      <c r="C1290" s="7" t="s">
        <v>2748</v>
      </c>
      <c r="D1290" s="1" t="s">
        <v>454</v>
      </c>
      <c r="E1290" s="1">
        <v>2173</v>
      </c>
      <c r="F1290" s="28">
        <v>196</v>
      </c>
      <c r="G1290" s="9">
        <v>2</v>
      </c>
      <c r="H1290" s="1" t="s">
        <v>3073</v>
      </c>
      <c r="I1290" s="1" t="s">
        <v>3073</v>
      </c>
      <c r="J1290" t="str">
        <f t="shared" si="20"/>
        <v>http://www.badatelna.eu/reprodukce/?fondId=1073&amp;zaznamId=1108959&amp;reproId=3780189</v>
      </c>
      <c r="K1290">
        <f>IF(LEN(TRIM(E1290))=0,"",VLOOKUP(E1290,Sheet2!$B$1:$E$19,2,FALSE))</f>
        <v>1073</v>
      </c>
      <c r="L1290">
        <f>IF(LEN(TRIM(E1290))=0,"",VLOOKUP(E1290,Sheet2!$B$1:$E$19,3,FALSE))</f>
        <v>1108959</v>
      </c>
      <c r="M1290">
        <f>IF(LEN(TRIM(E1290))=0,"",VLOOKUP(E1290,Sheet2!$B$1:$E$19,4,FALSE))+(F1290-1)</f>
        <v>3780189</v>
      </c>
      <c r="N1290" s="1"/>
      <c r="O1290" s="1"/>
      <c r="P1290" s="1"/>
      <c r="Q1290" s="1"/>
    </row>
    <row r="1291" spans="1:17" ht="15" customHeight="1" x14ac:dyDescent="0.25">
      <c r="A1291" s="28" t="s">
        <v>34</v>
      </c>
      <c r="B1291" s="28" t="s">
        <v>39</v>
      </c>
      <c r="C1291" s="6" t="s">
        <v>2319</v>
      </c>
      <c r="D1291" s="1" t="s">
        <v>454</v>
      </c>
      <c r="E1291" s="1">
        <v>2173</v>
      </c>
      <c r="F1291" s="31">
        <v>199</v>
      </c>
      <c r="G1291" s="9">
        <v>8</v>
      </c>
      <c r="H1291" s="1" t="s">
        <v>3073</v>
      </c>
      <c r="I1291" s="1" t="s">
        <v>3073</v>
      </c>
      <c r="J1291" t="str">
        <f t="shared" si="20"/>
        <v>http://www.badatelna.eu/reprodukce/?fondId=1073&amp;zaznamId=1108959&amp;reproId=3780192</v>
      </c>
      <c r="K1291">
        <f>IF(LEN(TRIM(E1291))=0,"",VLOOKUP(E1291,Sheet2!$B$1:$E$19,2,FALSE))</f>
        <v>1073</v>
      </c>
      <c r="L1291">
        <f>IF(LEN(TRIM(E1291))=0,"",VLOOKUP(E1291,Sheet2!$B$1:$E$19,3,FALSE))</f>
        <v>1108959</v>
      </c>
      <c r="M1291">
        <f>IF(LEN(TRIM(E1291))=0,"",VLOOKUP(E1291,Sheet2!$B$1:$E$19,4,FALSE))+(F1291-1)</f>
        <v>3780192</v>
      </c>
    </row>
    <row r="1292" spans="1:17" ht="15" customHeight="1" x14ac:dyDescent="0.25">
      <c r="A1292" s="28" t="s">
        <v>296</v>
      </c>
      <c r="B1292" s="28" t="s">
        <v>24</v>
      </c>
      <c r="C1292" s="6" t="s">
        <v>2093</v>
      </c>
      <c r="D1292" s="1" t="s">
        <v>454</v>
      </c>
      <c r="E1292" s="1">
        <v>2173</v>
      </c>
      <c r="F1292" s="28">
        <v>183</v>
      </c>
      <c r="G1292" s="9">
        <v>13</v>
      </c>
      <c r="H1292" s="1">
        <v>189</v>
      </c>
      <c r="I1292" s="1">
        <v>420</v>
      </c>
      <c r="J1292" t="str">
        <f t="shared" si="20"/>
        <v>http://www.badatelna.eu/reprodukce/?fondId=1073&amp;zaznamId=1108959&amp;reproId=3780176</v>
      </c>
      <c r="K1292">
        <f>IF(LEN(TRIM(E1292))=0,"",VLOOKUP(E1292,Sheet2!$B$1:$E$19,2,FALSE))</f>
        <v>1073</v>
      </c>
      <c r="L1292">
        <f>IF(LEN(TRIM(E1292))=0,"",VLOOKUP(E1292,Sheet2!$B$1:$E$19,3,FALSE))</f>
        <v>1108959</v>
      </c>
      <c r="M1292">
        <f>IF(LEN(TRIM(E1292))=0,"",VLOOKUP(E1292,Sheet2!$B$1:$E$19,4,FALSE))+(F1292-1)</f>
        <v>3780176</v>
      </c>
    </row>
    <row r="1293" spans="1:17" ht="15" customHeight="1" x14ac:dyDescent="0.25">
      <c r="A1293" s="28" t="s">
        <v>296</v>
      </c>
      <c r="B1293" s="28" t="s">
        <v>40</v>
      </c>
      <c r="C1293" s="6" t="s">
        <v>2092</v>
      </c>
      <c r="D1293" s="1" t="s">
        <v>454</v>
      </c>
      <c r="E1293" s="1">
        <v>2173</v>
      </c>
      <c r="F1293" s="28">
        <v>178</v>
      </c>
      <c r="G1293" s="9">
        <v>3</v>
      </c>
      <c r="H1293" s="1">
        <v>189</v>
      </c>
      <c r="I1293" s="1">
        <v>420</v>
      </c>
      <c r="J1293" t="str">
        <f t="shared" si="20"/>
        <v>http://www.badatelna.eu/reprodukce/?fondId=1073&amp;zaznamId=1108959&amp;reproId=3780171</v>
      </c>
      <c r="K1293">
        <f>IF(LEN(TRIM(E1293))=0,"",VLOOKUP(E1293,Sheet2!$B$1:$E$19,2,FALSE))</f>
        <v>1073</v>
      </c>
      <c r="L1293">
        <f>IF(LEN(TRIM(E1293))=0,"",VLOOKUP(E1293,Sheet2!$B$1:$E$19,3,FALSE))</f>
        <v>1108959</v>
      </c>
      <c r="M1293">
        <f>IF(LEN(TRIM(E1293))=0,"",VLOOKUP(E1293,Sheet2!$B$1:$E$19,4,FALSE))+(F1293-1)</f>
        <v>3780171</v>
      </c>
      <c r="N1293" s="1"/>
      <c r="O1293" s="1"/>
      <c r="P1293" s="1"/>
      <c r="Q1293" s="1"/>
    </row>
    <row r="1294" spans="1:17" ht="15" customHeight="1" x14ac:dyDescent="0.25">
      <c r="A1294" s="29" t="s">
        <v>296</v>
      </c>
      <c r="B1294" s="28" t="s">
        <v>40</v>
      </c>
      <c r="C1294" s="6" t="s">
        <v>2496</v>
      </c>
      <c r="D1294" s="1" t="s">
        <v>454</v>
      </c>
      <c r="E1294" s="1">
        <v>2173</v>
      </c>
      <c r="F1294" s="28">
        <v>205</v>
      </c>
      <c r="G1294" s="1">
        <v>20</v>
      </c>
      <c r="H1294" s="1" t="s">
        <v>3073</v>
      </c>
      <c r="I1294" s="1" t="s">
        <v>3073</v>
      </c>
      <c r="J1294" t="str">
        <f t="shared" si="20"/>
        <v>http://www.badatelna.eu/reprodukce/?fondId=1073&amp;zaznamId=1108959&amp;reproId=3780198</v>
      </c>
      <c r="K1294">
        <f>IF(LEN(TRIM(E1294))=0,"",VLOOKUP(E1294,Sheet2!$B$1:$E$19,2,FALSE))</f>
        <v>1073</v>
      </c>
      <c r="L1294">
        <f>IF(LEN(TRIM(E1294))=0,"",VLOOKUP(E1294,Sheet2!$B$1:$E$19,3,FALSE))</f>
        <v>1108959</v>
      </c>
      <c r="M1294">
        <f>IF(LEN(TRIM(E1294))=0,"",VLOOKUP(E1294,Sheet2!$B$1:$E$19,4,FALSE))+(F1294-1)</f>
        <v>3780198</v>
      </c>
      <c r="N1294" s="1"/>
      <c r="O1294" s="1"/>
      <c r="P1294" s="1"/>
      <c r="Q1294" s="1"/>
    </row>
    <row r="1295" spans="1:17" ht="15" customHeight="1" x14ac:dyDescent="0.25">
      <c r="A1295" s="28" t="s">
        <v>296</v>
      </c>
      <c r="B1295" s="28" t="s">
        <v>265</v>
      </c>
      <c r="C1295" s="6" t="s">
        <v>2076</v>
      </c>
      <c r="D1295" s="1" t="s">
        <v>454</v>
      </c>
      <c r="E1295" s="1">
        <v>2173</v>
      </c>
      <c r="F1295" s="28">
        <v>180</v>
      </c>
      <c r="G1295" s="9">
        <v>7</v>
      </c>
      <c r="H1295" s="1">
        <v>189</v>
      </c>
      <c r="I1295" s="1">
        <v>420</v>
      </c>
      <c r="J1295" t="str">
        <f t="shared" si="20"/>
        <v>http://www.badatelna.eu/reprodukce/?fondId=1073&amp;zaznamId=1108959&amp;reproId=3780173</v>
      </c>
      <c r="K1295">
        <f>IF(LEN(TRIM(E1295))=0,"",VLOOKUP(E1295,Sheet2!$B$1:$E$19,2,FALSE))</f>
        <v>1073</v>
      </c>
      <c r="L1295">
        <f>IF(LEN(TRIM(E1295))=0,"",VLOOKUP(E1295,Sheet2!$B$1:$E$19,3,FALSE))</f>
        <v>1108959</v>
      </c>
      <c r="M1295">
        <f>IF(LEN(TRIM(E1295))=0,"",VLOOKUP(E1295,Sheet2!$B$1:$E$19,4,FALSE))+(F1295-1)</f>
        <v>3780173</v>
      </c>
      <c r="N1295" s="1"/>
      <c r="O1295" s="1"/>
      <c r="P1295" s="1"/>
      <c r="Q1295" s="1"/>
    </row>
    <row r="1296" spans="1:17" ht="15" customHeight="1" x14ac:dyDescent="0.25">
      <c r="A1296" s="28" t="s">
        <v>296</v>
      </c>
      <c r="B1296" s="28" t="s">
        <v>247</v>
      </c>
      <c r="C1296" s="6" t="s">
        <v>2094</v>
      </c>
      <c r="D1296" s="1" t="s">
        <v>454</v>
      </c>
      <c r="E1296" s="1">
        <v>2173</v>
      </c>
      <c r="F1296" s="28">
        <v>179</v>
      </c>
      <c r="G1296" s="9">
        <v>4</v>
      </c>
      <c r="H1296" s="1">
        <v>189</v>
      </c>
      <c r="I1296" s="1">
        <v>420</v>
      </c>
      <c r="J1296" t="str">
        <f t="shared" si="20"/>
        <v>http://www.badatelna.eu/reprodukce/?fondId=1073&amp;zaznamId=1108959&amp;reproId=3780172</v>
      </c>
      <c r="K1296">
        <f>IF(LEN(TRIM(E1296))=0,"",VLOOKUP(E1296,Sheet2!$B$1:$E$19,2,FALSE))</f>
        <v>1073</v>
      </c>
      <c r="L1296">
        <f>IF(LEN(TRIM(E1296))=0,"",VLOOKUP(E1296,Sheet2!$B$1:$E$19,3,FALSE))</f>
        <v>1108959</v>
      </c>
      <c r="M1296">
        <f>IF(LEN(TRIM(E1296))=0,"",VLOOKUP(E1296,Sheet2!$B$1:$E$19,4,FALSE))+(F1296-1)</f>
        <v>3780172</v>
      </c>
    </row>
    <row r="1297" spans="1:17" ht="15" customHeight="1" x14ac:dyDescent="0.25">
      <c r="A1297" s="29" t="s">
        <v>2789</v>
      </c>
      <c r="B1297" s="28" t="s">
        <v>53</v>
      </c>
      <c r="C1297" s="6" t="s">
        <v>2251</v>
      </c>
      <c r="D1297" s="1" t="s">
        <v>454</v>
      </c>
      <c r="E1297" s="1">
        <v>2173</v>
      </c>
      <c r="F1297" s="31">
        <v>197</v>
      </c>
      <c r="G1297" s="12">
        <v>4</v>
      </c>
      <c r="H1297" s="1" t="s">
        <v>3073</v>
      </c>
      <c r="I1297" s="1" t="s">
        <v>3073</v>
      </c>
      <c r="J1297" t="str">
        <f t="shared" si="20"/>
        <v>http://www.badatelna.eu/reprodukce/?fondId=1073&amp;zaznamId=1108959&amp;reproId=3780190</v>
      </c>
      <c r="K1297">
        <f>IF(LEN(TRIM(E1297))=0,"",VLOOKUP(E1297,Sheet2!$B$1:$E$19,2,FALSE))</f>
        <v>1073</v>
      </c>
      <c r="L1297">
        <f>IF(LEN(TRIM(E1297))=0,"",VLOOKUP(E1297,Sheet2!$B$1:$E$19,3,FALSE))</f>
        <v>1108959</v>
      </c>
      <c r="M1297">
        <f>IF(LEN(TRIM(E1297))=0,"",VLOOKUP(E1297,Sheet2!$B$1:$E$19,4,FALSE))+(F1297-1)</f>
        <v>3780190</v>
      </c>
      <c r="N1297" s="1"/>
      <c r="O1297" s="1"/>
      <c r="P1297" s="1"/>
      <c r="Q1297" s="1"/>
    </row>
    <row r="1298" spans="1:17" ht="15" customHeight="1" x14ac:dyDescent="0.2">
      <c r="A1298" s="32" t="s">
        <v>2793</v>
      </c>
      <c r="B1298" s="31" t="s">
        <v>49</v>
      </c>
      <c r="C1298" s="7" t="s">
        <v>2259</v>
      </c>
      <c r="D1298" s="1" t="s">
        <v>454</v>
      </c>
      <c r="E1298" s="1">
        <v>2173</v>
      </c>
      <c r="F1298" s="31">
        <v>197</v>
      </c>
      <c r="G1298" s="12">
        <v>3</v>
      </c>
      <c r="H1298" s="1" t="s">
        <v>3073</v>
      </c>
      <c r="I1298" s="1" t="s">
        <v>3073</v>
      </c>
      <c r="J1298" t="str">
        <f t="shared" si="20"/>
        <v>http://www.badatelna.eu/reprodukce/?fondId=1073&amp;zaznamId=1108959&amp;reproId=3780190</v>
      </c>
      <c r="K1298">
        <f>IF(LEN(TRIM(E1298))=0,"",VLOOKUP(E1298,Sheet2!$B$1:$E$19,2,FALSE))</f>
        <v>1073</v>
      </c>
      <c r="L1298">
        <f>IF(LEN(TRIM(E1298))=0,"",VLOOKUP(E1298,Sheet2!$B$1:$E$19,3,FALSE))</f>
        <v>1108959</v>
      </c>
      <c r="M1298">
        <f>IF(LEN(TRIM(E1298))=0,"",VLOOKUP(E1298,Sheet2!$B$1:$E$19,4,FALSE))+(F1298-1)</f>
        <v>3780190</v>
      </c>
      <c r="N1298" s="1"/>
      <c r="O1298" s="1"/>
      <c r="P1298" s="1"/>
      <c r="Q1298" s="1"/>
    </row>
    <row r="1299" spans="1:17" ht="15" customHeight="1" x14ac:dyDescent="0.25">
      <c r="A1299" s="27" t="s">
        <v>555</v>
      </c>
      <c r="B1299" s="27" t="s">
        <v>0</v>
      </c>
      <c r="C1299" s="5" t="s">
        <v>1219</v>
      </c>
      <c r="D1299" s="3" t="s">
        <v>454</v>
      </c>
      <c r="E1299" s="3">
        <v>2170</v>
      </c>
      <c r="F1299" s="28">
        <v>7</v>
      </c>
      <c r="G1299" s="10">
        <v>3</v>
      </c>
      <c r="H1299" s="3">
        <v>63</v>
      </c>
      <c r="I1299" s="3">
        <v>59</v>
      </c>
      <c r="J1299" t="str">
        <f t="shared" si="20"/>
        <v>http://www.badatelna.eu/reprodukce/?fondId=1073&amp;zaznamId=1108956&amp;reproId=3779599</v>
      </c>
      <c r="K1299">
        <f>IF(LEN(TRIM(E1299))=0,"",VLOOKUP(E1299,Sheet2!$B$1:$E$19,2,FALSE))</f>
        <v>1073</v>
      </c>
      <c r="L1299">
        <f>IF(LEN(TRIM(E1299))=0,"",VLOOKUP(E1299,Sheet2!$B$1:$E$19,3,FALSE))</f>
        <v>1108956</v>
      </c>
      <c r="M1299">
        <f>IF(LEN(TRIM(E1299))=0,"",VLOOKUP(E1299,Sheet2!$B$1:$E$19,4,FALSE))+(F1299-1)</f>
        <v>3779599</v>
      </c>
      <c r="N1299" s="1"/>
      <c r="O1299" s="1"/>
      <c r="P1299" s="1"/>
      <c r="Q1299" s="1"/>
    </row>
    <row r="1300" spans="1:17" ht="15" customHeight="1" x14ac:dyDescent="0.25">
      <c r="A1300" s="28" t="s">
        <v>912</v>
      </c>
      <c r="B1300" s="28" t="s">
        <v>560</v>
      </c>
      <c r="C1300" s="6" t="s">
        <v>1715</v>
      </c>
      <c r="D1300" s="1" t="s">
        <v>454</v>
      </c>
      <c r="E1300" s="1">
        <v>2172</v>
      </c>
      <c r="F1300" s="28">
        <v>121</v>
      </c>
      <c r="G1300" s="9">
        <v>120</v>
      </c>
      <c r="H1300" s="1">
        <v>123</v>
      </c>
      <c r="I1300" s="1">
        <v>122</v>
      </c>
      <c r="J1300" t="str">
        <f t="shared" si="20"/>
        <v>http://www.badatelna.eu/reprodukce/?fondId=1073&amp;zaznamId=1108958&amp;reproId=3779862</v>
      </c>
      <c r="K1300">
        <f>IF(LEN(TRIM(E1300))=0,"",VLOOKUP(E1300,Sheet2!$B$1:$E$19,2,FALSE))</f>
        <v>1073</v>
      </c>
      <c r="L1300">
        <f>IF(LEN(TRIM(E1300))=0,"",VLOOKUP(E1300,Sheet2!$B$1:$E$19,3,FALSE))</f>
        <v>1108958</v>
      </c>
      <c r="M1300">
        <f>IF(LEN(TRIM(E1300))=0,"",VLOOKUP(E1300,Sheet2!$B$1:$E$19,4,FALSE))+(F1300-1)</f>
        <v>3779862</v>
      </c>
    </row>
    <row r="1301" spans="1:17" ht="15" customHeight="1" x14ac:dyDescent="0.25">
      <c r="A1301" s="28" t="s">
        <v>912</v>
      </c>
      <c r="B1301" s="28" t="s">
        <v>913</v>
      </c>
      <c r="C1301" s="6" t="s">
        <v>1901</v>
      </c>
      <c r="D1301" s="1" t="s">
        <v>454</v>
      </c>
      <c r="E1301" s="1">
        <v>2172</v>
      </c>
      <c r="F1301" s="28">
        <v>205</v>
      </c>
      <c r="G1301" s="9">
        <v>191</v>
      </c>
      <c r="H1301" s="1" t="s">
        <v>3073</v>
      </c>
      <c r="I1301" s="1" t="s">
        <v>3073</v>
      </c>
      <c r="J1301" t="str">
        <f t="shared" si="20"/>
        <v>http://www.badatelna.eu/reprodukce/?fondId=1073&amp;zaznamId=1108958&amp;reproId=3779946</v>
      </c>
      <c r="K1301">
        <f>IF(LEN(TRIM(E1301))=0,"",VLOOKUP(E1301,Sheet2!$B$1:$E$19,2,FALSE))</f>
        <v>1073</v>
      </c>
      <c r="L1301">
        <f>IF(LEN(TRIM(E1301))=0,"",VLOOKUP(E1301,Sheet2!$B$1:$E$19,3,FALSE))</f>
        <v>1108958</v>
      </c>
      <c r="M1301">
        <f>IF(LEN(TRIM(E1301))=0,"",VLOOKUP(E1301,Sheet2!$B$1:$E$19,4,FALSE))+(F1301-1)</f>
        <v>3779946</v>
      </c>
      <c r="N1301" s="1"/>
      <c r="O1301" s="1"/>
      <c r="P1301" s="1"/>
      <c r="Q1301" s="1"/>
    </row>
    <row r="1302" spans="1:17" ht="15" customHeight="1" x14ac:dyDescent="0.25">
      <c r="A1302" s="28" t="s">
        <v>912</v>
      </c>
      <c r="B1302" s="28" t="s">
        <v>482</v>
      </c>
      <c r="C1302" s="6" t="s">
        <v>1642</v>
      </c>
      <c r="D1302" s="1" t="s">
        <v>454</v>
      </c>
      <c r="E1302" s="1">
        <v>2172</v>
      </c>
      <c r="F1302" s="28">
        <v>95</v>
      </c>
      <c r="G1302" s="9">
        <v>94</v>
      </c>
      <c r="H1302" s="1">
        <v>96</v>
      </c>
      <c r="I1302" s="1">
        <v>95</v>
      </c>
      <c r="J1302" t="str">
        <f t="shared" si="20"/>
        <v>http://www.badatelna.eu/reprodukce/?fondId=1073&amp;zaznamId=1108958&amp;reproId=3779836</v>
      </c>
      <c r="K1302">
        <f>IF(LEN(TRIM(E1302))=0,"",VLOOKUP(E1302,Sheet2!$B$1:$E$19,2,FALSE))</f>
        <v>1073</v>
      </c>
      <c r="L1302">
        <f>IF(LEN(TRIM(E1302))=0,"",VLOOKUP(E1302,Sheet2!$B$1:$E$19,3,FALSE))</f>
        <v>1108958</v>
      </c>
      <c r="M1302">
        <f>IF(LEN(TRIM(E1302))=0,"",VLOOKUP(E1302,Sheet2!$B$1:$E$19,4,FALSE))+(F1302-1)</f>
        <v>3779836</v>
      </c>
      <c r="N1302" s="1"/>
      <c r="O1302" s="1"/>
      <c r="P1302" s="1"/>
      <c r="Q1302" s="1"/>
    </row>
    <row r="1303" spans="1:17" ht="15" customHeight="1" x14ac:dyDescent="0.25">
      <c r="A1303" s="28" t="s">
        <v>912</v>
      </c>
      <c r="B1303" s="28" t="s">
        <v>486</v>
      </c>
      <c r="C1303" s="1">
        <v>1891</v>
      </c>
      <c r="D1303" s="1" t="s">
        <v>454</v>
      </c>
      <c r="E1303" s="1">
        <v>2172</v>
      </c>
      <c r="F1303" s="28">
        <v>80</v>
      </c>
      <c r="G1303" s="9">
        <v>79</v>
      </c>
      <c r="H1303" s="1">
        <v>83</v>
      </c>
      <c r="I1303" s="1">
        <v>82</v>
      </c>
      <c r="J1303" t="str">
        <f t="shared" si="20"/>
        <v>http://www.badatelna.eu/reprodukce/?fondId=1073&amp;zaznamId=1108958&amp;reproId=3779821</v>
      </c>
      <c r="K1303">
        <f>IF(LEN(TRIM(E1303))=0,"",VLOOKUP(E1303,Sheet2!$B$1:$E$19,2,FALSE))</f>
        <v>1073</v>
      </c>
      <c r="L1303">
        <f>IF(LEN(TRIM(E1303))=0,"",VLOOKUP(E1303,Sheet2!$B$1:$E$19,3,FALSE))</f>
        <v>1108958</v>
      </c>
      <c r="M1303">
        <f>IF(LEN(TRIM(E1303))=0,"",VLOOKUP(E1303,Sheet2!$B$1:$E$19,4,FALSE))+(F1303-1)</f>
        <v>3779821</v>
      </c>
      <c r="N1303" s="1"/>
      <c r="O1303" s="1"/>
      <c r="P1303" s="1"/>
      <c r="Q1303" s="1"/>
    </row>
    <row r="1304" spans="1:17" ht="15" customHeight="1" x14ac:dyDescent="0.25">
      <c r="A1304" s="28" t="s">
        <v>914</v>
      </c>
      <c r="B1304" s="28" t="s">
        <v>343</v>
      </c>
      <c r="C1304" s="6" t="s">
        <v>1782</v>
      </c>
      <c r="D1304" s="1" t="s">
        <v>454</v>
      </c>
      <c r="E1304" s="1">
        <v>2172</v>
      </c>
      <c r="F1304" s="28">
        <v>153</v>
      </c>
      <c r="G1304" s="9">
        <v>148</v>
      </c>
      <c r="H1304" s="1">
        <v>154</v>
      </c>
      <c r="I1304" s="1">
        <v>149</v>
      </c>
      <c r="J1304" t="str">
        <f t="shared" si="20"/>
        <v>http://www.badatelna.eu/reprodukce/?fondId=1073&amp;zaznamId=1108958&amp;reproId=3779894</v>
      </c>
      <c r="K1304">
        <f>IF(LEN(TRIM(E1304))=0,"",VLOOKUP(E1304,Sheet2!$B$1:$E$19,2,FALSE))</f>
        <v>1073</v>
      </c>
      <c r="L1304">
        <f>IF(LEN(TRIM(E1304))=0,"",VLOOKUP(E1304,Sheet2!$B$1:$E$19,3,FALSE))</f>
        <v>1108958</v>
      </c>
      <c r="M1304">
        <f>IF(LEN(TRIM(E1304))=0,"",VLOOKUP(E1304,Sheet2!$B$1:$E$19,4,FALSE))+(F1304-1)</f>
        <v>3779894</v>
      </c>
    </row>
    <row r="1305" spans="1:17" ht="15" customHeight="1" x14ac:dyDescent="0.25">
      <c r="A1305" s="28" t="s">
        <v>915</v>
      </c>
      <c r="B1305" s="28" t="s">
        <v>493</v>
      </c>
      <c r="C1305" s="6" t="s">
        <v>1890</v>
      </c>
      <c r="D1305" s="1" t="s">
        <v>454</v>
      </c>
      <c r="E1305" s="1">
        <v>2172</v>
      </c>
      <c r="F1305" s="28">
        <v>197</v>
      </c>
      <c r="G1305" s="9">
        <v>186</v>
      </c>
      <c r="H1305" s="1" t="s">
        <v>3073</v>
      </c>
      <c r="I1305" s="1" t="s">
        <v>3073</v>
      </c>
      <c r="J1305" t="str">
        <f t="shared" si="20"/>
        <v>http://www.badatelna.eu/reprodukce/?fondId=1073&amp;zaznamId=1108958&amp;reproId=3779938</v>
      </c>
      <c r="K1305">
        <f>IF(LEN(TRIM(E1305))=0,"",VLOOKUP(E1305,Sheet2!$B$1:$E$19,2,FALSE))</f>
        <v>1073</v>
      </c>
      <c r="L1305">
        <f>IF(LEN(TRIM(E1305))=0,"",VLOOKUP(E1305,Sheet2!$B$1:$E$19,3,FALSE))</f>
        <v>1108958</v>
      </c>
      <c r="M1305">
        <f>IF(LEN(TRIM(E1305))=0,"",VLOOKUP(E1305,Sheet2!$B$1:$E$19,4,FALSE))+(F1305-1)</f>
        <v>3779938</v>
      </c>
      <c r="N1305" s="1"/>
      <c r="O1305" s="1"/>
      <c r="P1305" s="1"/>
      <c r="Q1305" s="1"/>
    </row>
    <row r="1306" spans="1:17" ht="15" customHeight="1" x14ac:dyDescent="0.25">
      <c r="A1306" s="28" t="s">
        <v>915</v>
      </c>
      <c r="B1306" s="28" t="s">
        <v>0</v>
      </c>
      <c r="C1306" s="6" t="s">
        <v>1567</v>
      </c>
      <c r="D1306" s="1" t="s">
        <v>454</v>
      </c>
      <c r="E1306" s="1">
        <v>2172</v>
      </c>
      <c r="F1306" s="28">
        <v>22</v>
      </c>
      <c r="G1306" s="9">
        <v>21</v>
      </c>
      <c r="H1306" s="1">
        <v>24</v>
      </c>
      <c r="I1306" s="1">
        <v>23</v>
      </c>
      <c r="J1306" t="str">
        <f t="shared" si="20"/>
        <v>http://www.badatelna.eu/reprodukce/?fondId=1073&amp;zaznamId=1108958&amp;reproId=3779763</v>
      </c>
      <c r="K1306">
        <f>IF(LEN(TRIM(E1306))=0,"",VLOOKUP(E1306,Sheet2!$B$1:$E$19,2,FALSE))</f>
        <v>1073</v>
      </c>
      <c r="L1306">
        <f>IF(LEN(TRIM(E1306))=0,"",VLOOKUP(E1306,Sheet2!$B$1:$E$19,3,FALSE))</f>
        <v>1108958</v>
      </c>
      <c r="M1306">
        <f>IF(LEN(TRIM(E1306))=0,"",VLOOKUP(E1306,Sheet2!$B$1:$E$19,4,FALSE))+(F1306-1)</f>
        <v>3779763</v>
      </c>
      <c r="N1306" s="1"/>
      <c r="O1306" s="1"/>
      <c r="P1306" s="1"/>
      <c r="Q1306" s="1"/>
    </row>
    <row r="1307" spans="1:17" ht="15" customHeight="1" x14ac:dyDescent="0.25">
      <c r="A1307" s="29" t="s">
        <v>2811</v>
      </c>
      <c r="B1307" s="28" t="s">
        <v>39</v>
      </c>
      <c r="C1307" s="6" t="s">
        <v>2363</v>
      </c>
      <c r="D1307" s="1" t="s">
        <v>454</v>
      </c>
      <c r="E1307" s="1">
        <v>2173</v>
      </c>
      <c r="F1307" s="28">
        <v>201</v>
      </c>
      <c r="G1307" s="9">
        <v>12</v>
      </c>
      <c r="H1307" s="1" t="s">
        <v>3073</v>
      </c>
      <c r="I1307" s="1" t="s">
        <v>3073</v>
      </c>
      <c r="J1307" t="str">
        <f t="shared" si="20"/>
        <v>http://www.badatelna.eu/reprodukce/?fondId=1073&amp;zaznamId=1108959&amp;reproId=3780194</v>
      </c>
      <c r="K1307">
        <f>IF(LEN(TRIM(E1307))=0,"",VLOOKUP(E1307,Sheet2!$B$1:$E$19,2,FALSE))</f>
        <v>1073</v>
      </c>
      <c r="L1307">
        <f>IF(LEN(TRIM(E1307))=0,"",VLOOKUP(E1307,Sheet2!$B$1:$E$19,3,FALSE))</f>
        <v>1108959</v>
      </c>
      <c r="M1307">
        <f>IF(LEN(TRIM(E1307))=0,"",VLOOKUP(E1307,Sheet2!$B$1:$E$19,4,FALSE))+(F1307-1)</f>
        <v>3780194</v>
      </c>
      <c r="N1307" s="1"/>
      <c r="O1307" s="1"/>
      <c r="P1307" s="1"/>
      <c r="Q1307" s="1"/>
    </row>
    <row r="1308" spans="1:17" ht="15" customHeight="1" x14ac:dyDescent="0.25">
      <c r="A1308" s="29" t="s">
        <v>2825</v>
      </c>
      <c r="B1308" s="28" t="s">
        <v>204</v>
      </c>
      <c r="C1308" s="6" t="s">
        <v>2481</v>
      </c>
      <c r="D1308" s="1" t="s">
        <v>454</v>
      </c>
      <c r="E1308" s="1">
        <v>2173</v>
      </c>
      <c r="F1308" s="28">
        <v>205</v>
      </c>
      <c r="G1308" s="1">
        <v>19</v>
      </c>
      <c r="H1308" s="1" t="s">
        <v>3073</v>
      </c>
      <c r="I1308" s="1" t="s">
        <v>3073</v>
      </c>
      <c r="J1308" t="str">
        <f t="shared" si="20"/>
        <v>http://www.badatelna.eu/reprodukce/?fondId=1073&amp;zaznamId=1108959&amp;reproId=3780198</v>
      </c>
      <c r="K1308">
        <f>IF(LEN(TRIM(E1308))=0,"",VLOOKUP(E1308,Sheet2!$B$1:$E$19,2,FALSE))</f>
        <v>1073</v>
      </c>
      <c r="L1308">
        <f>IF(LEN(TRIM(E1308))=0,"",VLOOKUP(E1308,Sheet2!$B$1:$E$19,3,FALSE))</f>
        <v>1108959</v>
      </c>
      <c r="M1308">
        <f>IF(LEN(TRIM(E1308))=0,"",VLOOKUP(E1308,Sheet2!$B$1:$E$19,4,FALSE))+(F1308-1)</f>
        <v>3780198</v>
      </c>
      <c r="N1308" s="1"/>
      <c r="O1308" s="1"/>
      <c r="P1308" s="1"/>
      <c r="Q1308" s="1"/>
    </row>
    <row r="1309" spans="1:17" ht="15" customHeight="1" x14ac:dyDescent="0.25">
      <c r="A1309" s="28" t="s">
        <v>916</v>
      </c>
      <c r="B1309" s="28" t="s">
        <v>917</v>
      </c>
      <c r="C1309" s="6" t="s">
        <v>1878</v>
      </c>
      <c r="D1309" s="1" t="s">
        <v>454</v>
      </c>
      <c r="E1309" s="1">
        <v>2172</v>
      </c>
      <c r="F1309" s="28">
        <v>191</v>
      </c>
      <c r="G1309" s="9">
        <v>181</v>
      </c>
      <c r="H1309" s="1" t="s">
        <v>3073</v>
      </c>
      <c r="I1309" s="1" t="s">
        <v>3073</v>
      </c>
      <c r="J1309" t="str">
        <f t="shared" si="20"/>
        <v>http://www.badatelna.eu/reprodukce/?fondId=1073&amp;zaznamId=1108958&amp;reproId=3779932</v>
      </c>
      <c r="K1309">
        <f>IF(LEN(TRIM(E1309))=0,"",VLOOKUP(E1309,Sheet2!$B$1:$E$19,2,FALSE))</f>
        <v>1073</v>
      </c>
      <c r="L1309">
        <f>IF(LEN(TRIM(E1309))=0,"",VLOOKUP(E1309,Sheet2!$B$1:$E$19,3,FALSE))</f>
        <v>1108958</v>
      </c>
      <c r="M1309">
        <f>IF(LEN(TRIM(E1309))=0,"",VLOOKUP(E1309,Sheet2!$B$1:$E$19,4,FALSE))+(F1309-1)</f>
        <v>3779932</v>
      </c>
      <c r="N1309" s="1"/>
      <c r="O1309" s="1"/>
      <c r="P1309" s="1"/>
      <c r="Q1309" s="1"/>
    </row>
    <row r="1310" spans="1:17" ht="15" customHeight="1" x14ac:dyDescent="0.25">
      <c r="A1310" s="28" t="s">
        <v>918</v>
      </c>
      <c r="B1310" s="28" t="s">
        <v>838</v>
      </c>
      <c r="C1310" s="1">
        <v>1893</v>
      </c>
      <c r="D1310" s="1" t="s">
        <v>454</v>
      </c>
      <c r="E1310" s="1">
        <v>2172</v>
      </c>
      <c r="F1310" s="28">
        <v>86</v>
      </c>
      <c r="G1310" s="9">
        <v>85</v>
      </c>
      <c r="H1310" s="1">
        <v>89</v>
      </c>
      <c r="I1310" s="1">
        <v>88</v>
      </c>
      <c r="J1310" t="str">
        <f t="shared" si="20"/>
        <v>http://www.badatelna.eu/reprodukce/?fondId=1073&amp;zaznamId=1108958&amp;reproId=3779827</v>
      </c>
      <c r="K1310">
        <f>IF(LEN(TRIM(E1310))=0,"",VLOOKUP(E1310,Sheet2!$B$1:$E$19,2,FALSE))</f>
        <v>1073</v>
      </c>
      <c r="L1310">
        <f>IF(LEN(TRIM(E1310))=0,"",VLOOKUP(E1310,Sheet2!$B$1:$E$19,3,FALSE))</f>
        <v>1108958</v>
      </c>
      <c r="M1310">
        <f>IF(LEN(TRIM(E1310))=0,"",VLOOKUP(E1310,Sheet2!$B$1:$E$19,4,FALSE))+(F1310-1)</f>
        <v>3779827</v>
      </c>
    </row>
    <row r="1311" spans="1:17" ht="15" customHeight="1" x14ac:dyDescent="0.25">
      <c r="A1311" s="28" t="s">
        <v>918</v>
      </c>
      <c r="B1311" s="28" t="s">
        <v>919</v>
      </c>
      <c r="C1311" s="1">
        <v>1891</v>
      </c>
      <c r="D1311" s="1" t="s">
        <v>454</v>
      </c>
      <c r="E1311" s="1">
        <v>2172</v>
      </c>
      <c r="F1311" s="28">
        <v>81</v>
      </c>
      <c r="G1311" s="9">
        <v>80</v>
      </c>
      <c r="H1311" s="1">
        <v>83</v>
      </c>
      <c r="I1311" s="1">
        <v>82</v>
      </c>
      <c r="J1311" t="str">
        <f t="shared" si="20"/>
        <v>http://www.badatelna.eu/reprodukce/?fondId=1073&amp;zaznamId=1108958&amp;reproId=3779822</v>
      </c>
      <c r="K1311">
        <f>IF(LEN(TRIM(E1311))=0,"",VLOOKUP(E1311,Sheet2!$B$1:$E$19,2,FALSE))</f>
        <v>1073</v>
      </c>
      <c r="L1311">
        <f>IF(LEN(TRIM(E1311))=0,"",VLOOKUP(E1311,Sheet2!$B$1:$E$19,3,FALSE))</f>
        <v>1108958</v>
      </c>
      <c r="M1311">
        <f>IF(LEN(TRIM(E1311))=0,"",VLOOKUP(E1311,Sheet2!$B$1:$E$19,4,FALSE))+(F1311-1)</f>
        <v>3779822</v>
      </c>
    </row>
    <row r="1312" spans="1:17" ht="15" customHeight="1" x14ac:dyDescent="0.25">
      <c r="A1312" s="28" t="s">
        <v>104</v>
      </c>
      <c r="B1312" s="28" t="s">
        <v>105</v>
      </c>
      <c r="C1312" s="6" t="s">
        <v>2289</v>
      </c>
      <c r="D1312" s="1" t="s">
        <v>454</v>
      </c>
      <c r="E1312" s="1">
        <v>2173</v>
      </c>
      <c r="F1312" s="28">
        <v>198</v>
      </c>
      <c r="G1312" s="9">
        <v>6</v>
      </c>
      <c r="H1312" s="1" t="s">
        <v>3073</v>
      </c>
      <c r="I1312" s="1" t="s">
        <v>3073</v>
      </c>
      <c r="J1312" t="str">
        <f t="shared" si="20"/>
        <v>http://www.badatelna.eu/reprodukce/?fondId=1073&amp;zaznamId=1108959&amp;reproId=3780191</v>
      </c>
      <c r="K1312">
        <f>IF(LEN(TRIM(E1312))=0,"",VLOOKUP(E1312,Sheet2!$B$1:$E$19,2,FALSE))</f>
        <v>1073</v>
      </c>
      <c r="L1312">
        <f>IF(LEN(TRIM(E1312))=0,"",VLOOKUP(E1312,Sheet2!$B$1:$E$19,3,FALSE))</f>
        <v>1108959</v>
      </c>
      <c r="M1312">
        <f>IF(LEN(TRIM(E1312))=0,"",VLOOKUP(E1312,Sheet2!$B$1:$E$19,4,FALSE))+(F1312-1)</f>
        <v>3780191</v>
      </c>
      <c r="N1312" s="1"/>
      <c r="O1312" s="1"/>
      <c r="P1312" s="1"/>
      <c r="Q1312" s="1"/>
    </row>
    <row r="1313" spans="1:17" ht="15" customHeight="1" x14ac:dyDescent="0.25">
      <c r="A1313" s="29" t="s">
        <v>104</v>
      </c>
      <c r="B1313" s="28" t="s">
        <v>33</v>
      </c>
      <c r="C1313" s="6" t="s">
        <v>2638</v>
      </c>
      <c r="D1313" s="1" t="s">
        <v>454</v>
      </c>
      <c r="E1313" s="1">
        <v>2173</v>
      </c>
      <c r="F1313" s="28">
        <v>221</v>
      </c>
      <c r="G1313" s="9">
        <v>48</v>
      </c>
      <c r="H1313" s="1" t="s">
        <v>3073</v>
      </c>
      <c r="I1313" s="1" t="s">
        <v>3073</v>
      </c>
      <c r="J1313" t="str">
        <f t="shared" si="20"/>
        <v>http://www.badatelna.eu/reprodukce/?fondId=1073&amp;zaznamId=1108959&amp;reproId=3780214</v>
      </c>
      <c r="K1313">
        <f>IF(LEN(TRIM(E1313))=0,"",VLOOKUP(E1313,Sheet2!$B$1:$E$19,2,FALSE))</f>
        <v>1073</v>
      </c>
      <c r="L1313">
        <f>IF(LEN(TRIM(E1313))=0,"",VLOOKUP(E1313,Sheet2!$B$1:$E$19,3,FALSE))</f>
        <v>1108959</v>
      </c>
      <c r="M1313">
        <f>IF(LEN(TRIM(E1313))=0,"",VLOOKUP(E1313,Sheet2!$B$1:$E$19,4,FALSE))+(F1313-1)</f>
        <v>3780214</v>
      </c>
      <c r="N1313" s="1"/>
      <c r="O1313" s="1"/>
      <c r="P1313" s="1"/>
      <c r="Q1313" s="1"/>
    </row>
    <row r="1314" spans="1:17" ht="15" customHeight="1" x14ac:dyDescent="0.25">
      <c r="A1314" s="28" t="s">
        <v>104</v>
      </c>
      <c r="B1314" s="28" t="s">
        <v>60</v>
      </c>
      <c r="C1314" s="1">
        <v>1851</v>
      </c>
      <c r="D1314" s="1" t="s">
        <v>2919</v>
      </c>
      <c r="E1314" s="1">
        <v>998</v>
      </c>
      <c r="F1314" s="28">
        <v>32</v>
      </c>
      <c r="G1314" s="1">
        <v>30</v>
      </c>
      <c r="H1314" s="1">
        <v>71</v>
      </c>
      <c r="I1314" s="1">
        <v>68</v>
      </c>
      <c r="J1314" t="str">
        <f t="shared" si="20"/>
        <v>http://www.badatelna.eu/reprodukce/?fondId=241&amp;zaznamId=1133738&amp;reproId=3885678</v>
      </c>
      <c r="K1314">
        <f>IF(LEN(TRIM(E1314))=0,"",VLOOKUP(E1314,Sheet2!$B$1:$E$19,2,FALSE))</f>
        <v>241</v>
      </c>
      <c r="L1314">
        <f>IF(LEN(TRIM(E1314))=0,"",VLOOKUP(E1314,Sheet2!$B$1:$E$19,3,FALSE))</f>
        <v>1133738</v>
      </c>
      <c r="M1314">
        <f>IF(LEN(TRIM(E1314))=0,"",VLOOKUP(E1314,Sheet2!$B$1:$E$19,4,FALSE))+(F1314-1)</f>
        <v>3885678</v>
      </c>
      <c r="N1314" s="1"/>
      <c r="O1314" s="1"/>
      <c r="P1314" s="1"/>
      <c r="Q1314" s="1"/>
    </row>
    <row r="1315" spans="1:17" ht="15" customHeight="1" x14ac:dyDescent="0.25">
      <c r="A1315" s="28" t="s">
        <v>104</v>
      </c>
      <c r="B1315" s="28" t="s">
        <v>49</v>
      </c>
      <c r="C1315" s="6" t="s">
        <v>2422</v>
      </c>
      <c r="D1315" s="1" t="s">
        <v>454</v>
      </c>
      <c r="E1315" s="1">
        <v>2173</v>
      </c>
      <c r="F1315" s="28">
        <v>203</v>
      </c>
      <c r="G1315" s="1">
        <v>15</v>
      </c>
      <c r="H1315" s="1" t="s">
        <v>3073</v>
      </c>
      <c r="I1315" s="1" t="s">
        <v>3073</v>
      </c>
      <c r="J1315" t="str">
        <f t="shared" si="20"/>
        <v>http://www.badatelna.eu/reprodukce/?fondId=1073&amp;zaznamId=1108959&amp;reproId=3780196</v>
      </c>
      <c r="K1315">
        <f>IF(LEN(TRIM(E1315))=0,"",VLOOKUP(E1315,Sheet2!$B$1:$E$19,2,FALSE))</f>
        <v>1073</v>
      </c>
      <c r="L1315">
        <f>IF(LEN(TRIM(E1315))=0,"",VLOOKUP(E1315,Sheet2!$B$1:$E$19,3,FALSE))</f>
        <v>1108959</v>
      </c>
      <c r="M1315">
        <f>IF(LEN(TRIM(E1315))=0,"",VLOOKUP(E1315,Sheet2!$B$1:$E$19,4,FALSE))+(F1315-1)</f>
        <v>3780196</v>
      </c>
      <c r="N1315" s="1"/>
      <c r="O1315" s="1"/>
      <c r="P1315" s="1"/>
      <c r="Q1315" s="1"/>
    </row>
    <row r="1316" spans="1:17" ht="15" customHeight="1" x14ac:dyDescent="0.25">
      <c r="A1316" s="28" t="s">
        <v>104</v>
      </c>
      <c r="B1316" s="28" t="s">
        <v>39</v>
      </c>
      <c r="C1316" s="1">
        <v>1848</v>
      </c>
      <c r="D1316" s="1" t="s">
        <v>2919</v>
      </c>
      <c r="E1316" s="1">
        <v>998</v>
      </c>
      <c r="F1316" s="28">
        <v>10</v>
      </c>
      <c r="G1316" s="1">
        <v>8</v>
      </c>
      <c r="H1316" s="1">
        <v>71</v>
      </c>
      <c r="I1316" s="1">
        <v>68</v>
      </c>
      <c r="J1316" t="str">
        <f t="shared" si="20"/>
        <v>http://www.badatelna.eu/reprodukce/?fondId=241&amp;zaznamId=1133738&amp;reproId=3885656</v>
      </c>
      <c r="K1316">
        <f>IF(LEN(TRIM(E1316))=0,"",VLOOKUP(E1316,Sheet2!$B$1:$E$19,2,FALSE))</f>
        <v>241</v>
      </c>
      <c r="L1316">
        <f>IF(LEN(TRIM(E1316))=0,"",VLOOKUP(E1316,Sheet2!$B$1:$E$19,3,FALSE))</f>
        <v>1133738</v>
      </c>
      <c r="M1316">
        <f>IF(LEN(TRIM(E1316))=0,"",VLOOKUP(E1316,Sheet2!$B$1:$E$19,4,FALSE))+(F1316-1)</f>
        <v>3885656</v>
      </c>
      <c r="N1316" s="1"/>
      <c r="O1316" s="1"/>
      <c r="P1316" s="1"/>
      <c r="Q1316" s="1"/>
    </row>
    <row r="1317" spans="1:17" ht="15" customHeight="1" x14ac:dyDescent="0.25">
      <c r="A1317" s="30" t="s">
        <v>104</v>
      </c>
      <c r="B1317" s="30" t="s">
        <v>1040</v>
      </c>
      <c r="C1317" s="5" t="s">
        <v>1204</v>
      </c>
      <c r="D1317" s="3" t="s">
        <v>454</v>
      </c>
      <c r="E1317" s="3">
        <v>2170</v>
      </c>
      <c r="F1317" s="28">
        <v>12</v>
      </c>
      <c r="G1317" s="10">
        <v>8</v>
      </c>
      <c r="H1317" s="3">
        <v>63</v>
      </c>
      <c r="I1317" s="3">
        <v>59</v>
      </c>
      <c r="J1317" t="str">
        <f t="shared" si="20"/>
        <v>http://www.badatelna.eu/reprodukce/?fondId=1073&amp;zaznamId=1108956&amp;reproId=3779604</v>
      </c>
      <c r="K1317">
        <f>IF(LEN(TRIM(E1317))=0,"",VLOOKUP(E1317,Sheet2!$B$1:$E$19,2,FALSE))</f>
        <v>1073</v>
      </c>
      <c r="L1317">
        <f>IF(LEN(TRIM(E1317))=0,"",VLOOKUP(E1317,Sheet2!$B$1:$E$19,3,FALSE))</f>
        <v>1108956</v>
      </c>
      <c r="M1317">
        <f>IF(LEN(TRIM(E1317))=0,"",VLOOKUP(E1317,Sheet2!$B$1:$E$19,4,FALSE))+(F1317-1)</f>
        <v>3779604</v>
      </c>
      <c r="N1317" s="1"/>
      <c r="O1317" s="1"/>
      <c r="P1317" s="1"/>
      <c r="Q1317" s="1"/>
    </row>
    <row r="1318" spans="1:17" ht="15" customHeight="1" x14ac:dyDescent="0.25">
      <c r="A1318" s="28" t="s">
        <v>433</v>
      </c>
      <c r="B1318" s="28" t="s">
        <v>39</v>
      </c>
      <c r="C1318" s="6" t="s">
        <v>2695</v>
      </c>
      <c r="D1318" s="1" t="s">
        <v>454</v>
      </c>
      <c r="E1318" s="1">
        <v>2173</v>
      </c>
      <c r="F1318" s="28">
        <v>224</v>
      </c>
      <c r="G1318" s="9">
        <v>53</v>
      </c>
      <c r="H1318" s="1" t="s">
        <v>3073</v>
      </c>
      <c r="I1318" s="1" t="s">
        <v>3073</v>
      </c>
      <c r="J1318" t="str">
        <f t="shared" si="20"/>
        <v>http://www.badatelna.eu/reprodukce/?fondId=1073&amp;zaznamId=1108959&amp;reproId=3780217</v>
      </c>
      <c r="K1318">
        <f>IF(LEN(TRIM(E1318))=0,"",VLOOKUP(E1318,Sheet2!$B$1:$E$19,2,FALSE))</f>
        <v>1073</v>
      </c>
      <c r="L1318">
        <f>IF(LEN(TRIM(E1318))=0,"",VLOOKUP(E1318,Sheet2!$B$1:$E$19,3,FALSE))</f>
        <v>1108959</v>
      </c>
      <c r="M1318">
        <f>IF(LEN(TRIM(E1318))=0,"",VLOOKUP(E1318,Sheet2!$B$1:$E$19,4,FALSE))+(F1318-1)</f>
        <v>3780217</v>
      </c>
      <c r="N1318" s="1"/>
      <c r="O1318" s="1"/>
      <c r="P1318" s="1"/>
      <c r="Q1318" s="1"/>
    </row>
    <row r="1319" spans="1:17" ht="15" customHeight="1" x14ac:dyDescent="0.25">
      <c r="A1319" s="28" t="s">
        <v>433</v>
      </c>
      <c r="B1319" s="28" t="s">
        <v>469</v>
      </c>
      <c r="C1319" s="1">
        <v>1882</v>
      </c>
      <c r="D1319" s="1" t="s">
        <v>454</v>
      </c>
      <c r="E1319" s="1">
        <v>2172</v>
      </c>
      <c r="F1319" s="29">
        <v>27</v>
      </c>
      <c r="G1319" s="9">
        <v>26</v>
      </c>
      <c r="H1319" s="1">
        <v>30</v>
      </c>
      <c r="I1319" s="1">
        <v>29</v>
      </c>
      <c r="J1319" t="str">
        <f t="shared" si="20"/>
        <v>http://www.badatelna.eu/reprodukce/?fondId=1073&amp;zaznamId=1108958&amp;reproId=3779768</v>
      </c>
      <c r="K1319">
        <f>IF(LEN(TRIM(E1319))=0,"",VLOOKUP(E1319,Sheet2!$B$1:$E$19,2,FALSE))</f>
        <v>1073</v>
      </c>
      <c r="L1319">
        <f>IF(LEN(TRIM(E1319))=0,"",VLOOKUP(E1319,Sheet2!$B$1:$E$19,3,FALSE))</f>
        <v>1108958</v>
      </c>
      <c r="M1319">
        <f>IF(LEN(TRIM(E1319))=0,"",VLOOKUP(E1319,Sheet2!$B$1:$E$19,4,FALSE))+(F1319-1)</f>
        <v>3779768</v>
      </c>
      <c r="N1319" s="1"/>
      <c r="O1319" s="1"/>
      <c r="P1319" s="1"/>
      <c r="Q1319" s="1"/>
    </row>
    <row r="1320" spans="1:17" ht="15" customHeight="1" x14ac:dyDescent="0.25">
      <c r="A1320" s="28" t="s">
        <v>433</v>
      </c>
      <c r="B1320" s="28" t="s">
        <v>91</v>
      </c>
      <c r="C1320" s="1">
        <v>1864</v>
      </c>
      <c r="D1320" s="1" t="s">
        <v>2919</v>
      </c>
      <c r="E1320" s="1">
        <v>999</v>
      </c>
      <c r="F1320" s="28">
        <v>85</v>
      </c>
      <c r="G1320" s="1">
        <v>6</v>
      </c>
      <c r="H1320" s="1">
        <v>102</v>
      </c>
      <c r="I1320" s="1">
        <v>161</v>
      </c>
      <c r="J1320" t="str">
        <f t="shared" si="20"/>
        <v>http://www.badatelna.eu/reprodukce/?fondId=241&amp;zaznamId=1133739&amp;reproId=3885814</v>
      </c>
      <c r="K1320">
        <f>IF(LEN(TRIM(E1320))=0,"",VLOOKUP(E1320,Sheet2!$B$1:$E$19,2,FALSE))</f>
        <v>241</v>
      </c>
      <c r="L1320">
        <f>IF(LEN(TRIM(E1320))=0,"",VLOOKUP(E1320,Sheet2!$B$1:$E$19,3,FALSE))</f>
        <v>1133739</v>
      </c>
      <c r="M1320">
        <f>IF(LEN(TRIM(E1320))=0,"",VLOOKUP(E1320,Sheet2!$B$1:$E$19,4,FALSE))+(F1320-1)</f>
        <v>3885814</v>
      </c>
      <c r="N1320" s="1"/>
      <c r="O1320" s="1"/>
      <c r="P1320" s="1"/>
      <c r="Q1320" s="1"/>
    </row>
    <row r="1321" spans="1:17" ht="15" customHeight="1" x14ac:dyDescent="0.25">
      <c r="A1321" s="28" t="s">
        <v>433</v>
      </c>
      <c r="B1321" s="28" t="s">
        <v>3030</v>
      </c>
      <c r="C1321" s="1">
        <v>1864</v>
      </c>
      <c r="D1321" s="1" t="s">
        <v>2919</v>
      </c>
      <c r="E1321" s="1">
        <v>999</v>
      </c>
      <c r="F1321" s="28">
        <v>86</v>
      </c>
      <c r="G1321" s="1">
        <v>7</v>
      </c>
      <c r="H1321" s="1">
        <v>102</v>
      </c>
      <c r="I1321" s="1">
        <v>161</v>
      </c>
      <c r="J1321" t="str">
        <f t="shared" si="20"/>
        <v>http://www.badatelna.eu/reprodukce/?fondId=241&amp;zaznamId=1133739&amp;reproId=3885815</v>
      </c>
      <c r="K1321">
        <f>IF(LEN(TRIM(E1321))=0,"",VLOOKUP(E1321,Sheet2!$B$1:$E$19,2,FALSE))</f>
        <v>241</v>
      </c>
      <c r="L1321">
        <f>IF(LEN(TRIM(E1321))=0,"",VLOOKUP(E1321,Sheet2!$B$1:$E$19,3,FALSE))</f>
        <v>1133739</v>
      </c>
      <c r="M1321">
        <f>IF(LEN(TRIM(E1321))=0,"",VLOOKUP(E1321,Sheet2!$B$1:$E$19,4,FALSE))+(F1321-1)</f>
        <v>3885815</v>
      </c>
      <c r="N1321" s="1"/>
      <c r="O1321" s="1"/>
      <c r="P1321" s="1"/>
      <c r="Q1321" s="1"/>
    </row>
    <row r="1322" spans="1:17" ht="15" customHeight="1" x14ac:dyDescent="0.25">
      <c r="A1322" s="28" t="s">
        <v>2969</v>
      </c>
      <c r="B1322" s="28" t="s">
        <v>2970</v>
      </c>
      <c r="C1322" s="1">
        <v>1847</v>
      </c>
      <c r="D1322" s="1" t="s">
        <v>2919</v>
      </c>
      <c r="E1322" s="1">
        <v>998</v>
      </c>
      <c r="F1322" s="28">
        <v>5</v>
      </c>
      <c r="G1322" s="1">
        <v>3</v>
      </c>
      <c r="H1322" s="1">
        <v>71</v>
      </c>
      <c r="I1322" s="1">
        <v>68</v>
      </c>
      <c r="J1322" t="str">
        <f t="shared" si="20"/>
        <v>http://www.badatelna.eu/reprodukce/?fondId=241&amp;zaznamId=1133738&amp;reproId=3885651</v>
      </c>
      <c r="K1322">
        <f>IF(LEN(TRIM(E1322))=0,"",VLOOKUP(E1322,Sheet2!$B$1:$E$19,2,FALSE))</f>
        <v>241</v>
      </c>
      <c r="L1322">
        <f>IF(LEN(TRIM(E1322))=0,"",VLOOKUP(E1322,Sheet2!$B$1:$E$19,3,FALSE))</f>
        <v>1133738</v>
      </c>
      <c r="M1322">
        <f>IF(LEN(TRIM(E1322))=0,"",VLOOKUP(E1322,Sheet2!$B$1:$E$19,4,FALSE))+(F1322-1)</f>
        <v>3885651</v>
      </c>
      <c r="N1322" s="1"/>
      <c r="O1322" s="1"/>
      <c r="P1322" s="1"/>
      <c r="Q1322" s="1"/>
    </row>
    <row r="1323" spans="1:17" ht="15" customHeight="1" x14ac:dyDescent="0.25">
      <c r="A1323" s="28" t="s">
        <v>301</v>
      </c>
      <c r="B1323" s="28" t="s">
        <v>53</v>
      </c>
      <c r="C1323" s="6" t="s">
        <v>2066</v>
      </c>
      <c r="D1323" s="1" t="s">
        <v>454</v>
      </c>
      <c r="E1323" s="1">
        <v>2173</v>
      </c>
      <c r="F1323" s="28">
        <v>181</v>
      </c>
      <c r="G1323" s="9">
        <v>9</v>
      </c>
      <c r="H1323" s="1">
        <v>189</v>
      </c>
      <c r="I1323" s="1">
        <v>420</v>
      </c>
      <c r="J1323" t="str">
        <f t="shared" si="20"/>
        <v>http://www.badatelna.eu/reprodukce/?fondId=1073&amp;zaznamId=1108959&amp;reproId=3780174</v>
      </c>
      <c r="K1323">
        <f>IF(LEN(TRIM(E1323))=0,"",VLOOKUP(E1323,Sheet2!$B$1:$E$19,2,FALSE))</f>
        <v>1073</v>
      </c>
      <c r="L1323">
        <f>IF(LEN(TRIM(E1323))=0,"",VLOOKUP(E1323,Sheet2!$B$1:$E$19,3,FALSE))</f>
        <v>1108959</v>
      </c>
      <c r="M1323">
        <f>IF(LEN(TRIM(E1323))=0,"",VLOOKUP(E1323,Sheet2!$B$1:$E$19,4,FALSE))+(F1323-1)</f>
        <v>3780174</v>
      </c>
      <c r="N1323" s="1"/>
      <c r="O1323" s="1"/>
      <c r="P1323" s="1"/>
      <c r="Q1323" s="1"/>
    </row>
    <row r="1324" spans="1:17" ht="15" customHeight="1" x14ac:dyDescent="0.25">
      <c r="A1324" s="28" t="s">
        <v>2877</v>
      </c>
      <c r="B1324" s="28" t="s">
        <v>53</v>
      </c>
      <c r="C1324" s="6" t="s">
        <v>2066</v>
      </c>
      <c r="D1324" s="1" t="s">
        <v>454</v>
      </c>
      <c r="E1324" s="1">
        <v>2173</v>
      </c>
      <c r="F1324" s="28">
        <v>210</v>
      </c>
      <c r="G1324" s="9" t="s">
        <v>2874</v>
      </c>
      <c r="H1324" s="1" t="s">
        <v>3073</v>
      </c>
      <c r="I1324" s="1" t="s">
        <v>3073</v>
      </c>
      <c r="J1324" t="str">
        <f t="shared" si="20"/>
        <v>http://www.badatelna.eu/reprodukce/?fondId=1073&amp;zaznamId=1108959&amp;reproId=3780203</v>
      </c>
      <c r="K1324">
        <f>IF(LEN(TRIM(E1324))=0,"",VLOOKUP(E1324,Sheet2!$B$1:$E$19,2,FALSE))</f>
        <v>1073</v>
      </c>
      <c r="L1324">
        <f>IF(LEN(TRIM(E1324))=0,"",VLOOKUP(E1324,Sheet2!$B$1:$E$19,3,FALSE))</f>
        <v>1108959</v>
      </c>
      <c r="M1324">
        <f>IF(LEN(TRIM(E1324))=0,"",VLOOKUP(E1324,Sheet2!$B$1:$E$19,4,FALSE))+(F1324-1)</f>
        <v>3780203</v>
      </c>
      <c r="N1324" s="1"/>
      <c r="O1324" s="1"/>
      <c r="P1324" s="1"/>
      <c r="Q1324" s="1"/>
    </row>
    <row r="1325" spans="1:17" ht="15" customHeight="1" x14ac:dyDescent="0.25">
      <c r="A1325" s="28" t="s">
        <v>2877</v>
      </c>
      <c r="B1325" s="28" t="s">
        <v>512</v>
      </c>
      <c r="C1325" s="1">
        <v>1854</v>
      </c>
      <c r="D1325" s="1" t="s">
        <v>2919</v>
      </c>
      <c r="E1325" s="1">
        <v>998</v>
      </c>
      <c r="F1325" s="28">
        <v>40</v>
      </c>
      <c r="G1325" s="1">
        <v>38</v>
      </c>
      <c r="H1325" s="1">
        <v>71</v>
      </c>
      <c r="I1325" s="1">
        <v>68</v>
      </c>
      <c r="J1325" t="str">
        <f t="shared" si="20"/>
        <v>http://www.badatelna.eu/reprodukce/?fondId=241&amp;zaznamId=1133738&amp;reproId=3885686</v>
      </c>
      <c r="K1325">
        <f>IF(LEN(TRIM(E1325))=0,"",VLOOKUP(E1325,Sheet2!$B$1:$E$19,2,FALSE))</f>
        <v>241</v>
      </c>
      <c r="L1325">
        <f>IF(LEN(TRIM(E1325))=0,"",VLOOKUP(E1325,Sheet2!$B$1:$E$19,3,FALSE))</f>
        <v>1133738</v>
      </c>
      <c r="M1325">
        <f>IF(LEN(TRIM(E1325))=0,"",VLOOKUP(E1325,Sheet2!$B$1:$E$19,4,FALSE))+(F1325-1)</f>
        <v>3885686</v>
      </c>
      <c r="N1325" s="1"/>
      <c r="O1325" s="1"/>
      <c r="P1325" s="1"/>
      <c r="Q1325" s="1"/>
    </row>
    <row r="1326" spans="1:17" ht="15" customHeight="1" x14ac:dyDescent="0.25">
      <c r="A1326" s="28" t="s">
        <v>3048</v>
      </c>
      <c r="B1326" s="28" t="s">
        <v>0</v>
      </c>
      <c r="C1326" s="1">
        <v>1863</v>
      </c>
      <c r="D1326" s="1" t="s">
        <v>2919</v>
      </c>
      <c r="E1326" s="1">
        <v>999</v>
      </c>
      <c r="F1326" s="28">
        <v>83</v>
      </c>
      <c r="G1326" s="1">
        <v>4</v>
      </c>
      <c r="H1326" s="1">
        <v>102</v>
      </c>
      <c r="I1326" s="1">
        <v>161</v>
      </c>
      <c r="J1326" t="str">
        <f t="shared" si="20"/>
        <v>http://www.badatelna.eu/reprodukce/?fondId=241&amp;zaznamId=1133739&amp;reproId=3885812</v>
      </c>
      <c r="K1326">
        <f>IF(LEN(TRIM(E1326))=0,"",VLOOKUP(E1326,Sheet2!$B$1:$E$19,2,FALSE))</f>
        <v>241</v>
      </c>
      <c r="L1326">
        <f>IF(LEN(TRIM(E1326))=0,"",VLOOKUP(E1326,Sheet2!$B$1:$E$19,3,FALSE))</f>
        <v>1133739</v>
      </c>
      <c r="M1326">
        <f>IF(LEN(TRIM(E1326))=0,"",VLOOKUP(E1326,Sheet2!$B$1:$E$19,4,FALSE))+(F1326-1)</f>
        <v>3885812</v>
      </c>
      <c r="N1326" s="1"/>
      <c r="O1326" s="1"/>
      <c r="P1326" s="1"/>
      <c r="Q1326" s="1"/>
    </row>
    <row r="1327" spans="1:17" ht="15" customHeight="1" x14ac:dyDescent="0.25">
      <c r="A1327" s="28" t="s">
        <v>2980</v>
      </c>
      <c r="B1327" s="28" t="s">
        <v>19</v>
      </c>
      <c r="C1327" s="1">
        <v>1861</v>
      </c>
      <c r="D1327" s="1" t="s">
        <v>2919</v>
      </c>
      <c r="E1327" s="1">
        <v>998</v>
      </c>
      <c r="F1327" s="28">
        <v>60</v>
      </c>
      <c r="G1327" s="1">
        <v>57</v>
      </c>
      <c r="H1327" s="1">
        <v>72</v>
      </c>
      <c r="I1327" s="1">
        <v>69</v>
      </c>
      <c r="J1327" t="str">
        <f t="shared" si="20"/>
        <v>http://www.badatelna.eu/reprodukce/?fondId=241&amp;zaznamId=1133738&amp;reproId=3885706</v>
      </c>
      <c r="K1327">
        <f>IF(LEN(TRIM(E1327))=0,"",VLOOKUP(E1327,Sheet2!$B$1:$E$19,2,FALSE))</f>
        <v>241</v>
      </c>
      <c r="L1327">
        <f>IF(LEN(TRIM(E1327))=0,"",VLOOKUP(E1327,Sheet2!$B$1:$E$19,3,FALSE))</f>
        <v>1133738</v>
      </c>
      <c r="M1327">
        <f>IF(LEN(TRIM(E1327))=0,"",VLOOKUP(E1327,Sheet2!$B$1:$E$19,4,FALSE))+(F1327-1)</f>
        <v>3885706</v>
      </c>
      <c r="N1327" s="1"/>
      <c r="O1327" s="1"/>
      <c r="P1327" s="1"/>
      <c r="Q1327" s="1"/>
    </row>
    <row r="1328" spans="1:17" ht="15" customHeight="1" x14ac:dyDescent="0.25">
      <c r="A1328" s="28" t="s">
        <v>2980</v>
      </c>
      <c r="B1328" s="28" t="s">
        <v>198</v>
      </c>
      <c r="C1328" s="1">
        <v>1857</v>
      </c>
      <c r="D1328" s="1" t="s">
        <v>2919</v>
      </c>
      <c r="E1328" s="1">
        <v>998</v>
      </c>
      <c r="F1328" s="28">
        <v>51</v>
      </c>
      <c r="G1328" s="1">
        <v>49</v>
      </c>
      <c r="H1328" s="1">
        <v>72</v>
      </c>
      <c r="I1328" s="1">
        <v>69</v>
      </c>
      <c r="J1328" t="str">
        <f t="shared" si="20"/>
        <v>http://www.badatelna.eu/reprodukce/?fondId=241&amp;zaznamId=1133738&amp;reproId=3885697</v>
      </c>
      <c r="K1328">
        <f>IF(LEN(TRIM(E1328))=0,"",VLOOKUP(E1328,Sheet2!$B$1:$E$19,2,FALSE))</f>
        <v>241</v>
      </c>
      <c r="L1328">
        <f>IF(LEN(TRIM(E1328))=0,"",VLOOKUP(E1328,Sheet2!$B$1:$E$19,3,FALSE))</f>
        <v>1133738</v>
      </c>
      <c r="M1328">
        <f>IF(LEN(TRIM(E1328))=0,"",VLOOKUP(E1328,Sheet2!$B$1:$E$19,4,FALSE))+(F1328-1)</f>
        <v>3885697</v>
      </c>
      <c r="N1328" s="1"/>
      <c r="O1328" s="1"/>
      <c r="P1328" s="1"/>
      <c r="Q1328" s="1"/>
    </row>
    <row r="1329" spans="1:17" ht="15" customHeight="1" x14ac:dyDescent="0.25">
      <c r="A1329" s="28" t="s">
        <v>2976</v>
      </c>
      <c r="B1329" s="28" t="s">
        <v>371</v>
      </c>
      <c r="C1329" s="1">
        <v>1848</v>
      </c>
      <c r="D1329" s="1" t="s">
        <v>2919</v>
      </c>
      <c r="E1329" s="1">
        <v>998</v>
      </c>
      <c r="F1329" s="28">
        <v>11</v>
      </c>
      <c r="G1329" s="1">
        <v>9</v>
      </c>
      <c r="H1329" s="1">
        <v>72</v>
      </c>
      <c r="I1329" s="1">
        <v>69</v>
      </c>
      <c r="J1329" t="str">
        <f t="shared" si="20"/>
        <v>http://www.badatelna.eu/reprodukce/?fondId=241&amp;zaznamId=1133738&amp;reproId=3885657</v>
      </c>
      <c r="K1329">
        <f>IF(LEN(TRIM(E1329))=0,"",VLOOKUP(E1329,Sheet2!$B$1:$E$19,2,FALSE))</f>
        <v>241</v>
      </c>
      <c r="L1329">
        <f>IF(LEN(TRIM(E1329))=0,"",VLOOKUP(E1329,Sheet2!$B$1:$E$19,3,FALSE))</f>
        <v>1133738</v>
      </c>
      <c r="M1329">
        <f>IF(LEN(TRIM(E1329))=0,"",VLOOKUP(E1329,Sheet2!$B$1:$E$19,4,FALSE))+(F1329-1)</f>
        <v>3885657</v>
      </c>
    </row>
    <row r="1330" spans="1:17" ht="15" customHeight="1" x14ac:dyDescent="0.25">
      <c r="A1330" s="28" t="s">
        <v>2976</v>
      </c>
      <c r="B1330" s="28" t="s">
        <v>54</v>
      </c>
      <c r="C1330" s="1">
        <v>1862</v>
      </c>
      <c r="D1330" s="1" t="s">
        <v>2919</v>
      </c>
      <c r="E1330" s="1">
        <v>999</v>
      </c>
      <c r="F1330" s="28">
        <v>81</v>
      </c>
      <c r="G1330" s="1">
        <v>2</v>
      </c>
      <c r="H1330" s="1">
        <v>103</v>
      </c>
      <c r="I1330" s="1">
        <v>162</v>
      </c>
      <c r="J1330" t="str">
        <f t="shared" si="20"/>
        <v>http://www.badatelna.eu/reprodukce/?fondId=241&amp;zaznamId=1133739&amp;reproId=3885810</v>
      </c>
      <c r="K1330">
        <f>IF(LEN(TRIM(E1330))=0,"",VLOOKUP(E1330,Sheet2!$B$1:$E$19,2,FALSE))</f>
        <v>241</v>
      </c>
      <c r="L1330">
        <f>IF(LEN(TRIM(E1330))=0,"",VLOOKUP(E1330,Sheet2!$B$1:$E$19,3,FALSE))</f>
        <v>1133739</v>
      </c>
      <c r="M1330">
        <f>IF(LEN(TRIM(E1330))=0,"",VLOOKUP(E1330,Sheet2!$B$1:$E$19,4,FALSE))+(F1330-1)</f>
        <v>3885810</v>
      </c>
    </row>
    <row r="1331" spans="1:17" ht="15" customHeight="1" x14ac:dyDescent="0.25">
      <c r="A1331" s="28" t="s">
        <v>920</v>
      </c>
      <c r="B1331" s="28" t="s">
        <v>921</v>
      </c>
      <c r="C1331" s="15">
        <v>6696</v>
      </c>
      <c r="D1331" s="1" t="s">
        <v>454</v>
      </c>
      <c r="E1331" s="1">
        <v>2172</v>
      </c>
      <c r="F1331" s="28">
        <v>195</v>
      </c>
      <c r="G1331" s="9">
        <v>185</v>
      </c>
      <c r="H1331" s="1" t="s">
        <v>3073</v>
      </c>
      <c r="I1331" s="1" t="s">
        <v>3073</v>
      </c>
      <c r="J1331" t="str">
        <f t="shared" si="20"/>
        <v>http://www.badatelna.eu/reprodukce/?fondId=1073&amp;zaznamId=1108958&amp;reproId=3779936</v>
      </c>
      <c r="K1331">
        <f>IF(LEN(TRIM(E1331))=0,"",VLOOKUP(E1331,Sheet2!$B$1:$E$19,2,FALSE))</f>
        <v>1073</v>
      </c>
      <c r="L1331">
        <f>IF(LEN(TRIM(E1331))=0,"",VLOOKUP(E1331,Sheet2!$B$1:$E$19,3,FALSE))</f>
        <v>1108958</v>
      </c>
      <c r="M1331">
        <f>IF(LEN(TRIM(E1331))=0,"",VLOOKUP(E1331,Sheet2!$B$1:$E$19,4,FALSE))+(F1331-1)</f>
        <v>3779936</v>
      </c>
    </row>
    <row r="1332" spans="1:17" ht="15" customHeight="1" x14ac:dyDescent="0.25">
      <c r="A1332" s="28" t="s">
        <v>2862</v>
      </c>
      <c r="B1332" s="28" t="s">
        <v>49</v>
      </c>
      <c r="C1332" s="6" t="s">
        <v>2022</v>
      </c>
      <c r="D1332" s="1" t="s">
        <v>454</v>
      </c>
      <c r="E1332" s="1">
        <v>2173</v>
      </c>
      <c r="F1332" s="28">
        <v>210</v>
      </c>
      <c r="G1332" s="9" t="s">
        <v>2863</v>
      </c>
      <c r="H1332" s="1" t="s">
        <v>3073</v>
      </c>
      <c r="I1332" s="1" t="s">
        <v>3073</v>
      </c>
      <c r="J1332" t="str">
        <f t="shared" si="20"/>
        <v>http://www.badatelna.eu/reprodukce/?fondId=1073&amp;zaznamId=1108959&amp;reproId=3780203</v>
      </c>
      <c r="K1332">
        <f>IF(LEN(TRIM(E1332))=0,"",VLOOKUP(E1332,Sheet2!$B$1:$E$19,2,FALSE))</f>
        <v>1073</v>
      </c>
      <c r="L1332">
        <f>IF(LEN(TRIM(E1332))=0,"",VLOOKUP(E1332,Sheet2!$B$1:$E$19,3,FALSE))</f>
        <v>1108959</v>
      </c>
      <c r="M1332">
        <f>IF(LEN(TRIM(E1332))=0,"",VLOOKUP(E1332,Sheet2!$B$1:$E$19,4,FALSE))+(F1332-1)</f>
        <v>3780203</v>
      </c>
      <c r="N1332" s="1"/>
      <c r="O1332" s="1"/>
      <c r="P1332" s="1"/>
      <c r="Q1332" s="1"/>
    </row>
    <row r="1333" spans="1:17" ht="15" customHeight="1" x14ac:dyDescent="0.25">
      <c r="A1333" s="29" t="s">
        <v>62</v>
      </c>
      <c r="B1333" s="28" t="s">
        <v>29</v>
      </c>
      <c r="C1333" s="6" t="s">
        <v>2352</v>
      </c>
      <c r="D1333" s="1" t="s">
        <v>454</v>
      </c>
      <c r="E1333" s="1">
        <v>2173</v>
      </c>
      <c r="F1333" s="28">
        <v>200</v>
      </c>
      <c r="G1333" s="9">
        <v>9</v>
      </c>
      <c r="H1333" s="1" t="s">
        <v>3073</v>
      </c>
      <c r="I1333" s="1" t="s">
        <v>3073</v>
      </c>
      <c r="J1333" t="str">
        <f t="shared" si="20"/>
        <v>http://www.badatelna.eu/reprodukce/?fondId=1073&amp;zaznamId=1108959&amp;reproId=3780193</v>
      </c>
      <c r="K1333">
        <f>IF(LEN(TRIM(E1333))=0,"",VLOOKUP(E1333,Sheet2!$B$1:$E$19,2,FALSE))</f>
        <v>1073</v>
      </c>
      <c r="L1333">
        <f>IF(LEN(TRIM(E1333))=0,"",VLOOKUP(E1333,Sheet2!$B$1:$E$19,3,FALSE))</f>
        <v>1108959</v>
      </c>
      <c r="M1333">
        <f>IF(LEN(TRIM(E1333))=0,"",VLOOKUP(E1333,Sheet2!$B$1:$E$19,4,FALSE))+(F1333-1)</f>
        <v>3780193</v>
      </c>
      <c r="N1333" s="1"/>
      <c r="O1333" s="1"/>
      <c r="P1333" s="1"/>
      <c r="Q1333" s="1"/>
    </row>
    <row r="1334" spans="1:17" ht="15" customHeight="1" x14ac:dyDescent="0.25">
      <c r="A1334" s="28" t="s">
        <v>62</v>
      </c>
      <c r="B1334" s="28" t="s">
        <v>0</v>
      </c>
      <c r="C1334" s="6" t="s">
        <v>2485</v>
      </c>
      <c r="D1334" s="1" t="s">
        <v>454</v>
      </c>
      <c r="E1334" s="1">
        <v>2173</v>
      </c>
      <c r="F1334" s="28">
        <v>205</v>
      </c>
      <c r="G1334" s="1">
        <v>20</v>
      </c>
      <c r="H1334" s="1" t="s">
        <v>3073</v>
      </c>
      <c r="I1334" s="1" t="s">
        <v>3073</v>
      </c>
      <c r="J1334" t="str">
        <f t="shared" si="20"/>
        <v>http://www.badatelna.eu/reprodukce/?fondId=1073&amp;zaznamId=1108959&amp;reproId=3780198</v>
      </c>
      <c r="K1334">
        <f>IF(LEN(TRIM(E1334))=0,"",VLOOKUP(E1334,Sheet2!$B$1:$E$19,2,FALSE))</f>
        <v>1073</v>
      </c>
      <c r="L1334">
        <f>IF(LEN(TRIM(E1334))=0,"",VLOOKUP(E1334,Sheet2!$B$1:$E$19,3,FALSE))</f>
        <v>1108959</v>
      </c>
      <c r="M1334">
        <f>IF(LEN(TRIM(E1334))=0,"",VLOOKUP(E1334,Sheet2!$B$1:$E$19,4,FALSE))+(F1334-1)</f>
        <v>3780198</v>
      </c>
      <c r="N1334" s="1"/>
      <c r="O1334" s="1"/>
      <c r="P1334" s="1"/>
      <c r="Q1334" s="1"/>
    </row>
    <row r="1335" spans="1:17" ht="15" customHeight="1" x14ac:dyDescent="0.25">
      <c r="A1335" s="28" t="s">
        <v>62</v>
      </c>
      <c r="B1335" s="28" t="s">
        <v>200</v>
      </c>
      <c r="C1335" s="6" t="s">
        <v>2454</v>
      </c>
      <c r="D1335" s="1" t="s">
        <v>454</v>
      </c>
      <c r="E1335" s="1">
        <v>2173</v>
      </c>
      <c r="F1335" s="28">
        <v>204</v>
      </c>
      <c r="G1335" s="1">
        <v>18</v>
      </c>
      <c r="H1335" s="1" t="s">
        <v>3073</v>
      </c>
      <c r="I1335" s="1" t="s">
        <v>3073</v>
      </c>
      <c r="J1335" t="str">
        <f t="shared" si="20"/>
        <v>http://www.badatelna.eu/reprodukce/?fondId=1073&amp;zaznamId=1108959&amp;reproId=3780197</v>
      </c>
      <c r="K1335">
        <f>IF(LEN(TRIM(E1335))=0,"",VLOOKUP(E1335,Sheet2!$B$1:$E$19,2,FALSE))</f>
        <v>1073</v>
      </c>
      <c r="L1335">
        <f>IF(LEN(TRIM(E1335))=0,"",VLOOKUP(E1335,Sheet2!$B$1:$E$19,3,FALSE))</f>
        <v>1108959</v>
      </c>
      <c r="M1335">
        <f>IF(LEN(TRIM(E1335))=0,"",VLOOKUP(E1335,Sheet2!$B$1:$E$19,4,FALSE))+(F1335-1)</f>
        <v>3780197</v>
      </c>
    </row>
    <row r="1336" spans="1:17" s="1" customFormat="1" ht="15" customHeight="1" x14ac:dyDescent="0.2">
      <c r="A1336" s="31" t="s">
        <v>62</v>
      </c>
      <c r="B1336" s="31" t="s">
        <v>39</v>
      </c>
      <c r="C1336" s="7" t="s">
        <v>2264</v>
      </c>
      <c r="D1336" s="1" t="s">
        <v>454</v>
      </c>
      <c r="E1336" s="1">
        <v>2173</v>
      </c>
      <c r="F1336" s="31">
        <v>197</v>
      </c>
      <c r="G1336" s="12">
        <v>3</v>
      </c>
      <c r="H1336" s="1" t="s">
        <v>3073</v>
      </c>
      <c r="I1336" s="1" t="s">
        <v>3073</v>
      </c>
      <c r="J1336" t="str">
        <f t="shared" si="20"/>
        <v>http://www.badatelna.eu/reprodukce/?fondId=1073&amp;zaznamId=1108959&amp;reproId=3780190</v>
      </c>
      <c r="K1336">
        <f>IF(LEN(TRIM(E1336))=0,"",VLOOKUP(E1336,Sheet2!$B$1:$E$19,2,FALSE))</f>
        <v>1073</v>
      </c>
      <c r="L1336">
        <f>IF(LEN(TRIM(E1336))=0,"",VLOOKUP(E1336,Sheet2!$B$1:$E$19,3,FALSE))</f>
        <v>1108959</v>
      </c>
      <c r="M1336">
        <f>IF(LEN(TRIM(E1336))=0,"",VLOOKUP(E1336,Sheet2!$B$1:$E$19,4,FALSE))+(F1336-1)</f>
        <v>3780190</v>
      </c>
      <c r="N1336"/>
      <c r="O1336"/>
      <c r="P1336"/>
      <c r="Q1336"/>
    </row>
    <row r="1337" spans="1:17" s="1" customFormat="1" ht="15" customHeight="1" x14ac:dyDescent="0.25">
      <c r="A1337" s="28" t="s">
        <v>62</v>
      </c>
      <c r="B1337" s="28" t="s">
        <v>7</v>
      </c>
      <c r="C1337" s="6" t="s">
        <v>2447</v>
      </c>
      <c r="D1337" s="1" t="s">
        <v>454</v>
      </c>
      <c r="E1337" s="1">
        <v>2173</v>
      </c>
      <c r="F1337" s="28">
        <v>204</v>
      </c>
      <c r="G1337" s="1">
        <v>17</v>
      </c>
      <c r="H1337" s="1" t="s">
        <v>3073</v>
      </c>
      <c r="I1337" s="1" t="s">
        <v>3073</v>
      </c>
      <c r="J1337" t="str">
        <f t="shared" si="20"/>
        <v>http://www.badatelna.eu/reprodukce/?fondId=1073&amp;zaznamId=1108959&amp;reproId=3780197</v>
      </c>
      <c r="K1337">
        <f>IF(LEN(TRIM(E1337))=0,"",VLOOKUP(E1337,Sheet2!$B$1:$E$19,2,FALSE))</f>
        <v>1073</v>
      </c>
      <c r="L1337">
        <f>IF(LEN(TRIM(E1337))=0,"",VLOOKUP(E1337,Sheet2!$B$1:$E$19,3,FALSE))</f>
        <v>1108959</v>
      </c>
      <c r="M1337">
        <f>IF(LEN(TRIM(E1337))=0,"",VLOOKUP(E1337,Sheet2!$B$1:$E$19,4,FALSE))+(F1337-1)</f>
        <v>3780197</v>
      </c>
    </row>
    <row r="1338" spans="1:17" s="1" customFormat="1" ht="15" customHeight="1" x14ac:dyDescent="0.25">
      <c r="A1338" s="28" t="s">
        <v>55</v>
      </c>
      <c r="B1338" s="28" t="s">
        <v>33</v>
      </c>
      <c r="C1338" s="6" t="s">
        <v>2095</v>
      </c>
      <c r="D1338" s="1" t="s">
        <v>454</v>
      </c>
      <c r="E1338" s="1">
        <v>2173</v>
      </c>
      <c r="F1338" s="28">
        <v>181</v>
      </c>
      <c r="G1338" s="9">
        <v>8</v>
      </c>
      <c r="H1338" s="1">
        <v>189</v>
      </c>
      <c r="I1338" s="1">
        <v>421</v>
      </c>
      <c r="J1338" t="str">
        <f t="shared" si="20"/>
        <v>http://www.badatelna.eu/reprodukce/?fondId=1073&amp;zaznamId=1108959&amp;reproId=3780174</v>
      </c>
      <c r="K1338">
        <f>IF(LEN(TRIM(E1338))=0,"",VLOOKUP(E1338,Sheet2!$B$1:$E$19,2,FALSE))</f>
        <v>1073</v>
      </c>
      <c r="L1338">
        <f>IF(LEN(TRIM(E1338))=0,"",VLOOKUP(E1338,Sheet2!$B$1:$E$19,3,FALSE))</f>
        <v>1108959</v>
      </c>
      <c r="M1338">
        <f>IF(LEN(TRIM(E1338))=0,"",VLOOKUP(E1338,Sheet2!$B$1:$E$19,4,FALSE))+(F1338-1)</f>
        <v>3780174</v>
      </c>
    </row>
    <row r="1339" spans="1:17" s="1" customFormat="1" ht="15" customHeight="1" x14ac:dyDescent="0.25">
      <c r="A1339" s="28" t="s">
        <v>55</v>
      </c>
      <c r="B1339" s="28" t="s">
        <v>165</v>
      </c>
      <c r="C1339" s="6" t="s">
        <v>2011</v>
      </c>
      <c r="D1339" s="1" t="s">
        <v>454</v>
      </c>
      <c r="E1339" s="1">
        <v>2173</v>
      </c>
      <c r="F1339" s="28">
        <v>177</v>
      </c>
      <c r="G1339" s="9">
        <v>1</v>
      </c>
      <c r="H1339" s="1">
        <v>189</v>
      </c>
      <c r="I1339" s="1">
        <v>421</v>
      </c>
      <c r="J1339" t="str">
        <f t="shared" si="20"/>
        <v>http://www.badatelna.eu/reprodukce/?fondId=1073&amp;zaznamId=1108959&amp;reproId=3780170</v>
      </c>
      <c r="K1339">
        <f>IF(LEN(TRIM(E1339))=0,"",VLOOKUP(E1339,Sheet2!$B$1:$E$19,2,FALSE))</f>
        <v>1073</v>
      </c>
      <c r="L1339">
        <f>IF(LEN(TRIM(E1339))=0,"",VLOOKUP(E1339,Sheet2!$B$1:$E$19,3,FALSE))</f>
        <v>1108959</v>
      </c>
      <c r="M1339">
        <f>IF(LEN(TRIM(E1339))=0,"",VLOOKUP(E1339,Sheet2!$B$1:$E$19,4,FALSE))+(F1339-1)</f>
        <v>3780170</v>
      </c>
      <c r="N1339"/>
      <c r="O1339"/>
      <c r="P1339"/>
      <c r="Q1339"/>
    </row>
    <row r="1340" spans="1:17" s="1" customFormat="1" ht="15" customHeight="1" x14ac:dyDescent="0.25">
      <c r="A1340" s="28" t="s">
        <v>55</v>
      </c>
      <c r="B1340" s="28" t="s">
        <v>165</v>
      </c>
      <c r="C1340" s="6" t="s">
        <v>2011</v>
      </c>
      <c r="D1340" s="1" t="s">
        <v>454</v>
      </c>
      <c r="E1340" s="1">
        <v>2173</v>
      </c>
      <c r="F1340" s="28">
        <v>208</v>
      </c>
      <c r="G1340" s="1">
        <v>25</v>
      </c>
      <c r="H1340" s="1" t="s">
        <v>3073</v>
      </c>
      <c r="I1340" s="1" t="s">
        <v>3073</v>
      </c>
      <c r="J1340" t="str">
        <f t="shared" si="20"/>
        <v>http://www.badatelna.eu/reprodukce/?fondId=1073&amp;zaznamId=1108959&amp;reproId=3780201</v>
      </c>
      <c r="K1340">
        <f>IF(LEN(TRIM(E1340))=0,"",VLOOKUP(E1340,Sheet2!$B$1:$E$19,2,FALSE))</f>
        <v>1073</v>
      </c>
      <c r="L1340">
        <f>IF(LEN(TRIM(E1340))=0,"",VLOOKUP(E1340,Sheet2!$B$1:$E$19,3,FALSE))</f>
        <v>1108959</v>
      </c>
      <c r="M1340">
        <f>IF(LEN(TRIM(E1340))=0,"",VLOOKUP(E1340,Sheet2!$B$1:$E$19,4,FALSE))+(F1340-1)</f>
        <v>3780201</v>
      </c>
    </row>
    <row r="1341" spans="1:17" s="1" customFormat="1" ht="15" customHeight="1" x14ac:dyDescent="0.25">
      <c r="A1341" s="28" t="s">
        <v>55</v>
      </c>
      <c r="B1341" s="28" t="s">
        <v>49</v>
      </c>
      <c r="C1341" s="6" t="s">
        <v>2394</v>
      </c>
      <c r="D1341" s="1" t="s">
        <v>454</v>
      </c>
      <c r="E1341" s="1">
        <v>2173</v>
      </c>
      <c r="F1341" s="28">
        <v>202</v>
      </c>
      <c r="G1341" s="9">
        <v>13</v>
      </c>
      <c r="H1341" s="1" t="s">
        <v>3073</v>
      </c>
      <c r="I1341" s="1" t="s">
        <v>3073</v>
      </c>
      <c r="J1341" t="str">
        <f t="shared" si="20"/>
        <v>http://www.badatelna.eu/reprodukce/?fondId=1073&amp;zaznamId=1108959&amp;reproId=3780195</v>
      </c>
      <c r="K1341">
        <f>IF(LEN(TRIM(E1341))=0,"",VLOOKUP(E1341,Sheet2!$B$1:$E$19,2,FALSE))</f>
        <v>1073</v>
      </c>
      <c r="L1341">
        <f>IF(LEN(TRIM(E1341))=0,"",VLOOKUP(E1341,Sheet2!$B$1:$E$19,3,FALSE))</f>
        <v>1108959</v>
      </c>
      <c r="M1341">
        <f>IF(LEN(TRIM(E1341))=0,"",VLOOKUP(E1341,Sheet2!$B$1:$E$19,4,FALSE))+(F1341-1)</f>
        <v>3780195</v>
      </c>
    </row>
    <row r="1342" spans="1:17" s="1" customFormat="1" ht="15" customHeight="1" x14ac:dyDescent="0.25">
      <c r="A1342" s="28" t="s">
        <v>55</v>
      </c>
      <c r="B1342" s="28" t="s">
        <v>49</v>
      </c>
      <c r="C1342" s="6" t="s">
        <v>2639</v>
      </c>
      <c r="D1342" s="1" t="s">
        <v>454</v>
      </c>
      <c r="E1342" s="1">
        <v>2173</v>
      </c>
      <c r="F1342" s="28">
        <v>221</v>
      </c>
      <c r="G1342" s="9">
        <v>49</v>
      </c>
      <c r="H1342" s="1" t="s">
        <v>3073</v>
      </c>
      <c r="I1342" s="1" t="s">
        <v>3073</v>
      </c>
      <c r="J1342" t="str">
        <f t="shared" si="20"/>
        <v>http://www.badatelna.eu/reprodukce/?fondId=1073&amp;zaznamId=1108959&amp;reproId=3780214</v>
      </c>
      <c r="K1342">
        <f>IF(LEN(TRIM(E1342))=0,"",VLOOKUP(E1342,Sheet2!$B$1:$E$19,2,FALSE))</f>
        <v>1073</v>
      </c>
      <c r="L1342">
        <f>IF(LEN(TRIM(E1342))=0,"",VLOOKUP(E1342,Sheet2!$B$1:$E$19,3,FALSE))</f>
        <v>1108959</v>
      </c>
      <c r="M1342">
        <f>IF(LEN(TRIM(E1342))=0,"",VLOOKUP(E1342,Sheet2!$B$1:$E$19,4,FALSE))+(F1342-1)</f>
        <v>3780214</v>
      </c>
    </row>
    <row r="1343" spans="1:17" s="1" customFormat="1" ht="15" customHeight="1" x14ac:dyDescent="0.2">
      <c r="A1343" s="31" t="s">
        <v>55</v>
      </c>
      <c r="B1343" s="31" t="s">
        <v>39</v>
      </c>
      <c r="C1343" s="7" t="s">
        <v>2265</v>
      </c>
      <c r="D1343" s="1" t="s">
        <v>454</v>
      </c>
      <c r="E1343" s="1">
        <v>2173</v>
      </c>
      <c r="F1343" s="31">
        <v>197</v>
      </c>
      <c r="G1343" s="12">
        <v>3</v>
      </c>
      <c r="H1343" s="1" t="s">
        <v>3073</v>
      </c>
      <c r="I1343" s="1" t="s">
        <v>3073</v>
      </c>
      <c r="J1343" t="str">
        <f t="shared" si="20"/>
        <v>http://www.badatelna.eu/reprodukce/?fondId=1073&amp;zaznamId=1108959&amp;reproId=3780190</v>
      </c>
      <c r="K1343">
        <f>IF(LEN(TRIM(E1343))=0,"",VLOOKUP(E1343,Sheet2!$B$1:$E$19,2,FALSE))</f>
        <v>1073</v>
      </c>
      <c r="L1343">
        <f>IF(LEN(TRIM(E1343))=0,"",VLOOKUP(E1343,Sheet2!$B$1:$E$19,3,FALSE))</f>
        <v>1108959</v>
      </c>
      <c r="M1343">
        <f>IF(LEN(TRIM(E1343))=0,"",VLOOKUP(E1343,Sheet2!$B$1:$E$19,4,FALSE))+(F1343-1)</f>
        <v>3780190</v>
      </c>
    </row>
    <row r="1344" spans="1:17" s="1" customFormat="1" ht="15" customHeight="1" x14ac:dyDescent="0.25">
      <c r="A1344" s="28" t="s">
        <v>213</v>
      </c>
      <c r="B1344" s="28" t="s">
        <v>498</v>
      </c>
      <c r="C1344" s="1">
        <v>1884</v>
      </c>
      <c r="D1344" s="1" t="s">
        <v>454</v>
      </c>
      <c r="E1344" s="1">
        <v>2172</v>
      </c>
      <c r="F1344" s="28">
        <v>40</v>
      </c>
      <c r="G1344" s="9" t="s">
        <v>2762</v>
      </c>
      <c r="H1344" s="1">
        <v>42</v>
      </c>
      <c r="I1344" s="1">
        <v>41</v>
      </c>
      <c r="J1344" t="str">
        <f t="shared" si="20"/>
        <v>http://www.badatelna.eu/reprodukce/?fondId=1073&amp;zaznamId=1108958&amp;reproId=3779781</v>
      </c>
      <c r="K1344">
        <f>IF(LEN(TRIM(E1344))=0,"",VLOOKUP(E1344,Sheet2!$B$1:$E$19,2,FALSE))</f>
        <v>1073</v>
      </c>
      <c r="L1344">
        <f>IF(LEN(TRIM(E1344))=0,"",VLOOKUP(E1344,Sheet2!$B$1:$E$19,3,FALSE))</f>
        <v>1108958</v>
      </c>
      <c r="M1344">
        <f>IF(LEN(TRIM(E1344))=0,"",VLOOKUP(E1344,Sheet2!$B$1:$E$19,4,FALSE))+(F1344-1)</f>
        <v>3779781</v>
      </c>
    </row>
    <row r="1345" spans="1:17" s="1" customFormat="1" ht="15" customHeight="1" x14ac:dyDescent="0.25">
      <c r="A1345" s="27" t="s">
        <v>96</v>
      </c>
      <c r="B1345" s="27" t="s">
        <v>556</v>
      </c>
      <c r="C1345" s="5" t="s">
        <v>1222</v>
      </c>
      <c r="D1345" s="3" t="s">
        <v>454</v>
      </c>
      <c r="E1345" s="3">
        <v>2170</v>
      </c>
      <c r="F1345" s="28">
        <v>24</v>
      </c>
      <c r="G1345" s="10">
        <v>20</v>
      </c>
      <c r="H1345" s="3">
        <v>64</v>
      </c>
      <c r="I1345" s="3">
        <v>60</v>
      </c>
      <c r="J1345" t="str">
        <f t="shared" si="20"/>
        <v>http://www.badatelna.eu/reprodukce/?fondId=1073&amp;zaznamId=1108956&amp;reproId=3779616</v>
      </c>
      <c r="K1345">
        <f>IF(LEN(TRIM(E1345))=0,"",VLOOKUP(E1345,Sheet2!$B$1:$E$19,2,FALSE))</f>
        <v>1073</v>
      </c>
      <c r="L1345">
        <f>IF(LEN(TRIM(E1345))=0,"",VLOOKUP(E1345,Sheet2!$B$1:$E$19,3,FALSE))</f>
        <v>1108956</v>
      </c>
      <c r="M1345">
        <f>IF(LEN(TRIM(E1345))=0,"",VLOOKUP(E1345,Sheet2!$B$1:$E$19,4,FALSE))+(F1345-1)</f>
        <v>3779616</v>
      </c>
      <c r="N1345"/>
      <c r="O1345"/>
      <c r="P1345"/>
      <c r="Q1345"/>
    </row>
    <row r="1346" spans="1:17" s="1" customFormat="1" ht="15" customHeight="1" x14ac:dyDescent="0.25">
      <c r="A1346" s="28" t="s">
        <v>96</v>
      </c>
      <c r="B1346" s="28" t="s">
        <v>465</v>
      </c>
      <c r="C1346" s="15">
        <v>12360</v>
      </c>
      <c r="D1346" s="1" t="s">
        <v>454</v>
      </c>
      <c r="E1346" s="1">
        <v>2172</v>
      </c>
      <c r="F1346" s="28">
        <v>227</v>
      </c>
      <c r="G1346" s="9">
        <v>208</v>
      </c>
      <c r="H1346" s="1" t="s">
        <v>3073</v>
      </c>
      <c r="I1346" s="1" t="s">
        <v>3073</v>
      </c>
      <c r="J1346" t="str">
        <f t="shared" si="20"/>
        <v>http://www.badatelna.eu/reprodukce/?fondId=1073&amp;zaznamId=1108958&amp;reproId=3779968</v>
      </c>
      <c r="K1346">
        <f>IF(LEN(TRIM(E1346))=0,"",VLOOKUP(E1346,Sheet2!$B$1:$E$19,2,FALSE))</f>
        <v>1073</v>
      </c>
      <c r="L1346">
        <f>IF(LEN(TRIM(E1346))=0,"",VLOOKUP(E1346,Sheet2!$B$1:$E$19,3,FALSE))</f>
        <v>1108958</v>
      </c>
      <c r="M1346">
        <f>IF(LEN(TRIM(E1346))=0,"",VLOOKUP(E1346,Sheet2!$B$1:$E$19,4,FALSE))+(F1346-1)</f>
        <v>3779968</v>
      </c>
    </row>
    <row r="1347" spans="1:17" s="1" customFormat="1" ht="15" customHeight="1" x14ac:dyDescent="0.25">
      <c r="A1347" s="28" t="s">
        <v>96</v>
      </c>
      <c r="B1347" s="28" t="s">
        <v>922</v>
      </c>
      <c r="C1347" s="6" t="s">
        <v>1853</v>
      </c>
      <c r="D1347" s="1" t="s">
        <v>454</v>
      </c>
      <c r="E1347" s="1">
        <v>2172</v>
      </c>
      <c r="F1347" s="28">
        <v>181</v>
      </c>
      <c r="G1347" s="9">
        <v>173</v>
      </c>
      <c r="H1347" s="1" t="s">
        <v>3073</v>
      </c>
      <c r="I1347" s="1" t="s">
        <v>3073</v>
      </c>
      <c r="J1347" t="str">
        <f t="shared" ref="J1347:J1410" si="21">IF(LEN(TRIM(E1347))=0,"","http://www.badatelna.eu/reprodukce/?fondId="&amp;K1347&amp;"&amp;zaznamId="&amp;L1347&amp;"&amp;reproId="&amp;M1347)</f>
        <v>http://www.badatelna.eu/reprodukce/?fondId=1073&amp;zaznamId=1108958&amp;reproId=3779922</v>
      </c>
      <c r="K1347">
        <f>IF(LEN(TRIM(E1347))=0,"",VLOOKUP(E1347,Sheet2!$B$1:$E$19,2,FALSE))</f>
        <v>1073</v>
      </c>
      <c r="L1347">
        <f>IF(LEN(TRIM(E1347))=0,"",VLOOKUP(E1347,Sheet2!$B$1:$E$19,3,FALSE))</f>
        <v>1108958</v>
      </c>
      <c r="M1347">
        <f>IF(LEN(TRIM(E1347))=0,"",VLOOKUP(E1347,Sheet2!$B$1:$E$19,4,FALSE))+(F1347-1)</f>
        <v>3779922</v>
      </c>
    </row>
    <row r="1348" spans="1:17" s="1" customFormat="1" ht="15" customHeight="1" x14ac:dyDescent="0.25">
      <c r="A1348" s="27" t="s">
        <v>96</v>
      </c>
      <c r="B1348" s="27" t="s">
        <v>19</v>
      </c>
      <c r="C1348" s="5" t="s">
        <v>1221</v>
      </c>
      <c r="D1348" s="3" t="s">
        <v>454</v>
      </c>
      <c r="E1348" s="3">
        <v>2170</v>
      </c>
      <c r="F1348" s="28">
        <v>45</v>
      </c>
      <c r="G1348" s="10">
        <v>41</v>
      </c>
      <c r="H1348" s="3">
        <v>64</v>
      </c>
      <c r="I1348" s="3">
        <v>60</v>
      </c>
      <c r="J1348" t="str">
        <f t="shared" si="21"/>
        <v>http://www.badatelna.eu/reprodukce/?fondId=1073&amp;zaznamId=1108956&amp;reproId=3779637</v>
      </c>
      <c r="K1348">
        <f>IF(LEN(TRIM(E1348))=0,"",VLOOKUP(E1348,Sheet2!$B$1:$E$19,2,FALSE))</f>
        <v>1073</v>
      </c>
      <c r="L1348">
        <f>IF(LEN(TRIM(E1348))=0,"",VLOOKUP(E1348,Sheet2!$B$1:$E$19,3,FALSE))</f>
        <v>1108956</v>
      </c>
      <c r="M1348">
        <f>IF(LEN(TRIM(E1348))=0,"",VLOOKUP(E1348,Sheet2!$B$1:$E$19,4,FALSE))+(F1348-1)</f>
        <v>3779637</v>
      </c>
    </row>
    <row r="1349" spans="1:17" s="1" customFormat="1" ht="15" customHeight="1" x14ac:dyDescent="0.25">
      <c r="A1349" s="28" t="s">
        <v>96</v>
      </c>
      <c r="B1349" s="28" t="s">
        <v>3104</v>
      </c>
      <c r="C1349" s="6" t="s">
        <v>2297</v>
      </c>
      <c r="D1349" s="1" t="s">
        <v>454</v>
      </c>
      <c r="E1349" s="1">
        <v>2173</v>
      </c>
      <c r="F1349" s="28">
        <v>198</v>
      </c>
      <c r="G1349" s="9">
        <v>5</v>
      </c>
      <c r="H1349" s="1" t="s">
        <v>3073</v>
      </c>
      <c r="I1349" s="1" t="s">
        <v>3073</v>
      </c>
      <c r="J1349" t="str">
        <f t="shared" si="21"/>
        <v>http://www.badatelna.eu/reprodukce/?fondId=1073&amp;zaznamId=1108959&amp;reproId=3780191</v>
      </c>
      <c r="K1349">
        <f>IF(LEN(TRIM(E1349))=0,"",VLOOKUP(E1349,Sheet2!$B$1:$E$19,2,FALSE))</f>
        <v>1073</v>
      </c>
      <c r="L1349">
        <f>IF(LEN(TRIM(E1349))=0,"",VLOOKUP(E1349,Sheet2!$B$1:$E$19,3,FALSE))</f>
        <v>1108959</v>
      </c>
      <c r="M1349">
        <f>IF(LEN(TRIM(E1349))=0,"",VLOOKUP(E1349,Sheet2!$B$1:$E$19,4,FALSE))+(F1349-1)</f>
        <v>3780191</v>
      </c>
      <c r="N1349"/>
      <c r="O1349"/>
      <c r="P1349"/>
      <c r="Q1349"/>
    </row>
    <row r="1350" spans="1:17" s="1" customFormat="1" ht="15" customHeight="1" x14ac:dyDescent="0.25">
      <c r="A1350" s="28" t="s">
        <v>96</v>
      </c>
      <c r="B1350" s="28" t="s">
        <v>340</v>
      </c>
      <c r="C1350" s="6" t="s">
        <v>1504</v>
      </c>
      <c r="D1350" s="1" t="s">
        <v>454</v>
      </c>
      <c r="E1350" s="1">
        <v>2172</v>
      </c>
      <c r="F1350" s="28">
        <v>6</v>
      </c>
      <c r="G1350" s="9">
        <v>3</v>
      </c>
      <c r="H1350" s="1">
        <v>9</v>
      </c>
      <c r="I1350" s="1">
        <v>2</v>
      </c>
      <c r="J1350" t="str">
        <f t="shared" si="21"/>
        <v>http://www.badatelna.eu/reprodukce/?fondId=1073&amp;zaznamId=1108958&amp;reproId=3779747</v>
      </c>
      <c r="K1350">
        <f>IF(LEN(TRIM(E1350))=0,"",VLOOKUP(E1350,Sheet2!$B$1:$E$19,2,FALSE))</f>
        <v>1073</v>
      </c>
      <c r="L1350">
        <f>IF(LEN(TRIM(E1350))=0,"",VLOOKUP(E1350,Sheet2!$B$1:$E$19,3,FALSE))</f>
        <v>1108958</v>
      </c>
      <c r="M1350">
        <f>IF(LEN(TRIM(E1350))=0,"",VLOOKUP(E1350,Sheet2!$B$1:$E$19,4,FALSE))+(F1350-1)</f>
        <v>3779747</v>
      </c>
    </row>
    <row r="1351" spans="1:17" s="1" customFormat="1" ht="15" customHeight="1" x14ac:dyDescent="0.25">
      <c r="A1351" s="28" t="s">
        <v>96</v>
      </c>
      <c r="B1351" s="28" t="s">
        <v>511</v>
      </c>
      <c r="C1351" s="1">
        <v>1882</v>
      </c>
      <c r="D1351" s="1" t="s">
        <v>454</v>
      </c>
      <c r="E1351" s="1">
        <v>2172</v>
      </c>
      <c r="F1351" s="29">
        <v>27</v>
      </c>
      <c r="G1351" s="9">
        <v>26</v>
      </c>
      <c r="H1351" s="1">
        <v>30</v>
      </c>
      <c r="I1351" s="1">
        <v>29</v>
      </c>
      <c r="J1351" t="str">
        <f t="shared" si="21"/>
        <v>http://www.badatelna.eu/reprodukce/?fondId=1073&amp;zaznamId=1108958&amp;reproId=3779768</v>
      </c>
      <c r="K1351">
        <f>IF(LEN(TRIM(E1351))=0,"",VLOOKUP(E1351,Sheet2!$B$1:$E$19,2,FALSE))</f>
        <v>1073</v>
      </c>
      <c r="L1351">
        <f>IF(LEN(TRIM(E1351))=0,"",VLOOKUP(E1351,Sheet2!$B$1:$E$19,3,FALSE))</f>
        <v>1108958</v>
      </c>
      <c r="M1351">
        <f>IF(LEN(TRIM(E1351))=0,"",VLOOKUP(E1351,Sheet2!$B$1:$E$19,4,FALSE))+(F1351-1)</f>
        <v>3779768</v>
      </c>
      <c r="N1351"/>
      <c r="O1351"/>
      <c r="P1351"/>
      <c r="Q1351"/>
    </row>
    <row r="1352" spans="1:17" s="1" customFormat="1" ht="15" customHeight="1" x14ac:dyDescent="0.25">
      <c r="A1352" s="28" t="s">
        <v>96</v>
      </c>
      <c r="B1352" s="28" t="s">
        <v>424</v>
      </c>
      <c r="C1352" s="6" t="s">
        <v>2902</v>
      </c>
      <c r="D1352" s="1" t="s">
        <v>454</v>
      </c>
      <c r="E1352" s="1">
        <v>2173</v>
      </c>
      <c r="F1352" s="28">
        <v>212</v>
      </c>
      <c r="G1352" s="9" t="s">
        <v>2761</v>
      </c>
      <c r="H1352" s="1" t="s">
        <v>3073</v>
      </c>
      <c r="I1352" s="1" t="s">
        <v>3073</v>
      </c>
      <c r="J1352" t="str">
        <f t="shared" si="21"/>
        <v>http://www.badatelna.eu/reprodukce/?fondId=1073&amp;zaznamId=1108959&amp;reproId=3780205</v>
      </c>
      <c r="K1352">
        <f>IF(LEN(TRIM(E1352))=0,"",VLOOKUP(E1352,Sheet2!$B$1:$E$19,2,FALSE))</f>
        <v>1073</v>
      </c>
      <c r="L1352">
        <f>IF(LEN(TRIM(E1352))=0,"",VLOOKUP(E1352,Sheet2!$B$1:$E$19,3,FALSE))</f>
        <v>1108959</v>
      </c>
      <c r="M1352">
        <f>IF(LEN(TRIM(E1352))=0,"",VLOOKUP(E1352,Sheet2!$B$1:$E$19,4,FALSE))+(F1352-1)</f>
        <v>3780205</v>
      </c>
    </row>
    <row r="1353" spans="1:17" s="1" customFormat="1" ht="15" customHeight="1" x14ac:dyDescent="0.25">
      <c r="A1353" s="28" t="s">
        <v>96</v>
      </c>
      <c r="B1353" s="28" t="s">
        <v>483</v>
      </c>
      <c r="C1353" s="6" t="s">
        <v>1897</v>
      </c>
      <c r="D1353" s="1" t="s">
        <v>454</v>
      </c>
      <c r="E1353" s="1">
        <v>2172</v>
      </c>
      <c r="F1353" s="28">
        <v>201</v>
      </c>
      <c r="G1353" s="9">
        <v>188</v>
      </c>
      <c r="H1353" s="1" t="s">
        <v>3073</v>
      </c>
      <c r="I1353" s="1" t="s">
        <v>3073</v>
      </c>
      <c r="J1353" t="str">
        <f t="shared" si="21"/>
        <v>http://www.badatelna.eu/reprodukce/?fondId=1073&amp;zaznamId=1108958&amp;reproId=3779942</v>
      </c>
      <c r="K1353">
        <f>IF(LEN(TRIM(E1353))=0,"",VLOOKUP(E1353,Sheet2!$B$1:$E$19,2,FALSE))</f>
        <v>1073</v>
      </c>
      <c r="L1353">
        <f>IF(LEN(TRIM(E1353))=0,"",VLOOKUP(E1353,Sheet2!$B$1:$E$19,3,FALSE))</f>
        <v>1108958</v>
      </c>
      <c r="M1353">
        <f>IF(LEN(TRIM(E1353))=0,"",VLOOKUP(E1353,Sheet2!$B$1:$E$19,4,FALSE))+(F1353-1)</f>
        <v>3779942</v>
      </c>
    </row>
    <row r="1354" spans="1:17" s="1" customFormat="1" ht="15" customHeight="1" x14ac:dyDescent="0.25">
      <c r="A1354" s="28" t="s">
        <v>96</v>
      </c>
      <c r="B1354" s="29" t="s">
        <v>265</v>
      </c>
      <c r="C1354" s="1">
        <v>1850</v>
      </c>
      <c r="D1354" s="1" t="s">
        <v>2919</v>
      </c>
      <c r="E1354" s="1">
        <v>998</v>
      </c>
      <c r="F1354" s="28">
        <v>31</v>
      </c>
      <c r="G1354" s="1">
        <v>29</v>
      </c>
      <c r="H1354" s="1">
        <v>72</v>
      </c>
      <c r="I1354" s="1">
        <v>69</v>
      </c>
      <c r="J1354" t="str">
        <f t="shared" si="21"/>
        <v>http://www.badatelna.eu/reprodukce/?fondId=241&amp;zaznamId=1133738&amp;reproId=3885677</v>
      </c>
      <c r="K1354">
        <f>IF(LEN(TRIM(E1354))=0,"",VLOOKUP(E1354,Sheet2!$B$1:$E$19,2,FALSE))</f>
        <v>241</v>
      </c>
      <c r="L1354">
        <f>IF(LEN(TRIM(E1354))=0,"",VLOOKUP(E1354,Sheet2!$B$1:$E$19,3,FALSE))</f>
        <v>1133738</v>
      </c>
      <c r="M1354">
        <f>IF(LEN(TRIM(E1354))=0,"",VLOOKUP(E1354,Sheet2!$B$1:$E$19,4,FALSE))+(F1354-1)</f>
        <v>3885677</v>
      </c>
    </row>
    <row r="1355" spans="1:17" s="1" customFormat="1" ht="15" customHeight="1" x14ac:dyDescent="0.25">
      <c r="A1355" s="28" t="s">
        <v>96</v>
      </c>
      <c r="B1355" s="28" t="s">
        <v>247</v>
      </c>
      <c r="C1355" s="6" t="s">
        <v>2096</v>
      </c>
      <c r="D1355" s="1" t="s">
        <v>454</v>
      </c>
      <c r="E1355" s="1">
        <v>2173</v>
      </c>
      <c r="F1355" s="28">
        <v>183</v>
      </c>
      <c r="G1355" s="9">
        <v>13</v>
      </c>
      <c r="H1355" s="1">
        <v>189</v>
      </c>
      <c r="I1355" s="1">
        <v>421</v>
      </c>
      <c r="J1355" t="str">
        <f t="shared" si="21"/>
        <v>http://www.badatelna.eu/reprodukce/?fondId=1073&amp;zaznamId=1108959&amp;reproId=3780176</v>
      </c>
      <c r="K1355">
        <f>IF(LEN(TRIM(E1355))=0,"",VLOOKUP(E1355,Sheet2!$B$1:$E$19,2,FALSE))</f>
        <v>1073</v>
      </c>
      <c r="L1355">
        <f>IF(LEN(TRIM(E1355))=0,"",VLOOKUP(E1355,Sheet2!$B$1:$E$19,3,FALSE))</f>
        <v>1108959</v>
      </c>
      <c r="M1355">
        <f>IF(LEN(TRIM(E1355))=0,"",VLOOKUP(E1355,Sheet2!$B$1:$E$19,4,FALSE))+(F1355-1)</f>
        <v>3780176</v>
      </c>
      <c r="N1355"/>
      <c r="O1355"/>
      <c r="P1355"/>
      <c r="Q1355"/>
    </row>
    <row r="1356" spans="1:17" s="1" customFormat="1" ht="15" customHeight="1" x14ac:dyDescent="0.25">
      <c r="A1356" s="27" t="s">
        <v>96</v>
      </c>
      <c r="B1356" s="27" t="s">
        <v>486</v>
      </c>
      <c r="C1356" s="5" t="s">
        <v>1220</v>
      </c>
      <c r="D1356" s="3" t="s">
        <v>454</v>
      </c>
      <c r="E1356" s="3">
        <v>2170</v>
      </c>
      <c r="F1356" s="28">
        <v>55</v>
      </c>
      <c r="G1356" s="10" t="s">
        <v>3077</v>
      </c>
      <c r="H1356" s="3">
        <v>64</v>
      </c>
      <c r="I1356" s="3">
        <v>60</v>
      </c>
      <c r="J1356" t="str">
        <f t="shared" si="21"/>
        <v>http://www.badatelna.eu/reprodukce/?fondId=1073&amp;zaznamId=1108956&amp;reproId=3779647</v>
      </c>
      <c r="K1356">
        <f>IF(LEN(TRIM(E1356))=0,"",VLOOKUP(E1356,Sheet2!$B$1:$E$19,2,FALSE))</f>
        <v>1073</v>
      </c>
      <c r="L1356">
        <f>IF(LEN(TRIM(E1356))=0,"",VLOOKUP(E1356,Sheet2!$B$1:$E$19,3,FALSE))</f>
        <v>1108956</v>
      </c>
      <c r="M1356">
        <f>IF(LEN(TRIM(E1356))=0,"",VLOOKUP(E1356,Sheet2!$B$1:$E$19,4,FALSE))+(F1356-1)</f>
        <v>3779647</v>
      </c>
      <c r="N1356"/>
      <c r="O1356"/>
      <c r="P1356"/>
      <c r="Q1356"/>
    </row>
    <row r="1357" spans="1:17" s="1" customFormat="1" ht="15" customHeight="1" x14ac:dyDescent="0.25">
      <c r="A1357" s="27" t="s">
        <v>96</v>
      </c>
      <c r="B1357" s="27" t="s">
        <v>557</v>
      </c>
      <c r="C1357" s="5" t="s">
        <v>1223</v>
      </c>
      <c r="D1357" s="3" t="s">
        <v>454</v>
      </c>
      <c r="E1357" s="3">
        <v>2170</v>
      </c>
      <c r="F1357" s="28">
        <v>5</v>
      </c>
      <c r="G1357" s="10">
        <v>1</v>
      </c>
      <c r="H1357" s="3">
        <v>64</v>
      </c>
      <c r="I1357" s="3">
        <v>60</v>
      </c>
      <c r="J1357" t="str">
        <f t="shared" si="21"/>
        <v>http://www.badatelna.eu/reprodukce/?fondId=1073&amp;zaznamId=1108956&amp;reproId=3779597</v>
      </c>
      <c r="K1357">
        <f>IF(LEN(TRIM(E1357))=0,"",VLOOKUP(E1357,Sheet2!$B$1:$E$19,2,FALSE))</f>
        <v>1073</v>
      </c>
      <c r="L1357">
        <f>IF(LEN(TRIM(E1357))=0,"",VLOOKUP(E1357,Sheet2!$B$1:$E$19,3,FALSE))</f>
        <v>1108956</v>
      </c>
      <c r="M1357">
        <f>IF(LEN(TRIM(E1357))=0,"",VLOOKUP(E1357,Sheet2!$B$1:$E$19,4,FALSE))+(F1357-1)</f>
        <v>3779597</v>
      </c>
    </row>
    <row r="1358" spans="1:17" s="1" customFormat="1" ht="15" customHeight="1" x14ac:dyDescent="0.25">
      <c r="A1358" s="28" t="s">
        <v>96</v>
      </c>
      <c r="B1358" s="28" t="s">
        <v>289</v>
      </c>
      <c r="C1358" s="1">
        <v>1893</v>
      </c>
      <c r="D1358" s="1" t="s">
        <v>454</v>
      </c>
      <c r="E1358" s="1">
        <v>2172</v>
      </c>
      <c r="F1358" s="28">
        <v>87</v>
      </c>
      <c r="G1358" s="9">
        <v>86</v>
      </c>
      <c r="H1358" s="1">
        <v>89</v>
      </c>
      <c r="I1358" s="1">
        <v>88</v>
      </c>
      <c r="J1358" t="str">
        <f t="shared" si="21"/>
        <v>http://www.badatelna.eu/reprodukce/?fondId=1073&amp;zaznamId=1108958&amp;reproId=3779828</v>
      </c>
      <c r="K1358">
        <f>IF(LEN(TRIM(E1358))=0,"",VLOOKUP(E1358,Sheet2!$B$1:$E$19,2,FALSE))</f>
        <v>1073</v>
      </c>
      <c r="L1358">
        <f>IF(LEN(TRIM(E1358))=0,"",VLOOKUP(E1358,Sheet2!$B$1:$E$19,3,FALSE))</f>
        <v>1108958</v>
      </c>
      <c r="M1358">
        <f>IF(LEN(TRIM(E1358))=0,"",VLOOKUP(E1358,Sheet2!$B$1:$E$19,4,FALSE))+(F1358-1)</f>
        <v>3779828</v>
      </c>
      <c r="N1358"/>
      <c r="O1358"/>
      <c r="P1358"/>
      <c r="Q1358"/>
    </row>
    <row r="1359" spans="1:17" s="1" customFormat="1" ht="15" customHeight="1" x14ac:dyDescent="0.25">
      <c r="A1359" s="28" t="s">
        <v>96</v>
      </c>
      <c r="B1359" s="28" t="s">
        <v>923</v>
      </c>
      <c r="C1359" s="1">
        <v>1893</v>
      </c>
      <c r="D1359" s="1" t="s">
        <v>454</v>
      </c>
      <c r="E1359" s="1">
        <v>2172</v>
      </c>
      <c r="F1359" s="28">
        <v>86</v>
      </c>
      <c r="G1359" s="9">
        <v>85</v>
      </c>
      <c r="H1359" s="1">
        <v>89</v>
      </c>
      <c r="I1359" s="1">
        <v>88</v>
      </c>
      <c r="J1359" t="str">
        <f t="shared" si="21"/>
        <v>http://www.badatelna.eu/reprodukce/?fondId=1073&amp;zaznamId=1108958&amp;reproId=3779827</v>
      </c>
      <c r="K1359">
        <f>IF(LEN(TRIM(E1359))=0,"",VLOOKUP(E1359,Sheet2!$B$1:$E$19,2,FALSE))</f>
        <v>1073</v>
      </c>
      <c r="L1359">
        <f>IF(LEN(TRIM(E1359))=0,"",VLOOKUP(E1359,Sheet2!$B$1:$E$19,3,FALSE))</f>
        <v>1108958</v>
      </c>
      <c r="M1359">
        <f>IF(LEN(TRIM(E1359))=0,"",VLOOKUP(E1359,Sheet2!$B$1:$E$19,4,FALSE))+(F1359-1)</f>
        <v>3779827</v>
      </c>
    </row>
    <row r="1360" spans="1:17" s="1" customFormat="1" ht="15" customHeight="1" x14ac:dyDescent="0.25">
      <c r="A1360" s="28" t="s">
        <v>924</v>
      </c>
      <c r="B1360" s="28" t="s">
        <v>667</v>
      </c>
      <c r="C1360" s="6" t="s">
        <v>1951</v>
      </c>
      <c r="D1360" s="1" t="s">
        <v>454</v>
      </c>
      <c r="E1360" s="1">
        <v>2172</v>
      </c>
      <c r="F1360" s="28">
        <v>227</v>
      </c>
      <c r="G1360" s="9">
        <v>208</v>
      </c>
      <c r="H1360" s="1" t="s">
        <v>3073</v>
      </c>
      <c r="I1360" s="1" t="s">
        <v>3073</v>
      </c>
      <c r="J1360" t="str">
        <f t="shared" si="21"/>
        <v>http://www.badatelna.eu/reprodukce/?fondId=1073&amp;zaznamId=1108958&amp;reproId=3779968</v>
      </c>
      <c r="K1360">
        <f>IF(LEN(TRIM(E1360))=0,"",VLOOKUP(E1360,Sheet2!$B$1:$E$19,2,FALSE))</f>
        <v>1073</v>
      </c>
      <c r="L1360">
        <f>IF(LEN(TRIM(E1360))=0,"",VLOOKUP(E1360,Sheet2!$B$1:$E$19,3,FALSE))</f>
        <v>1108958</v>
      </c>
      <c r="M1360">
        <f>IF(LEN(TRIM(E1360))=0,"",VLOOKUP(E1360,Sheet2!$B$1:$E$19,4,FALSE))+(F1360-1)</f>
        <v>3779968</v>
      </c>
    </row>
    <row r="1361" spans="1:17" s="1" customFormat="1" ht="15" customHeight="1" x14ac:dyDescent="0.25">
      <c r="A1361" s="28"/>
      <c r="B1361" s="28"/>
      <c r="C1361" s="38" t="s">
        <v>3124</v>
      </c>
      <c r="F1361" s="28"/>
      <c r="G1361" s="9"/>
      <c r="J1361" t="str">
        <f t="shared" si="21"/>
        <v/>
      </c>
      <c r="K1361" t="str">
        <f>IF(LEN(TRIM(E1361))=0,"",VLOOKUP(E1361,Sheet2!$B$1:$E$19,2,FALSE))</f>
        <v/>
      </c>
      <c r="L1361" t="str">
        <f>IF(LEN(TRIM(E1361))=0,"",VLOOKUP(E1361,Sheet2!$B$1:$E$19,3,FALSE))</f>
        <v/>
      </c>
      <c r="M1361" t="e">
        <f>IF(LEN(TRIM(E1361))=0,"",VLOOKUP(E1361,Sheet2!$B$1:$E$19,4,FALSE))+(F1361-1)</f>
        <v>#VALUE!</v>
      </c>
    </row>
    <row r="1362" spans="1:17" s="1" customFormat="1" ht="15" customHeight="1" x14ac:dyDescent="0.25">
      <c r="A1362" s="28" t="s">
        <v>3050</v>
      </c>
      <c r="B1362" s="28" t="s">
        <v>3051</v>
      </c>
      <c r="C1362" s="1">
        <v>1865</v>
      </c>
      <c r="D1362" s="1" t="s">
        <v>2919</v>
      </c>
      <c r="E1362" s="1">
        <v>999</v>
      </c>
      <c r="F1362" s="28">
        <v>88</v>
      </c>
      <c r="G1362" s="1">
        <v>9</v>
      </c>
      <c r="H1362" s="1">
        <v>103</v>
      </c>
      <c r="I1362" s="1">
        <v>162</v>
      </c>
      <c r="J1362" t="str">
        <f t="shared" si="21"/>
        <v>http://www.badatelna.eu/reprodukce/?fondId=241&amp;zaznamId=1133739&amp;reproId=3885817</v>
      </c>
      <c r="K1362">
        <f>IF(LEN(TRIM(E1362))=0,"",VLOOKUP(E1362,Sheet2!$B$1:$E$19,2,FALSE))</f>
        <v>241</v>
      </c>
      <c r="L1362">
        <f>IF(LEN(TRIM(E1362))=0,"",VLOOKUP(E1362,Sheet2!$B$1:$E$19,3,FALSE))</f>
        <v>1133739</v>
      </c>
      <c r="M1362">
        <f>IF(LEN(TRIM(E1362))=0,"",VLOOKUP(E1362,Sheet2!$B$1:$E$19,4,FALSE))+(F1362-1)</f>
        <v>3885817</v>
      </c>
    </row>
    <row r="1363" spans="1:17" s="1" customFormat="1" ht="15" customHeight="1" x14ac:dyDescent="0.25">
      <c r="A1363" s="28" t="s">
        <v>119</v>
      </c>
      <c r="B1363" s="28" t="s">
        <v>290</v>
      </c>
      <c r="C1363" s="6" t="s">
        <v>2097</v>
      </c>
      <c r="D1363" s="1" t="s">
        <v>454</v>
      </c>
      <c r="E1363" s="1">
        <v>2173</v>
      </c>
      <c r="F1363" s="28">
        <v>180</v>
      </c>
      <c r="G1363" s="9">
        <v>6</v>
      </c>
      <c r="H1363" s="1">
        <v>189</v>
      </c>
      <c r="I1363" s="1">
        <v>421</v>
      </c>
      <c r="J1363" t="str">
        <f t="shared" si="21"/>
        <v>http://www.badatelna.eu/reprodukce/?fondId=1073&amp;zaznamId=1108959&amp;reproId=3780173</v>
      </c>
      <c r="K1363">
        <f>IF(LEN(TRIM(E1363))=0,"",VLOOKUP(E1363,Sheet2!$B$1:$E$19,2,FALSE))</f>
        <v>1073</v>
      </c>
      <c r="L1363">
        <f>IF(LEN(TRIM(E1363))=0,"",VLOOKUP(E1363,Sheet2!$B$1:$E$19,3,FALSE))</f>
        <v>1108959</v>
      </c>
      <c r="M1363">
        <f>IF(LEN(TRIM(E1363))=0,"",VLOOKUP(E1363,Sheet2!$B$1:$E$19,4,FALSE))+(F1363-1)</f>
        <v>3780173</v>
      </c>
    </row>
    <row r="1364" spans="1:17" s="2" customFormat="1" ht="15" customHeight="1" x14ac:dyDescent="0.25">
      <c r="A1364" s="28" t="s">
        <v>119</v>
      </c>
      <c r="B1364" s="28" t="s">
        <v>29</v>
      </c>
      <c r="C1364" s="6" t="s">
        <v>2627</v>
      </c>
      <c r="D1364" s="1" t="s">
        <v>454</v>
      </c>
      <c r="E1364" s="1">
        <v>2173</v>
      </c>
      <c r="F1364" s="28">
        <v>220</v>
      </c>
      <c r="G1364" s="9">
        <v>48</v>
      </c>
      <c r="H1364" s="1" t="s">
        <v>3073</v>
      </c>
      <c r="I1364" s="1" t="s">
        <v>3073</v>
      </c>
      <c r="J1364" t="str">
        <f t="shared" si="21"/>
        <v>http://www.badatelna.eu/reprodukce/?fondId=1073&amp;zaznamId=1108959&amp;reproId=3780213</v>
      </c>
      <c r="K1364">
        <f>IF(LEN(TRIM(E1364))=0,"",VLOOKUP(E1364,Sheet2!$B$1:$E$19,2,FALSE))</f>
        <v>1073</v>
      </c>
      <c r="L1364">
        <f>IF(LEN(TRIM(E1364))=0,"",VLOOKUP(E1364,Sheet2!$B$1:$E$19,3,FALSE))</f>
        <v>1108959</v>
      </c>
      <c r="M1364">
        <f>IF(LEN(TRIM(E1364))=0,"",VLOOKUP(E1364,Sheet2!$B$1:$E$19,4,FALSE))+(F1364-1)</f>
        <v>3780213</v>
      </c>
      <c r="N1364" s="1"/>
      <c r="O1364" s="1"/>
      <c r="P1364" s="1"/>
      <c r="Q1364" s="1"/>
    </row>
    <row r="1365" spans="1:17" s="2" customFormat="1" ht="15" customHeight="1" x14ac:dyDescent="0.25">
      <c r="A1365" s="28" t="s">
        <v>119</v>
      </c>
      <c r="B1365" s="28" t="s">
        <v>260</v>
      </c>
      <c r="C1365" s="6" t="s">
        <v>2033</v>
      </c>
      <c r="D1365" s="1" t="s">
        <v>454</v>
      </c>
      <c r="E1365" s="1">
        <v>2173</v>
      </c>
      <c r="F1365" s="28">
        <v>179</v>
      </c>
      <c r="G1365" s="9">
        <v>5</v>
      </c>
      <c r="H1365" s="1">
        <v>189</v>
      </c>
      <c r="I1365" s="1">
        <v>421</v>
      </c>
      <c r="J1365" t="str">
        <f t="shared" si="21"/>
        <v>http://www.badatelna.eu/reprodukce/?fondId=1073&amp;zaznamId=1108959&amp;reproId=3780172</v>
      </c>
      <c r="K1365">
        <f>IF(LEN(TRIM(E1365))=0,"",VLOOKUP(E1365,Sheet2!$B$1:$E$19,2,FALSE))</f>
        <v>1073</v>
      </c>
      <c r="L1365">
        <f>IF(LEN(TRIM(E1365))=0,"",VLOOKUP(E1365,Sheet2!$B$1:$E$19,3,FALSE))</f>
        <v>1108959</v>
      </c>
      <c r="M1365">
        <f>IF(LEN(TRIM(E1365))=0,"",VLOOKUP(E1365,Sheet2!$B$1:$E$19,4,FALSE))+(F1365-1)</f>
        <v>3780172</v>
      </c>
      <c r="N1365" s="1"/>
      <c r="O1365" s="1"/>
      <c r="P1365" s="1"/>
      <c r="Q1365" s="1"/>
    </row>
    <row r="1366" spans="1:17" s="2" customFormat="1" ht="15" customHeight="1" x14ac:dyDescent="0.25">
      <c r="A1366" s="28" t="s">
        <v>119</v>
      </c>
      <c r="B1366" s="28" t="s">
        <v>48</v>
      </c>
      <c r="C1366" s="6" t="s">
        <v>2617</v>
      </c>
      <c r="D1366" s="1" t="s">
        <v>454</v>
      </c>
      <c r="E1366" s="1">
        <v>2173</v>
      </c>
      <c r="F1366" s="28">
        <v>219</v>
      </c>
      <c r="G1366" s="9">
        <v>47</v>
      </c>
      <c r="H1366" s="1" t="s">
        <v>3073</v>
      </c>
      <c r="I1366" s="1" t="s">
        <v>3073</v>
      </c>
      <c r="J1366" t="str">
        <f t="shared" si="21"/>
        <v>http://www.badatelna.eu/reprodukce/?fondId=1073&amp;zaznamId=1108959&amp;reproId=3780212</v>
      </c>
      <c r="K1366">
        <f>IF(LEN(TRIM(E1366))=0,"",VLOOKUP(E1366,Sheet2!$B$1:$E$19,2,FALSE))</f>
        <v>1073</v>
      </c>
      <c r="L1366">
        <f>IF(LEN(TRIM(E1366))=0,"",VLOOKUP(E1366,Sheet2!$B$1:$E$19,3,FALSE))</f>
        <v>1108959</v>
      </c>
      <c r="M1366">
        <f>IF(LEN(TRIM(E1366))=0,"",VLOOKUP(E1366,Sheet2!$B$1:$E$19,4,FALSE))+(F1366-1)</f>
        <v>3780212</v>
      </c>
      <c r="N1366" s="1"/>
      <c r="O1366" s="1"/>
      <c r="P1366" s="1"/>
      <c r="Q1366" s="1"/>
    </row>
    <row r="1367" spans="1:17" s="2" customFormat="1" ht="15" customHeight="1" x14ac:dyDescent="0.25">
      <c r="A1367" s="28" t="s">
        <v>119</v>
      </c>
      <c r="B1367" s="28" t="s">
        <v>184</v>
      </c>
      <c r="C1367" s="6" t="s">
        <v>2606</v>
      </c>
      <c r="D1367" s="1" t="s">
        <v>454</v>
      </c>
      <c r="E1367" s="1">
        <v>2173</v>
      </c>
      <c r="F1367" s="28">
        <v>218</v>
      </c>
      <c r="G1367" s="9">
        <v>45</v>
      </c>
      <c r="H1367" s="1" t="s">
        <v>3073</v>
      </c>
      <c r="I1367" s="1" t="s">
        <v>3073</v>
      </c>
      <c r="J1367" t="str">
        <f t="shared" si="21"/>
        <v>http://www.badatelna.eu/reprodukce/?fondId=1073&amp;zaznamId=1108959&amp;reproId=3780211</v>
      </c>
      <c r="K1367">
        <f>IF(LEN(TRIM(E1367))=0,"",VLOOKUP(E1367,Sheet2!$B$1:$E$19,2,FALSE))</f>
        <v>1073</v>
      </c>
      <c r="L1367">
        <f>IF(LEN(TRIM(E1367))=0,"",VLOOKUP(E1367,Sheet2!$B$1:$E$19,3,FALSE))</f>
        <v>1108959</v>
      </c>
      <c r="M1367">
        <f>IF(LEN(TRIM(E1367))=0,"",VLOOKUP(E1367,Sheet2!$B$1:$E$19,4,FALSE))+(F1367-1)</f>
        <v>3780211</v>
      </c>
      <c r="N1367"/>
      <c r="O1367"/>
      <c r="P1367"/>
      <c r="Q1367"/>
    </row>
    <row r="1368" spans="1:17" s="2" customFormat="1" ht="15" customHeight="1" x14ac:dyDescent="0.25">
      <c r="A1368" s="28" t="s">
        <v>119</v>
      </c>
      <c r="B1368" s="28" t="s">
        <v>82</v>
      </c>
      <c r="C1368" s="6" t="s">
        <v>2320</v>
      </c>
      <c r="D1368" s="1" t="s">
        <v>454</v>
      </c>
      <c r="E1368" s="1">
        <v>2173</v>
      </c>
      <c r="F1368" s="31">
        <v>199</v>
      </c>
      <c r="G1368" s="9">
        <v>8</v>
      </c>
      <c r="H1368" s="1" t="s">
        <v>3073</v>
      </c>
      <c r="I1368" s="1" t="s">
        <v>3073</v>
      </c>
      <c r="J1368" t="str">
        <f t="shared" si="21"/>
        <v>http://www.badatelna.eu/reprodukce/?fondId=1073&amp;zaznamId=1108959&amp;reproId=3780192</v>
      </c>
      <c r="K1368">
        <f>IF(LEN(TRIM(E1368))=0,"",VLOOKUP(E1368,Sheet2!$B$1:$E$19,2,FALSE))</f>
        <v>1073</v>
      </c>
      <c r="L1368">
        <f>IF(LEN(TRIM(E1368))=0,"",VLOOKUP(E1368,Sheet2!$B$1:$E$19,3,FALSE))</f>
        <v>1108959</v>
      </c>
      <c r="M1368">
        <f>IF(LEN(TRIM(E1368))=0,"",VLOOKUP(E1368,Sheet2!$B$1:$E$19,4,FALSE))+(F1368-1)</f>
        <v>3780192</v>
      </c>
      <c r="N1368"/>
      <c r="O1368"/>
      <c r="P1368"/>
      <c r="Q1368"/>
    </row>
    <row r="1369" spans="1:17" s="2" customFormat="1" ht="15" customHeight="1" x14ac:dyDescent="0.25">
      <c r="A1369" s="27" t="s">
        <v>558</v>
      </c>
      <c r="B1369" s="27" t="s">
        <v>65</v>
      </c>
      <c r="C1369" s="5" t="s">
        <v>1224</v>
      </c>
      <c r="D1369" s="3" t="s">
        <v>454</v>
      </c>
      <c r="E1369" s="3">
        <v>2170</v>
      </c>
      <c r="F1369" s="28">
        <v>15</v>
      </c>
      <c r="G1369" s="10">
        <v>11</v>
      </c>
      <c r="H1369" s="3">
        <v>64</v>
      </c>
      <c r="I1369" s="3">
        <v>60</v>
      </c>
      <c r="J1369" t="str">
        <f t="shared" si="21"/>
        <v>http://www.badatelna.eu/reprodukce/?fondId=1073&amp;zaznamId=1108956&amp;reproId=3779607</v>
      </c>
      <c r="K1369">
        <f>IF(LEN(TRIM(E1369))=0,"",VLOOKUP(E1369,Sheet2!$B$1:$E$19,2,FALSE))</f>
        <v>1073</v>
      </c>
      <c r="L1369">
        <f>IF(LEN(TRIM(E1369))=0,"",VLOOKUP(E1369,Sheet2!$B$1:$E$19,3,FALSE))</f>
        <v>1108956</v>
      </c>
      <c r="M1369">
        <f>IF(LEN(TRIM(E1369))=0,"",VLOOKUP(E1369,Sheet2!$B$1:$E$19,4,FALSE))+(F1369-1)</f>
        <v>3779607</v>
      </c>
      <c r="N1369" s="1"/>
      <c r="O1369" s="1"/>
      <c r="P1369" s="1"/>
      <c r="Q1369" s="1"/>
    </row>
    <row r="1370" spans="1:17" s="2" customFormat="1" ht="15" customHeight="1" x14ac:dyDescent="0.25">
      <c r="A1370" s="28" t="s">
        <v>1029</v>
      </c>
      <c r="B1370" s="28" t="s">
        <v>109</v>
      </c>
      <c r="C1370" s="6" t="s">
        <v>2321</v>
      </c>
      <c r="D1370" s="1" t="s">
        <v>454</v>
      </c>
      <c r="E1370" s="1">
        <v>2173</v>
      </c>
      <c r="F1370" s="31">
        <v>199</v>
      </c>
      <c r="G1370" s="9">
        <v>7</v>
      </c>
      <c r="H1370" s="1" t="s">
        <v>3073</v>
      </c>
      <c r="I1370" s="1" t="s">
        <v>3073</v>
      </c>
      <c r="J1370" t="str">
        <f t="shared" si="21"/>
        <v>http://www.badatelna.eu/reprodukce/?fondId=1073&amp;zaznamId=1108959&amp;reproId=3780192</v>
      </c>
      <c r="K1370">
        <f>IF(LEN(TRIM(E1370))=0,"",VLOOKUP(E1370,Sheet2!$B$1:$E$19,2,FALSE))</f>
        <v>1073</v>
      </c>
      <c r="L1370">
        <f>IF(LEN(TRIM(E1370))=0,"",VLOOKUP(E1370,Sheet2!$B$1:$E$19,3,FALSE))</f>
        <v>1108959</v>
      </c>
      <c r="M1370">
        <f>IF(LEN(TRIM(E1370))=0,"",VLOOKUP(E1370,Sheet2!$B$1:$E$19,4,FALSE))+(F1370-1)</f>
        <v>3780192</v>
      </c>
      <c r="N1370" s="1"/>
      <c r="O1370" s="1"/>
      <c r="P1370" s="1"/>
      <c r="Q1370" s="1"/>
    </row>
    <row r="1371" spans="1:17" s="2" customFormat="1" ht="15" customHeight="1" x14ac:dyDescent="0.25">
      <c r="A1371" s="28" t="s">
        <v>1029</v>
      </c>
      <c r="B1371" s="28" t="s">
        <v>40</v>
      </c>
      <c r="C1371" s="6" t="s">
        <v>2746</v>
      </c>
      <c r="D1371" s="1" t="s">
        <v>454</v>
      </c>
      <c r="E1371" s="1">
        <v>2173</v>
      </c>
      <c r="F1371" s="28">
        <v>209</v>
      </c>
      <c r="G1371" s="9" t="s">
        <v>2757</v>
      </c>
      <c r="H1371" s="1" t="s">
        <v>3073</v>
      </c>
      <c r="I1371" s="1" t="s">
        <v>3073</v>
      </c>
      <c r="J1371" t="str">
        <f t="shared" si="21"/>
        <v>http://www.badatelna.eu/reprodukce/?fondId=1073&amp;zaznamId=1108959&amp;reproId=3780202</v>
      </c>
      <c r="K1371">
        <f>IF(LEN(TRIM(E1371))=0,"",VLOOKUP(E1371,Sheet2!$B$1:$E$19,2,FALSE))</f>
        <v>1073</v>
      </c>
      <c r="L1371">
        <f>IF(LEN(TRIM(E1371))=0,"",VLOOKUP(E1371,Sheet2!$B$1:$E$19,3,FALSE))</f>
        <v>1108959</v>
      </c>
      <c r="M1371">
        <f>IF(LEN(TRIM(E1371))=0,"",VLOOKUP(E1371,Sheet2!$B$1:$E$19,4,FALSE))+(F1371-1)</f>
        <v>3780202</v>
      </c>
      <c r="N1371" s="1"/>
      <c r="O1371" s="1"/>
      <c r="P1371" s="1"/>
      <c r="Q1371" s="1"/>
    </row>
    <row r="1372" spans="1:17" s="2" customFormat="1" ht="15" customHeight="1" x14ac:dyDescent="0.25">
      <c r="A1372" s="28" t="s">
        <v>1029</v>
      </c>
      <c r="B1372" s="28" t="s">
        <v>40</v>
      </c>
      <c r="C1372" s="6" t="s">
        <v>2374</v>
      </c>
      <c r="D1372" s="1" t="s">
        <v>454</v>
      </c>
      <c r="E1372" s="1">
        <v>2173</v>
      </c>
      <c r="F1372" s="28">
        <v>201</v>
      </c>
      <c r="G1372" s="9">
        <v>11</v>
      </c>
      <c r="H1372" s="1" t="s">
        <v>3073</v>
      </c>
      <c r="I1372" s="1" t="s">
        <v>3073</v>
      </c>
      <c r="J1372" t="str">
        <f t="shared" si="21"/>
        <v>http://www.badatelna.eu/reprodukce/?fondId=1073&amp;zaznamId=1108959&amp;reproId=3780194</v>
      </c>
      <c r="K1372">
        <f>IF(LEN(TRIM(E1372))=0,"",VLOOKUP(E1372,Sheet2!$B$1:$E$19,2,FALSE))</f>
        <v>1073</v>
      </c>
      <c r="L1372">
        <f>IF(LEN(TRIM(E1372))=0,"",VLOOKUP(E1372,Sheet2!$B$1:$E$19,3,FALSE))</f>
        <v>1108959</v>
      </c>
      <c r="M1372">
        <f>IF(LEN(TRIM(E1372))=0,"",VLOOKUP(E1372,Sheet2!$B$1:$E$19,4,FALSE))+(F1372-1)</f>
        <v>3780194</v>
      </c>
      <c r="N1372" s="1"/>
      <c r="O1372" s="1"/>
      <c r="P1372" s="1"/>
      <c r="Q1372" s="1"/>
    </row>
    <row r="1373" spans="1:17" s="2" customFormat="1" ht="15" customHeight="1" x14ac:dyDescent="0.25">
      <c r="A1373" s="31" t="s">
        <v>1029</v>
      </c>
      <c r="B1373" s="31" t="s">
        <v>19</v>
      </c>
      <c r="C1373" s="7" t="s">
        <v>2232</v>
      </c>
      <c r="D1373" s="1" t="s">
        <v>454</v>
      </c>
      <c r="E1373" s="1">
        <v>2173</v>
      </c>
      <c r="F1373" s="28">
        <v>196</v>
      </c>
      <c r="G1373" s="9">
        <v>2</v>
      </c>
      <c r="H1373" s="1" t="s">
        <v>3073</v>
      </c>
      <c r="I1373" s="1" t="s">
        <v>3073</v>
      </c>
      <c r="J1373" t="str">
        <f t="shared" si="21"/>
        <v>http://www.badatelna.eu/reprodukce/?fondId=1073&amp;zaznamId=1108959&amp;reproId=3780189</v>
      </c>
      <c r="K1373">
        <f>IF(LEN(TRIM(E1373))=0,"",VLOOKUP(E1373,Sheet2!$B$1:$E$19,2,FALSE))</f>
        <v>1073</v>
      </c>
      <c r="L1373">
        <f>IF(LEN(TRIM(E1373))=0,"",VLOOKUP(E1373,Sheet2!$B$1:$E$19,3,FALSE))</f>
        <v>1108959</v>
      </c>
      <c r="M1373">
        <f>IF(LEN(TRIM(E1373))=0,"",VLOOKUP(E1373,Sheet2!$B$1:$E$19,4,FALSE))+(F1373-1)</f>
        <v>3780189</v>
      </c>
      <c r="N1373" s="1"/>
      <c r="O1373" s="1"/>
      <c r="P1373" s="1"/>
      <c r="Q1373" s="1"/>
    </row>
    <row r="1374" spans="1:17" s="2" customFormat="1" ht="15" customHeight="1" x14ac:dyDescent="0.25">
      <c r="A1374" s="28" t="s">
        <v>1029</v>
      </c>
      <c r="B1374" s="28" t="s">
        <v>19</v>
      </c>
      <c r="C1374" s="6" t="s">
        <v>2423</v>
      </c>
      <c r="D1374" s="1" t="s">
        <v>454</v>
      </c>
      <c r="E1374" s="1">
        <v>2173</v>
      </c>
      <c r="F1374" s="28">
        <v>203</v>
      </c>
      <c r="G1374" s="1">
        <v>15</v>
      </c>
      <c r="H1374" s="1" t="s">
        <v>3073</v>
      </c>
      <c r="I1374" s="1" t="s">
        <v>3073</v>
      </c>
      <c r="J1374" t="str">
        <f t="shared" si="21"/>
        <v>http://www.badatelna.eu/reprodukce/?fondId=1073&amp;zaznamId=1108959&amp;reproId=3780196</v>
      </c>
      <c r="K1374">
        <f>IF(LEN(TRIM(E1374))=0,"",VLOOKUP(E1374,Sheet2!$B$1:$E$19,2,FALSE))</f>
        <v>1073</v>
      </c>
      <c r="L1374">
        <f>IF(LEN(TRIM(E1374))=0,"",VLOOKUP(E1374,Sheet2!$B$1:$E$19,3,FALSE))</f>
        <v>1108959</v>
      </c>
      <c r="M1374">
        <f>IF(LEN(TRIM(E1374))=0,"",VLOOKUP(E1374,Sheet2!$B$1:$E$19,4,FALSE))+(F1374-1)</f>
        <v>3780196</v>
      </c>
      <c r="N1374" s="1"/>
      <c r="O1374" s="1"/>
      <c r="P1374" s="1"/>
      <c r="Q1374" s="1"/>
    </row>
    <row r="1375" spans="1:17" s="2" customFormat="1" ht="15" customHeight="1" x14ac:dyDescent="0.25">
      <c r="A1375" s="28" t="s">
        <v>1029</v>
      </c>
      <c r="B1375" s="28" t="s">
        <v>19</v>
      </c>
      <c r="C1375" s="6" t="s">
        <v>2640</v>
      </c>
      <c r="D1375" s="1" t="s">
        <v>454</v>
      </c>
      <c r="E1375" s="1">
        <v>2173</v>
      </c>
      <c r="F1375" s="28">
        <v>221</v>
      </c>
      <c r="G1375" s="9">
        <v>48</v>
      </c>
      <c r="H1375" s="1" t="s">
        <v>3073</v>
      </c>
      <c r="I1375" s="1" t="s">
        <v>3073</v>
      </c>
      <c r="J1375" t="str">
        <f t="shared" si="21"/>
        <v>http://www.badatelna.eu/reprodukce/?fondId=1073&amp;zaznamId=1108959&amp;reproId=3780214</v>
      </c>
      <c r="K1375">
        <f>IF(LEN(TRIM(E1375))=0,"",VLOOKUP(E1375,Sheet2!$B$1:$E$19,2,FALSE))</f>
        <v>1073</v>
      </c>
      <c r="L1375">
        <f>IF(LEN(TRIM(E1375))=0,"",VLOOKUP(E1375,Sheet2!$B$1:$E$19,3,FALSE))</f>
        <v>1108959</v>
      </c>
      <c r="M1375">
        <f>IF(LEN(TRIM(E1375))=0,"",VLOOKUP(E1375,Sheet2!$B$1:$E$19,4,FALSE))+(F1375-1)</f>
        <v>3780214</v>
      </c>
      <c r="N1375" s="1"/>
      <c r="O1375" s="1"/>
      <c r="P1375" s="1"/>
      <c r="Q1375" s="1"/>
    </row>
    <row r="1376" spans="1:17" s="2" customFormat="1" ht="15" customHeight="1" x14ac:dyDescent="0.25">
      <c r="A1376" s="28" t="s">
        <v>1029</v>
      </c>
      <c r="B1376" s="28" t="s">
        <v>48</v>
      </c>
      <c r="C1376" s="6" t="s">
        <v>2373</v>
      </c>
      <c r="D1376" s="1" t="s">
        <v>454</v>
      </c>
      <c r="E1376" s="1">
        <v>2173</v>
      </c>
      <c r="F1376" s="28">
        <v>201</v>
      </c>
      <c r="G1376" s="9">
        <v>12</v>
      </c>
      <c r="H1376" s="1" t="s">
        <v>3073</v>
      </c>
      <c r="I1376" s="1" t="s">
        <v>3073</v>
      </c>
      <c r="J1376" t="str">
        <f t="shared" si="21"/>
        <v>http://www.badatelna.eu/reprodukce/?fondId=1073&amp;zaznamId=1108959&amp;reproId=3780194</v>
      </c>
      <c r="K1376">
        <f>IF(LEN(TRIM(E1376))=0,"",VLOOKUP(E1376,Sheet2!$B$1:$E$19,2,FALSE))</f>
        <v>1073</v>
      </c>
      <c r="L1376">
        <f>IF(LEN(TRIM(E1376))=0,"",VLOOKUP(E1376,Sheet2!$B$1:$E$19,3,FALSE))</f>
        <v>1108959</v>
      </c>
      <c r="M1376">
        <f>IF(LEN(TRIM(E1376))=0,"",VLOOKUP(E1376,Sheet2!$B$1:$E$19,4,FALSE))+(F1376-1)</f>
        <v>3780194</v>
      </c>
      <c r="N1376" s="1"/>
      <c r="O1376" s="1"/>
      <c r="P1376" s="1"/>
      <c r="Q1376" s="1"/>
    </row>
    <row r="1377" spans="1:17" s="2" customFormat="1" ht="15" customHeight="1" x14ac:dyDescent="0.25">
      <c r="A1377" s="28" t="s">
        <v>925</v>
      </c>
      <c r="B1377" s="28" t="s">
        <v>240</v>
      </c>
      <c r="C1377" s="1">
        <v>1854</v>
      </c>
      <c r="D1377" s="1" t="s">
        <v>2919</v>
      </c>
      <c r="E1377" s="1">
        <v>998</v>
      </c>
      <c r="F1377" s="28">
        <v>39</v>
      </c>
      <c r="G1377" s="1">
        <v>37</v>
      </c>
      <c r="H1377" s="1">
        <v>72</v>
      </c>
      <c r="I1377" s="1">
        <v>69</v>
      </c>
      <c r="J1377" t="str">
        <f t="shared" si="21"/>
        <v>http://www.badatelna.eu/reprodukce/?fondId=241&amp;zaznamId=1133738&amp;reproId=3885685</v>
      </c>
      <c r="K1377">
        <f>IF(LEN(TRIM(E1377))=0,"",VLOOKUP(E1377,Sheet2!$B$1:$E$19,2,FALSE))</f>
        <v>241</v>
      </c>
      <c r="L1377">
        <f>IF(LEN(TRIM(E1377))=0,"",VLOOKUP(E1377,Sheet2!$B$1:$E$19,3,FALSE))</f>
        <v>1133738</v>
      </c>
      <c r="M1377">
        <f>IF(LEN(TRIM(E1377))=0,"",VLOOKUP(E1377,Sheet2!$B$1:$E$19,4,FALSE))+(F1377-1)</f>
        <v>3885685</v>
      </c>
      <c r="N1377" s="1"/>
      <c r="O1377" s="1"/>
      <c r="P1377" s="1"/>
      <c r="Q1377" s="1"/>
    </row>
    <row r="1378" spans="1:17" s="2" customFormat="1" ht="15" customHeight="1" x14ac:dyDescent="0.25">
      <c r="A1378" s="28" t="s">
        <v>925</v>
      </c>
      <c r="B1378" s="28" t="s">
        <v>926</v>
      </c>
      <c r="C1378" s="1">
        <v>1886</v>
      </c>
      <c r="D1378" s="1" t="s">
        <v>454</v>
      </c>
      <c r="E1378" s="1">
        <v>2172</v>
      </c>
      <c r="F1378" s="28">
        <v>53</v>
      </c>
      <c r="G1378" s="9">
        <v>54</v>
      </c>
      <c r="H1378" s="1">
        <v>54</v>
      </c>
      <c r="I1378" s="1">
        <v>55</v>
      </c>
      <c r="J1378" t="str">
        <f t="shared" si="21"/>
        <v>http://www.badatelna.eu/reprodukce/?fondId=1073&amp;zaznamId=1108958&amp;reproId=3779794</v>
      </c>
      <c r="K1378">
        <f>IF(LEN(TRIM(E1378))=0,"",VLOOKUP(E1378,Sheet2!$B$1:$E$19,2,FALSE))</f>
        <v>1073</v>
      </c>
      <c r="L1378">
        <f>IF(LEN(TRIM(E1378))=0,"",VLOOKUP(E1378,Sheet2!$B$1:$E$19,3,FALSE))</f>
        <v>1108958</v>
      </c>
      <c r="M1378">
        <f>IF(LEN(TRIM(E1378))=0,"",VLOOKUP(E1378,Sheet2!$B$1:$E$19,4,FALSE))+(F1378-1)</f>
        <v>3779794</v>
      </c>
      <c r="N1378" s="1"/>
      <c r="O1378" s="1"/>
      <c r="P1378" s="1"/>
      <c r="Q1378" s="1"/>
    </row>
    <row r="1379" spans="1:17" s="2" customFormat="1" ht="15" customHeight="1" x14ac:dyDescent="0.25">
      <c r="A1379" s="28" t="s">
        <v>925</v>
      </c>
      <c r="B1379" s="29" t="s">
        <v>244</v>
      </c>
      <c r="C1379" s="6" t="s">
        <v>2484</v>
      </c>
      <c r="D1379" s="1" t="s">
        <v>454</v>
      </c>
      <c r="E1379" s="1">
        <v>2173</v>
      </c>
      <c r="F1379" s="28">
        <v>205</v>
      </c>
      <c r="G1379" s="1">
        <v>19</v>
      </c>
      <c r="H1379" s="1" t="s">
        <v>3073</v>
      </c>
      <c r="I1379" s="1" t="s">
        <v>3073</v>
      </c>
      <c r="J1379" t="str">
        <f t="shared" si="21"/>
        <v>http://www.badatelna.eu/reprodukce/?fondId=1073&amp;zaznamId=1108959&amp;reproId=3780198</v>
      </c>
      <c r="K1379">
        <f>IF(LEN(TRIM(E1379))=0,"",VLOOKUP(E1379,Sheet2!$B$1:$E$19,2,FALSE))</f>
        <v>1073</v>
      </c>
      <c r="L1379">
        <f>IF(LEN(TRIM(E1379))=0,"",VLOOKUP(E1379,Sheet2!$B$1:$E$19,3,FALSE))</f>
        <v>1108959</v>
      </c>
      <c r="M1379">
        <f>IF(LEN(TRIM(E1379))=0,"",VLOOKUP(E1379,Sheet2!$B$1:$E$19,4,FALSE))+(F1379-1)</f>
        <v>3780198</v>
      </c>
      <c r="N1379" s="1"/>
      <c r="O1379" s="1"/>
      <c r="P1379" s="1"/>
      <c r="Q1379" s="1"/>
    </row>
    <row r="1380" spans="1:17" s="2" customFormat="1" ht="15" customHeight="1" x14ac:dyDescent="0.25">
      <c r="A1380" s="28" t="s">
        <v>2812</v>
      </c>
      <c r="B1380" s="29" t="s">
        <v>265</v>
      </c>
      <c r="C1380" s="6" t="s">
        <v>2372</v>
      </c>
      <c r="D1380" s="1" t="s">
        <v>454</v>
      </c>
      <c r="E1380" s="1">
        <v>2173</v>
      </c>
      <c r="F1380" s="28">
        <v>201</v>
      </c>
      <c r="G1380" s="9">
        <v>12</v>
      </c>
      <c r="H1380" s="1" t="s">
        <v>3073</v>
      </c>
      <c r="I1380" s="1" t="s">
        <v>3073</v>
      </c>
      <c r="J1380" t="str">
        <f t="shared" si="21"/>
        <v>http://www.badatelna.eu/reprodukce/?fondId=1073&amp;zaznamId=1108959&amp;reproId=3780194</v>
      </c>
      <c r="K1380">
        <f>IF(LEN(TRIM(E1380))=0,"",VLOOKUP(E1380,Sheet2!$B$1:$E$19,2,FALSE))</f>
        <v>1073</v>
      </c>
      <c r="L1380">
        <f>IF(LEN(TRIM(E1380))=0,"",VLOOKUP(E1380,Sheet2!$B$1:$E$19,3,FALSE))</f>
        <v>1108959</v>
      </c>
      <c r="M1380">
        <f>IF(LEN(TRIM(E1380))=0,"",VLOOKUP(E1380,Sheet2!$B$1:$E$19,4,FALSE))+(F1380-1)</f>
        <v>3780194</v>
      </c>
      <c r="N1380" s="1"/>
      <c r="O1380" s="1"/>
      <c r="P1380" s="1"/>
      <c r="Q1380" s="1"/>
    </row>
    <row r="1381" spans="1:17" s="2" customFormat="1" ht="15" customHeight="1" x14ac:dyDescent="0.25">
      <c r="A1381" s="29" t="s">
        <v>409</v>
      </c>
      <c r="B1381" s="28" t="s">
        <v>31</v>
      </c>
      <c r="C1381" s="6" t="s">
        <v>2598</v>
      </c>
      <c r="D1381" s="1" t="s">
        <v>454</v>
      </c>
      <c r="E1381" s="1">
        <v>2173</v>
      </c>
      <c r="F1381" s="28">
        <v>217</v>
      </c>
      <c r="G1381" s="9">
        <v>44</v>
      </c>
      <c r="H1381" s="1" t="s">
        <v>3073</v>
      </c>
      <c r="I1381" s="1" t="s">
        <v>3073</v>
      </c>
      <c r="J1381" t="str">
        <f t="shared" si="21"/>
        <v>http://www.badatelna.eu/reprodukce/?fondId=1073&amp;zaznamId=1108959&amp;reproId=3780210</v>
      </c>
      <c r="K1381">
        <f>IF(LEN(TRIM(E1381))=0,"",VLOOKUP(E1381,Sheet2!$B$1:$E$19,2,FALSE))</f>
        <v>1073</v>
      </c>
      <c r="L1381">
        <f>IF(LEN(TRIM(E1381))=0,"",VLOOKUP(E1381,Sheet2!$B$1:$E$19,3,FALSE))</f>
        <v>1108959</v>
      </c>
      <c r="M1381">
        <f>IF(LEN(TRIM(E1381))=0,"",VLOOKUP(E1381,Sheet2!$B$1:$E$19,4,FALSE))+(F1381-1)</f>
        <v>3780210</v>
      </c>
      <c r="N1381" s="1"/>
      <c r="O1381" s="1"/>
      <c r="P1381" s="1"/>
      <c r="Q1381" s="1"/>
    </row>
    <row r="1382" spans="1:17" s="2" customFormat="1" ht="15" customHeight="1" x14ac:dyDescent="0.25">
      <c r="A1382" s="28" t="s">
        <v>409</v>
      </c>
      <c r="B1382" s="28" t="s">
        <v>408</v>
      </c>
      <c r="C1382" s="6" t="s">
        <v>2659</v>
      </c>
      <c r="D1382" s="1" t="s">
        <v>454</v>
      </c>
      <c r="E1382" s="1">
        <v>2173</v>
      </c>
      <c r="F1382" s="28">
        <v>222</v>
      </c>
      <c r="G1382" s="9">
        <v>49</v>
      </c>
      <c r="H1382" s="1" t="s">
        <v>3073</v>
      </c>
      <c r="I1382" s="1" t="s">
        <v>3073</v>
      </c>
      <c r="J1382" t="str">
        <f t="shared" si="21"/>
        <v>http://www.badatelna.eu/reprodukce/?fondId=1073&amp;zaznamId=1108959&amp;reproId=3780215</v>
      </c>
      <c r="K1382">
        <f>IF(LEN(TRIM(E1382))=0,"",VLOOKUP(E1382,Sheet2!$B$1:$E$19,2,FALSE))</f>
        <v>1073</v>
      </c>
      <c r="L1382">
        <f>IF(LEN(TRIM(E1382))=0,"",VLOOKUP(E1382,Sheet2!$B$1:$E$19,3,FALSE))</f>
        <v>1108959</v>
      </c>
      <c r="M1382">
        <f>IF(LEN(TRIM(E1382))=0,"",VLOOKUP(E1382,Sheet2!$B$1:$E$19,4,FALSE))+(F1382-1)</f>
        <v>3780215</v>
      </c>
      <c r="N1382"/>
      <c r="O1382"/>
      <c r="P1382"/>
      <c r="Q1382"/>
    </row>
    <row r="1383" spans="1:17" s="2" customFormat="1" ht="15" customHeight="1" x14ac:dyDescent="0.25">
      <c r="A1383" s="28" t="s">
        <v>409</v>
      </c>
      <c r="B1383" s="28" t="s">
        <v>422</v>
      </c>
      <c r="C1383" s="6" t="s">
        <v>2677</v>
      </c>
      <c r="D1383" s="1" t="s">
        <v>454</v>
      </c>
      <c r="E1383" s="1">
        <v>2173</v>
      </c>
      <c r="F1383" s="28">
        <v>223</v>
      </c>
      <c r="G1383" s="9">
        <v>52</v>
      </c>
      <c r="H1383" s="1" t="s">
        <v>3073</v>
      </c>
      <c r="I1383" s="1" t="s">
        <v>3073</v>
      </c>
      <c r="J1383" t="str">
        <f t="shared" si="21"/>
        <v>http://www.badatelna.eu/reprodukce/?fondId=1073&amp;zaznamId=1108959&amp;reproId=3780216</v>
      </c>
      <c r="K1383">
        <f>IF(LEN(TRIM(E1383))=0,"",VLOOKUP(E1383,Sheet2!$B$1:$E$19,2,FALSE))</f>
        <v>1073</v>
      </c>
      <c r="L1383">
        <f>IF(LEN(TRIM(E1383))=0,"",VLOOKUP(E1383,Sheet2!$B$1:$E$19,3,FALSE))</f>
        <v>1108959</v>
      </c>
      <c r="M1383">
        <f>IF(LEN(TRIM(E1383))=0,"",VLOOKUP(E1383,Sheet2!$B$1:$E$19,4,FALSE))+(F1383-1)</f>
        <v>3780216</v>
      </c>
      <c r="N1383" s="1"/>
      <c r="O1383" s="1"/>
      <c r="P1383" s="1"/>
      <c r="Q1383" s="1"/>
    </row>
    <row r="1384" spans="1:17" s="2" customFormat="1" ht="15" customHeight="1" x14ac:dyDescent="0.25">
      <c r="A1384" s="27" t="s">
        <v>559</v>
      </c>
      <c r="B1384" s="27" t="s">
        <v>465</v>
      </c>
      <c r="C1384" s="5" t="s">
        <v>1227</v>
      </c>
      <c r="D1384" s="3" t="s">
        <v>454</v>
      </c>
      <c r="E1384" s="3">
        <v>2170</v>
      </c>
      <c r="F1384" s="28">
        <v>17</v>
      </c>
      <c r="G1384" s="10">
        <v>13</v>
      </c>
      <c r="H1384" s="3">
        <v>64</v>
      </c>
      <c r="I1384" s="3">
        <v>60</v>
      </c>
      <c r="J1384" t="str">
        <f t="shared" si="21"/>
        <v>http://www.badatelna.eu/reprodukce/?fondId=1073&amp;zaznamId=1108956&amp;reproId=3779609</v>
      </c>
      <c r="K1384">
        <f>IF(LEN(TRIM(E1384))=0,"",VLOOKUP(E1384,Sheet2!$B$1:$E$19,2,FALSE))</f>
        <v>1073</v>
      </c>
      <c r="L1384">
        <f>IF(LEN(TRIM(E1384))=0,"",VLOOKUP(E1384,Sheet2!$B$1:$E$19,3,FALSE))</f>
        <v>1108956</v>
      </c>
      <c r="M1384">
        <f>IF(LEN(TRIM(E1384))=0,"",VLOOKUP(E1384,Sheet2!$B$1:$E$19,4,FALSE))+(F1384-1)</f>
        <v>3779609</v>
      </c>
      <c r="N1384"/>
      <c r="O1384"/>
      <c r="P1384"/>
      <c r="Q1384"/>
    </row>
    <row r="1385" spans="1:17" s="2" customFormat="1" ht="15" customHeight="1" x14ac:dyDescent="0.25">
      <c r="A1385" s="27" t="s">
        <v>559</v>
      </c>
      <c r="B1385" s="27" t="s">
        <v>287</v>
      </c>
      <c r="C1385" s="5" t="s">
        <v>1226</v>
      </c>
      <c r="D1385" s="3" t="s">
        <v>454</v>
      </c>
      <c r="E1385" s="3">
        <v>2170</v>
      </c>
      <c r="F1385" s="31">
        <v>8</v>
      </c>
      <c r="G1385" s="10">
        <v>4</v>
      </c>
      <c r="H1385" s="3">
        <v>64</v>
      </c>
      <c r="I1385" s="3">
        <v>60</v>
      </c>
      <c r="J1385" t="str">
        <f t="shared" si="21"/>
        <v>http://www.badatelna.eu/reprodukce/?fondId=1073&amp;zaznamId=1108956&amp;reproId=3779600</v>
      </c>
      <c r="K1385">
        <f>IF(LEN(TRIM(E1385))=0,"",VLOOKUP(E1385,Sheet2!$B$1:$E$19,2,FALSE))</f>
        <v>1073</v>
      </c>
      <c r="L1385">
        <f>IF(LEN(TRIM(E1385))=0,"",VLOOKUP(E1385,Sheet2!$B$1:$E$19,3,FALSE))</f>
        <v>1108956</v>
      </c>
      <c r="M1385">
        <f>IF(LEN(TRIM(E1385))=0,"",VLOOKUP(E1385,Sheet2!$B$1:$E$19,4,FALSE))+(F1385-1)</f>
        <v>3779600</v>
      </c>
      <c r="N1385"/>
      <c r="O1385"/>
      <c r="P1385"/>
      <c r="Q1385"/>
    </row>
    <row r="1386" spans="1:17" s="2" customFormat="1" ht="15" customHeight="1" x14ac:dyDescent="0.25">
      <c r="A1386" s="27" t="s">
        <v>559</v>
      </c>
      <c r="B1386" s="27" t="s">
        <v>306</v>
      </c>
      <c r="C1386" s="5" t="s">
        <v>1225</v>
      </c>
      <c r="D1386" s="3" t="s">
        <v>454</v>
      </c>
      <c r="E1386" s="3">
        <v>2170</v>
      </c>
      <c r="F1386" s="28">
        <v>25</v>
      </c>
      <c r="G1386" s="10">
        <v>21</v>
      </c>
      <c r="H1386" s="3">
        <v>64</v>
      </c>
      <c r="I1386" s="3">
        <v>60</v>
      </c>
      <c r="J1386" t="str">
        <f t="shared" si="21"/>
        <v>http://www.badatelna.eu/reprodukce/?fondId=1073&amp;zaznamId=1108956&amp;reproId=3779617</v>
      </c>
      <c r="K1386">
        <f>IF(LEN(TRIM(E1386))=0,"",VLOOKUP(E1386,Sheet2!$B$1:$E$19,2,FALSE))</f>
        <v>1073</v>
      </c>
      <c r="L1386">
        <f>IF(LEN(TRIM(E1386))=0,"",VLOOKUP(E1386,Sheet2!$B$1:$E$19,3,FALSE))</f>
        <v>1108956</v>
      </c>
      <c r="M1386">
        <f>IF(LEN(TRIM(E1386))=0,"",VLOOKUP(E1386,Sheet2!$B$1:$E$19,4,FALSE))+(F1386-1)</f>
        <v>3779617</v>
      </c>
      <c r="N1386" s="1"/>
      <c r="O1386" s="1"/>
      <c r="P1386" s="1"/>
      <c r="Q1386" s="1"/>
    </row>
    <row r="1387" spans="1:17" s="2" customFormat="1" ht="15" customHeight="1" x14ac:dyDescent="0.25">
      <c r="A1387" s="28" t="s">
        <v>230</v>
      </c>
      <c r="B1387" s="28" t="s">
        <v>229</v>
      </c>
      <c r="C1387" s="6" t="s">
        <v>2539</v>
      </c>
      <c r="D1387" s="1" t="s">
        <v>454</v>
      </c>
      <c r="E1387" s="1">
        <v>2173</v>
      </c>
      <c r="F1387" s="28">
        <v>207</v>
      </c>
      <c r="G1387" s="1">
        <v>23</v>
      </c>
      <c r="H1387" s="1" t="s">
        <v>3073</v>
      </c>
      <c r="I1387" s="1" t="s">
        <v>3073</v>
      </c>
      <c r="J1387" t="str">
        <f t="shared" si="21"/>
        <v>http://www.badatelna.eu/reprodukce/?fondId=1073&amp;zaznamId=1108959&amp;reproId=3780200</v>
      </c>
      <c r="K1387">
        <f>IF(LEN(TRIM(E1387))=0,"",VLOOKUP(E1387,Sheet2!$B$1:$E$19,2,FALSE))</f>
        <v>1073</v>
      </c>
      <c r="L1387">
        <f>IF(LEN(TRIM(E1387))=0,"",VLOOKUP(E1387,Sheet2!$B$1:$E$19,3,FALSE))</f>
        <v>1108959</v>
      </c>
      <c r="M1387">
        <f>IF(LEN(TRIM(E1387))=0,"",VLOOKUP(E1387,Sheet2!$B$1:$E$19,4,FALSE))+(F1387-1)</f>
        <v>3780200</v>
      </c>
      <c r="N1387" s="1"/>
      <c r="O1387" s="1"/>
      <c r="P1387" s="1"/>
      <c r="Q1387" s="1"/>
    </row>
    <row r="1388" spans="1:17" s="2" customFormat="1" ht="15" customHeight="1" x14ac:dyDescent="0.25">
      <c r="A1388" s="28" t="s">
        <v>310</v>
      </c>
      <c r="B1388" s="28" t="s">
        <v>25</v>
      </c>
      <c r="C1388" s="6" t="s">
        <v>2098</v>
      </c>
      <c r="D1388" s="1" t="s">
        <v>454</v>
      </c>
      <c r="E1388" s="1">
        <v>2173</v>
      </c>
      <c r="F1388" s="28">
        <v>180</v>
      </c>
      <c r="G1388" s="9">
        <v>6</v>
      </c>
      <c r="H1388" s="1">
        <v>189</v>
      </c>
      <c r="I1388" s="1">
        <v>421</v>
      </c>
      <c r="J1388" t="str">
        <f t="shared" si="21"/>
        <v>http://www.badatelna.eu/reprodukce/?fondId=1073&amp;zaznamId=1108959&amp;reproId=3780173</v>
      </c>
      <c r="K1388">
        <f>IF(LEN(TRIM(E1388))=0,"",VLOOKUP(E1388,Sheet2!$B$1:$E$19,2,FALSE))</f>
        <v>1073</v>
      </c>
      <c r="L1388">
        <f>IF(LEN(TRIM(E1388))=0,"",VLOOKUP(E1388,Sheet2!$B$1:$E$19,3,FALSE))</f>
        <v>1108959</v>
      </c>
      <c r="M1388">
        <f>IF(LEN(TRIM(E1388))=0,"",VLOOKUP(E1388,Sheet2!$B$1:$E$19,4,FALSE))+(F1388-1)</f>
        <v>3780173</v>
      </c>
      <c r="N1388" s="1"/>
      <c r="O1388" s="1"/>
      <c r="P1388" s="1"/>
      <c r="Q1388" s="1"/>
    </row>
    <row r="1389" spans="1:17" s="2" customFormat="1" ht="15" customHeight="1" x14ac:dyDescent="0.25">
      <c r="A1389" s="28" t="s">
        <v>310</v>
      </c>
      <c r="B1389" s="28" t="s">
        <v>311</v>
      </c>
      <c r="C1389" s="6" t="s">
        <v>2099</v>
      </c>
      <c r="D1389" s="1" t="s">
        <v>454</v>
      </c>
      <c r="E1389" s="1">
        <v>2173</v>
      </c>
      <c r="F1389" s="28">
        <v>180</v>
      </c>
      <c r="G1389" s="9">
        <v>6</v>
      </c>
      <c r="H1389" s="1">
        <v>189</v>
      </c>
      <c r="I1389" s="1">
        <v>421</v>
      </c>
      <c r="J1389" t="str">
        <f t="shared" si="21"/>
        <v>http://www.badatelna.eu/reprodukce/?fondId=1073&amp;zaznamId=1108959&amp;reproId=3780173</v>
      </c>
      <c r="K1389">
        <f>IF(LEN(TRIM(E1389))=0,"",VLOOKUP(E1389,Sheet2!$B$1:$E$19,2,FALSE))</f>
        <v>1073</v>
      </c>
      <c r="L1389">
        <f>IF(LEN(TRIM(E1389))=0,"",VLOOKUP(E1389,Sheet2!$B$1:$E$19,3,FALSE))</f>
        <v>1108959</v>
      </c>
      <c r="M1389">
        <f>IF(LEN(TRIM(E1389))=0,"",VLOOKUP(E1389,Sheet2!$B$1:$E$19,4,FALSE))+(F1389-1)</f>
        <v>3780173</v>
      </c>
      <c r="N1389" s="1"/>
      <c r="O1389" s="1"/>
      <c r="P1389" s="1"/>
      <c r="Q1389" s="1"/>
    </row>
    <row r="1390" spans="1:17" s="2" customFormat="1" ht="15" customHeight="1" x14ac:dyDescent="0.25">
      <c r="A1390" s="28" t="s">
        <v>3</v>
      </c>
      <c r="B1390" s="28" t="s">
        <v>33</v>
      </c>
      <c r="C1390" s="6" t="s">
        <v>2486</v>
      </c>
      <c r="D1390" s="1" t="s">
        <v>454</v>
      </c>
      <c r="E1390" s="1">
        <v>2173</v>
      </c>
      <c r="F1390" s="28">
        <v>205</v>
      </c>
      <c r="G1390" s="1">
        <v>20</v>
      </c>
      <c r="H1390" s="1" t="s">
        <v>3073</v>
      </c>
      <c r="I1390" s="1" t="s">
        <v>3073</v>
      </c>
      <c r="J1390" t="str">
        <f t="shared" si="21"/>
        <v>http://www.badatelna.eu/reprodukce/?fondId=1073&amp;zaznamId=1108959&amp;reproId=3780198</v>
      </c>
      <c r="K1390">
        <f>IF(LEN(TRIM(E1390))=0,"",VLOOKUP(E1390,Sheet2!$B$1:$E$19,2,FALSE))</f>
        <v>1073</v>
      </c>
      <c r="L1390">
        <f>IF(LEN(TRIM(E1390))=0,"",VLOOKUP(E1390,Sheet2!$B$1:$E$19,3,FALSE))</f>
        <v>1108959</v>
      </c>
      <c r="M1390">
        <f>IF(LEN(TRIM(E1390))=0,"",VLOOKUP(E1390,Sheet2!$B$1:$E$19,4,FALSE))+(F1390-1)</f>
        <v>3780198</v>
      </c>
      <c r="N1390" s="1"/>
      <c r="O1390" s="1"/>
      <c r="P1390" s="1"/>
      <c r="Q1390" s="1"/>
    </row>
    <row r="1391" spans="1:17" s="2" customFormat="1" ht="15" customHeight="1" x14ac:dyDescent="0.2">
      <c r="A1391" s="31" t="s">
        <v>3</v>
      </c>
      <c r="B1391" s="31" t="s">
        <v>33</v>
      </c>
      <c r="C1391" s="7" t="s">
        <v>2266</v>
      </c>
      <c r="D1391" s="1" t="s">
        <v>454</v>
      </c>
      <c r="E1391" s="1">
        <v>2173</v>
      </c>
      <c r="F1391" s="31">
        <v>197</v>
      </c>
      <c r="G1391" s="12">
        <v>4</v>
      </c>
      <c r="H1391" s="1" t="s">
        <v>3073</v>
      </c>
      <c r="I1391" s="1" t="s">
        <v>3073</v>
      </c>
      <c r="J1391" t="str">
        <f t="shared" si="21"/>
        <v>http://www.badatelna.eu/reprodukce/?fondId=1073&amp;zaznamId=1108959&amp;reproId=3780190</v>
      </c>
      <c r="K1391">
        <f>IF(LEN(TRIM(E1391))=0,"",VLOOKUP(E1391,Sheet2!$B$1:$E$19,2,FALSE))</f>
        <v>1073</v>
      </c>
      <c r="L1391">
        <f>IF(LEN(TRIM(E1391))=0,"",VLOOKUP(E1391,Sheet2!$B$1:$E$19,3,FALSE))</f>
        <v>1108959</v>
      </c>
      <c r="M1391">
        <f>IF(LEN(TRIM(E1391))=0,"",VLOOKUP(E1391,Sheet2!$B$1:$E$19,4,FALSE))+(F1391-1)</f>
        <v>3780190</v>
      </c>
      <c r="N1391" s="1"/>
      <c r="O1391" s="1"/>
      <c r="P1391" s="1"/>
      <c r="Q1391" s="1"/>
    </row>
    <row r="1392" spans="1:17" s="2" customFormat="1" ht="15" customHeight="1" x14ac:dyDescent="0.25">
      <c r="A1392" s="29" t="s">
        <v>3</v>
      </c>
      <c r="B1392" s="28" t="s">
        <v>33</v>
      </c>
      <c r="C1392" s="6" t="s">
        <v>2585</v>
      </c>
      <c r="D1392" s="1" t="s">
        <v>454</v>
      </c>
      <c r="E1392" s="1">
        <v>2173</v>
      </c>
      <c r="F1392" s="28">
        <v>215</v>
      </c>
      <c r="G1392" s="9">
        <v>39</v>
      </c>
      <c r="H1392" s="1" t="s">
        <v>3073</v>
      </c>
      <c r="I1392" s="1" t="s">
        <v>3073</v>
      </c>
      <c r="J1392" t="str">
        <f t="shared" si="21"/>
        <v>http://www.badatelna.eu/reprodukce/?fondId=1073&amp;zaznamId=1108959&amp;reproId=3780208</v>
      </c>
      <c r="K1392">
        <f>IF(LEN(TRIM(E1392))=0,"",VLOOKUP(E1392,Sheet2!$B$1:$E$19,2,FALSE))</f>
        <v>1073</v>
      </c>
      <c r="L1392">
        <f>IF(LEN(TRIM(E1392))=0,"",VLOOKUP(E1392,Sheet2!$B$1:$E$19,3,FALSE))</f>
        <v>1108959</v>
      </c>
      <c r="M1392">
        <f>IF(LEN(TRIM(E1392))=0,"",VLOOKUP(E1392,Sheet2!$B$1:$E$19,4,FALSE))+(F1392-1)</f>
        <v>3780208</v>
      </c>
      <c r="N1392" s="1"/>
      <c r="O1392" s="1"/>
      <c r="P1392" s="1"/>
      <c r="Q1392" s="1"/>
    </row>
    <row r="1393" spans="1:17" s="2" customFormat="1" ht="15" customHeight="1" x14ac:dyDescent="0.25">
      <c r="A1393" s="28" t="s">
        <v>3</v>
      </c>
      <c r="B1393" s="28" t="s">
        <v>214</v>
      </c>
      <c r="C1393" s="6" t="s">
        <v>2490</v>
      </c>
      <c r="D1393" s="1" t="s">
        <v>454</v>
      </c>
      <c r="E1393" s="1">
        <v>2173</v>
      </c>
      <c r="F1393" s="28">
        <v>205</v>
      </c>
      <c r="G1393" s="1">
        <v>20</v>
      </c>
      <c r="H1393" s="1" t="s">
        <v>3073</v>
      </c>
      <c r="I1393" s="1" t="s">
        <v>3073</v>
      </c>
      <c r="J1393" t="str">
        <f t="shared" si="21"/>
        <v>http://www.badatelna.eu/reprodukce/?fondId=1073&amp;zaznamId=1108959&amp;reproId=3780198</v>
      </c>
      <c r="K1393">
        <f>IF(LEN(TRIM(E1393))=0,"",VLOOKUP(E1393,Sheet2!$B$1:$E$19,2,FALSE))</f>
        <v>1073</v>
      </c>
      <c r="L1393">
        <f>IF(LEN(TRIM(E1393))=0,"",VLOOKUP(E1393,Sheet2!$B$1:$E$19,3,FALSE))</f>
        <v>1108959</v>
      </c>
      <c r="M1393">
        <f>IF(LEN(TRIM(E1393))=0,"",VLOOKUP(E1393,Sheet2!$B$1:$E$19,4,FALSE))+(F1393-1)</f>
        <v>3780198</v>
      </c>
      <c r="N1393" s="1"/>
      <c r="O1393" s="1"/>
      <c r="P1393" s="1"/>
      <c r="Q1393" s="1"/>
    </row>
    <row r="1394" spans="1:17" s="2" customFormat="1" ht="15" customHeight="1" x14ac:dyDescent="0.25">
      <c r="A1394" s="28" t="s">
        <v>3</v>
      </c>
      <c r="B1394" s="28" t="s">
        <v>465</v>
      </c>
      <c r="C1394" s="1">
        <v>1865</v>
      </c>
      <c r="D1394" s="1" t="s">
        <v>2919</v>
      </c>
      <c r="E1394" s="1">
        <v>999</v>
      </c>
      <c r="F1394" s="28">
        <v>89</v>
      </c>
      <c r="G1394" s="1">
        <v>10</v>
      </c>
      <c r="H1394" s="1">
        <v>103</v>
      </c>
      <c r="I1394" s="1">
        <v>162</v>
      </c>
      <c r="J1394" t="str">
        <f t="shared" si="21"/>
        <v>http://www.badatelna.eu/reprodukce/?fondId=241&amp;zaznamId=1133739&amp;reproId=3885818</v>
      </c>
      <c r="K1394">
        <f>IF(LEN(TRIM(E1394))=0,"",VLOOKUP(E1394,Sheet2!$B$1:$E$19,2,FALSE))</f>
        <v>241</v>
      </c>
      <c r="L1394">
        <f>IF(LEN(TRIM(E1394))=0,"",VLOOKUP(E1394,Sheet2!$B$1:$E$19,3,FALSE))</f>
        <v>1133739</v>
      </c>
      <c r="M1394">
        <f>IF(LEN(TRIM(E1394))=0,"",VLOOKUP(E1394,Sheet2!$B$1:$E$19,4,FALSE))+(F1394-1)</f>
        <v>3885818</v>
      </c>
      <c r="N1394" s="1"/>
      <c r="O1394" s="1"/>
      <c r="P1394" s="1"/>
      <c r="Q1394" s="1"/>
    </row>
    <row r="1395" spans="1:17" s="2" customFormat="1" ht="15" customHeight="1" x14ac:dyDescent="0.25">
      <c r="A1395" s="28" t="s">
        <v>3</v>
      </c>
      <c r="B1395" s="28" t="s">
        <v>528</v>
      </c>
      <c r="C1395" s="1">
        <v>1853</v>
      </c>
      <c r="D1395" s="1" t="s">
        <v>2919</v>
      </c>
      <c r="E1395" s="1">
        <v>998</v>
      </c>
      <c r="F1395" s="28">
        <v>36</v>
      </c>
      <c r="G1395" s="1">
        <v>34</v>
      </c>
      <c r="H1395" s="1">
        <v>72</v>
      </c>
      <c r="I1395" s="1">
        <v>69</v>
      </c>
      <c r="J1395" t="str">
        <f t="shared" si="21"/>
        <v>http://www.badatelna.eu/reprodukce/?fondId=241&amp;zaznamId=1133738&amp;reproId=3885682</v>
      </c>
      <c r="K1395">
        <f>IF(LEN(TRIM(E1395))=0,"",VLOOKUP(E1395,Sheet2!$B$1:$E$19,2,FALSE))</f>
        <v>241</v>
      </c>
      <c r="L1395">
        <f>IF(LEN(TRIM(E1395))=0,"",VLOOKUP(E1395,Sheet2!$B$1:$E$19,3,FALSE))</f>
        <v>1133738</v>
      </c>
      <c r="M1395">
        <f>IF(LEN(TRIM(E1395))=0,"",VLOOKUP(E1395,Sheet2!$B$1:$E$19,4,FALSE))+(F1395-1)</f>
        <v>3885682</v>
      </c>
      <c r="N1395" s="1"/>
      <c r="O1395" s="1"/>
      <c r="P1395" s="1"/>
      <c r="Q1395" s="1"/>
    </row>
    <row r="1396" spans="1:17" s="2" customFormat="1" ht="15" customHeight="1" x14ac:dyDescent="0.25">
      <c r="A1396" s="28" t="s">
        <v>3</v>
      </c>
      <c r="B1396" s="28" t="s">
        <v>528</v>
      </c>
      <c r="C1396" s="6" t="s">
        <v>1677</v>
      </c>
      <c r="D1396" s="1" t="s">
        <v>454</v>
      </c>
      <c r="E1396" s="1">
        <v>2172</v>
      </c>
      <c r="F1396" s="28">
        <v>108</v>
      </c>
      <c r="G1396" s="9">
        <v>107</v>
      </c>
      <c r="H1396" s="1">
        <v>109</v>
      </c>
      <c r="I1396" s="1">
        <v>108</v>
      </c>
      <c r="J1396" t="str">
        <f t="shared" si="21"/>
        <v>http://www.badatelna.eu/reprodukce/?fondId=1073&amp;zaznamId=1108958&amp;reproId=3779849</v>
      </c>
      <c r="K1396">
        <f>IF(LEN(TRIM(E1396))=0,"",VLOOKUP(E1396,Sheet2!$B$1:$E$19,2,FALSE))</f>
        <v>1073</v>
      </c>
      <c r="L1396">
        <f>IF(LEN(TRIM(E1396))=0,"",VLOOKUP(E1396,Sheet2!$B$1:$E$19,3,FALSE))</f>
        <v>1108958</v>
      </c>
      <c r="M1396">
        <f>IF(LEN(TRIM(E1396))=0,"",VLOOKUP(E1396,Sheet2!$B$1:$E$19,4,FALSE))+(F1396-1)</f>
        <v>3779849</v>
      </c>
      <c r="N1396" s="1"/>
      <c r="O1396" s="1"/>
      <c r="P1396" s="1"/>
      <c r="Q1396" s="1"/>
    </row>
    <row r="1397" spans="1:17" s="2" customFormat="1" ht="15" customHeight="1" x14ac:dyDescent="0.25">
      <c r="A1397" s="28" t="s">
        <v>3</v>
      </c>
      <c r="B1397" s="28" t="s">
        <v>492</v>
      </c>
      <c r="C1397" s="1">
        <v>1851</v>
      </c>
      <c r="D1397" s="1" t="s">
        <v>2919</v>
      </c>
      <c r="E1397" s="1">
        <v>998</v>
      </c>
      <c r="F1397" s="28">
        <v>32</v>
      </c>
      <c r="G1397" s="1">
        <v>30</v>
      </c>
      <c r="H1397" s="1">
        <v>72</v>
      </c>
      <c r="I1397" s="1">
        <v>69</v>
      </c>
      <c r="J1397" t="str">
        <f t="shared" si="21"/>
        <v>http://www.badatelna.eu/reprodukce/?fondId=241&amp;zaznamId=1133738&amp;reproId=3885678</v>
      </c>
      <c r="K1397">
        <f>IF(LEN(TRIM(E1397))=0,"",VLOOKUP(E1397,Sheet2!$B$1:$E$19,2,FALSE))</f>
        <v>241</v>
      </c>
      <c r="L1397">
        <f>IF(LEN(TRIM(E1397))=0,"",VLOOKUP(E1397,Sheet2!$B$1:$E$19,3,FALSE))</f>
        <v>1133738</v>
      </c>
      <c r="M1397">
        <f>IF(LEN(TRIM(E1397))=0,"",VLOOKUP(E1397,Sheet2!$B$1:$E$19,4,FALSE))+(F1397-1)</f>
        <v>3885678</v>
      </c>
      <c r="N1397"/>
      <c r="O1397"/>
      <c r="P1397"/>
      <c r="Q1397"/>
    </row>
    <row r="1398" spans="1:17" s="2" customFormat="1" ht="15" customHeight="1" x14ac:dyDescent="0.25">
      <c r="A1398" s="28" t="s">
        <v>3</v>
      </c>
      <c r="B1398" s="29" t="s">
        <v>574</v>
      </c>
      <c r="C1398" s="1">
        <v>1855</v>
      </c>
      <c r="D1398" s="1" t="s">
        <v>2919</v>
      </c>
      <c r="E1398" s="1">
        <v>998</v>
      </c>
      <c r="F1398" s="28">
        <v>46</v>
      </c>
      <c r="G1398" s="1">
        <v>44</v>
      </c>
      <c r="H1398" s="1">
        <v>72</v>
      </c>
      <c r="I1398" s="1">
        <v>69</v>
      </c>
      <c r="J1398" t="str">
        <f t="shared" si="21"/>
        <v>http://www.badatelna.eu/reprodukce/?fondId=241&amp;zaznamId=1133738&amp;reproId=3885692</v>
      </c>
      <c r="K1398">
        <f>IF(LEN(TRIM(E1398))=0,"",VLOOKUP(E1398,Sheet2!$B$1:$E$19,2,FALSE))</f>
        <v>241</v>
      </c>
      <c r="L1398">
        <f>IF(LEN(TRIM(E1398))=0,"",VLOOKUP(E1398,Sheet2!$B$1:$E$19,3,FALSE))</f>
        <v>1133738</v>
      </c>
      <c r="M1398">
        <f>IF(LEN(TRIM(E1398))=0,"",VLOOKUP(E1398,Sheet2!$B$1:$E$19,4,FALSE))+(F1398-1)</f>
        <v>3885692</v>
      </c>
      <c r="N1398" s="1"/>
      <c r="O1398" s="1"/>
      <c r="P1398" s="1"/>
      <c r="Q1398" s="1"/>
    </row>
    <row r="1399" spans="1:17" s="2" customFormat="1" ht="15" customHeight="1" x14ac:dyDescent="0.25">
      <c r="A1399" s="28" t="s">
        <v>3</v>
      </c>
      <c r="B1399" s="28" t="s">
        <v>560</v>
      </c>
      <c r="C1399" s="1">
        <v>1889</v>
      </c>
      <c r="D1399" s="1" t="s">
        <v>454</v>
      </c>
      <c r="E1399" s="1">
        <v>2172</v>
      </c>
      <c r="F1399" s="28">
        <v>68</v>
      </c>
      <c r="G1399" s="9" t="s">
        <v>3083</v>
      </c>
      <c r="H1399" s="1">
        <v>70</v>
      </c>
      <c r="I1399" s="1">
        <v>69</v>
      </c>
      <c r="J1399" t="str">
        <f t="shared" si="21"/>
        <v>http://www.badatelna.eu/reprodukce/?fondId=1073&amp;zaznamId=1108958&amp;reproId=3779809</v>
      </c>
      <c r="K1399">
        <f>IF(LEN(TRIM(E1399))=0,"",VLOOKUP(E1399,Sheet2!$B$1:$E$19,2,FALSE))</f>
        <v>1073</v>
      </c>
      <c r="L1399">
        <f>IF(LEN(TRIM(E1399))=0,"",VLOOKUP(E1399,Sheet2!$B$1:$E$19,3,FALSE))</f>
        <v>1108958</v>
      </c>
      <c r="M1399">
        <f>IF(LEN(TRIM(E1399))=0,"",VLOOKUP(E1399,Sheet2!$B$1:$E$19,4,FALSE))+(F1399-1)</f>
        <v>3779809</v>
      </c>
      <c r="N1399" s="1"/>
      <c r="O1399" s="1"/>
      <c r="P1399" s="1"/>
      <c r="Q1399" s="1"/>
    </row>
    <row r="1400" spans="1:17" s="2" customFormat="1" ht="15" customHeight="1" x14ac:dyDescent="0.25">
      <c r="A1400" s="28" t="s">
        <v>3</v>
      </c>
      <c r="B1400" s="28" t="s">
        <v>466</v>
      </c>
      <c r="C1400" s="6" t="s">
        <v>1610</v>
      </c>
      <c r="D1400" s="1" t="s">
        <v>454</v>
      </c>
      <c r="E1400" s="1">
        <v>2172</v>
      </c>
      <c r="F1400" s="28">
        <v>74</v>
      </c>
      <c r="G1400" s="9">
        <v>73</v>
      </c>
      <c r="H1400" s="1">
        <v>76</v>
      </c>
      <c r="I1400" s="1">
        <v>75</v>
      </c>
      <c r="J1400" t="str">
        <f t="shared" si="21"/>
        <v>http://www.badatelna.eu/reprodukce/?fondId=1073&amp;zaznamId=1108958&amp;reproId=3779815</v>
      </c>
      <c r="K1400">
        <f>IF(LEN(TRIM(E1400))=0,"",VLOOKUP(E1400,Sheet2!$B$1:$E$19,2,FALSE))</f>
        <v>1073</v>
      </c>
      <c r="L1400">
        <f>IF(LEN(TRIM(E1400))=0,"",VLOOKUP(E1400,Sheet2!$B$1:$E$19,3,FALSE))</f>
        <v>1108958</v>
      </c>
      <c r="M1400">
        <f>IF(LEN(TRIM(E1400))=0,"",VLOOKUP(E1400,Sheet2!$B$1:$E$19,4,FALSE))+(F1400-1)</f>
        <v>3779815</v>
      </c>
      <c r="N1400" s="1"/>
      <c r="O1400" s="1"/>
      <c r="P1400" s="1"/>
      <c r="Q1400" s="1"/>
    </row>
    <row r="1401" spans="1:17" s="2" customFormat="1" ht="15" customHeight="1" x14ac:dyDescent="0.25">
      <c r="A1401" s="28" t="s">
        <v>3</v>
      </c>
      <c r="B1401" s="28" t="s">
        <v>927</v>
      </c>
      <c r="C1401" s="6" t="s">
        <v>1678</v>
      </c>
      <c r="D1401" s="1" t="s">
        <v>454</v>
      </c>
      <c r="E1401" s="1">
        <v>2172</v>
      </c>
      <c r="F1401" s="28">
        <v>107</v>
      </c>
      <c r="G1401" s="9">
        <v>106</v>
      </c>
      <c r="H1401" s="1">
        <v>109</v>
      </c>
      <c r="I1401" s="1">
        <v>108</v>
      </c>
      <c r="J1401" t="str">
        <f t="shared" si="21"/>
        <v>http://www.badatelna.eu/reprodukce/?fondId=1073&amp;zaznamId=1108958&amp;reproId=3779848</v>
      </c>
      <c r="K1401">
        <f>IF(LEN(TRIM(E1401))=0,"",VLOOKUP(E1401,Sheet2!$B$1:$E$19,2,FALSE))</f>
        <v>1073</v>
      </c>
      <c r="L1401">
        <f>IF(LEN(TRIM(E1401))=0,"",VLOOKUP(E1401,Sheet2!$B$1:$E$19,3,FALSE))</f>
        <v>1108958</v>
      </c>
      <c r="M1401">
        <f>IF(LEN(TRIM(E1401))=0,"",VLOOKUP(E1401,Sheet2!$B$1:$E$19,4,FALSE))+(F1401-1)</f>
        <v>3779848</v>
      </c>
      <c r="N1401" s="1"/>
      <c r="O1401" s="1"/>
      <c r="P1401" s="1"/>
      <c r="Q1401" s="1"/>
    </row>
    <row r="1402" spans="1:17" s="2" customFormat="1" ht="15" customHeight="1" x14ac:dyDescent="0.25">
      <c r="A1402" s="31" t="s">
        <v>3</v>
      </c>
      <c r="B1402" s="31" t="s">
        <v>45</v>
      </c>
      <c r="C1402" s="7" t="s">
        <v>2234</v>
      </c>
      <c r="D1402" s="1" t="s">
        <v>454</v>
      </c>
      <c r="E1402" s="1">
        <v>2173</v>
      </c>
      <c r="F1402" s="28">
        <v>196</v>
      </c>
      <c r="G1402" s="9">
        <v>2</v>
      </c>
      <c r="H1402" s="1" t="s">
        <v>3073</v>
      </c>
      <c r="I1402" s="1" t="s">
        <v>3073</v>
      </c>
      <c r="J1402" t="str">
        <f t="shared" si="21"/>
        <v>http://www.badatelna.eu/reprodukce/?fondId=1073&amp;zaznamId=1108959&amp;reproId=3780189</v>
      </c>
      <c r="K1402">
        <f>IF(LEN(TRIM(E1402))=0,"",VLOOKUP(E1402,Sheet2!$B$1:$E$19,2,FALSE))</f>
        <v>1073</v>
      </c>
      <c r="L1402">
        <f>IF(LEN(TRIM(E1402))=0,"",VLOOKUP(E1402,Sheet2!$B$1:$E$19,3,FALSE))</f>
        <v>1108959</v>
      </c>
      <c r="M1402">
        <f>IF(LEN(TRIM(E1402))=0,"",VLOOKUP(E1402,Sheet2!$B$1:$E$19,4,FALSE))+(F1402-1)</f>
        <v>3780189</v>
      </c>
      <c r="N1402" s="1"/>
      <c r="O1402" s="1"/>
      <c r="P1402" s="1"/>
      <c r="Q1402" s="1"/>
    </row>
    <row r="1403" spans="1:17" s="2" customFormat="1" ht="15" customHeight="1" x14ac:dyDescent="0.25">
      <c r="A1403" s="28" t="s">
        <v>3</v>
      </c>
      <c r="B1403" s="28" t="s">
        <v>25</v>
      </c>
      <c r="C1403" s="1">
        <v>1859</v>
      </c>
      <c r="D1403" s="1" t="s">
        <v>2919</v>
      </c>
      <c r="E1403" s="1">
        <v>998</v>
      </c>
      <c r="F1403" s="28">
        <v>56</v>
      </c>
      <c r="G1403" s="1" t="s">
        <v>2941</v>
      </c>
      <c r="H1403" s="1">
        <v>72</v>
      </c>
      <c r="I1403" s="1">
        <v>69</v>
      </c>
      <c r="J1403" t="str">
        <f t="shared" si="21"/>
        <v>http://www.badatelna.eu/reprodukce/?fondId=241&amp;zaznamId=1133738&amp;reproId=3885702</v>
      </c>
      <c r="K1403">
        <f>IF(LEN(TRIM(E1403))=0,"",VLOOKUP(E1403,Sheet2!$B$1:$E$19,2,FALSE))</f>
        <v>241</v>
      </c>
      <c r="L1403">
        <f>IF(LEN(TRIM(E1403))=0,"",VLOOKUP(E1403,Sheet2!$B$1:$E$19,3,FALSE))</f>
        <v>1133738</v>
      </c>
      <c r="M1403">
        <f>IF(LEN(TRIM(E1403))=0,"",VLOOKUP(E1403,Sheet2!$B$1:$E$19,4,FALSE))+(F1403-1)</f>
        <v>3885702</v>
      </c>
      <c r="N1403" s="1"/>
      <c r="O1403" s="1"/>
      <c r="P1403" s="1"/>
      <c r="Q1403" s="1"/>
    </row>
    <row r="1404" spans="1:17" s="1" customFormat="1" ht="15" customHeight="1" x14ac:dyDescent="0.25">
      <c r="A1404" s="28" t="s">
        <v>3</v>
      </c>
      <c r="B1404" s="28" t="s">
        <v>25</v>
      </c>
      <c r="C1404" s="6" t="s">
        <v>2098</v>
      </c>
      <c r="D1404" s="1" t="s">
        <v>454</v>
      </c>
      <c r="E1404" s="1">
        <v>2173</v>
      </c>
      <c r="F1404" s="28">
        <v>210</v>
      </c>
      <c r="G1404" s="9" t="s">
        <v>2863</v>
      </c>
      <c r="H1404" s="1" t="s">
        <v>3073</v>
      </c>
      <c r="I1404" s="1" t="s">
        <v>3073</v>
      </c>
      <c r="J1404" t="str">
        <f t="shared" si="21"/>
        <v>http://www.badatelna.eu/reprodukce/?fondId=1073&amp;zaznamId=1108959&amp;reproId=3780203</v>
      </c>
      <c r="K1404">
        <f>IF(LEN(TRIM(E1404))=0,"",VLOOKUP(E1404,Sheet2!$B$1:$E$19,2,FALSE))</f>
        <v>1073</v>
      </c>
      <c r="L1404">
        <f>IF(LEN(TRIM(E1404))=0,"",VLOOKUP(E1404,Sheet2!$B$1:$E$19,3,FALSE))</f>
        <v>1108959</v>
      </c>
      <c r="M1404">
        <f>IF(LEN(TRIM(E1404))=0,"",VLOOKUP(E1404,Sheet2!$B$1:$E$19,4,FALSE))+(F1404-1)</f>
        <v>3780203</v>
      </c>
    </row>
    <row r="1405" spans="1:17" s="1" customFormat="1" ht="15" customHeight="1" x14ac:dyDescent="0.2">
      <c r="A1405" s="31" t="s">
        <v>3</v>
      </c>
      <c r="B1405" s="31" t="s">
        <v>25</v>
      </c>
      <c r="C1405" s="7" t="s">
        <v>2267</v>
      </c>
      <c r="D1405" s="1" t="s">
        <v>454</v>
      </c>
      <c r="E1405" s="1">
        <v>2173</v>
      </c>
      <c r="F1405" s="31">
        <v>197</v>
      </c>
      <c r="G1405" s="12">
        <v>4</v>
      </c>
      <c r="H1405" s="1" t="s">
        <v>3073</v>
      </c>
      <c r="I1405" s="1" t="s">
        <v>3073</v>
      </c>
      <c r="J1405" t="str">
        <f t="shared" si="21"/>
        <v>http://www.badatelna.eu/reprodukce/?fondId=1073&amp;zaznamId=1108959&amp;reproId=3780190</v>
      </c>
      <c r="K1405">
        <f>IF(LEN(TRIM(E1405))=0,"",VLOOKUP(E1405,Sheet2!$B$1:$E$19,2,FALSE))</f>
        <v>1073</v>
      </c>
      <c r="L1405">
        <f>IF(LEN(TRIM(E1405))=0,"",VLOOKUP(E1405,Sheet2!$B$1:$E$19,3,FALSE))</f>
        <v>1108959</v>
      </c>
      <c r="M1405">
        <f>IF(LEN(TRIM(E1405))=0,"",VLOOKUP(E1405,Sheet2!$B$1:$E$19,4,FALSE))+(F1405-1)</f>
        <v>3780190</v>
      </c>
      <c r="N1405"/>
      <c r="O1405"/>
      <c r="P1405"/>
      <c r="Q1405"/>
    </row>
    <row r="1406" spans="1:17" s="1" customFormat="1" ht="15" customHeight="1" x14ac:dyDescent="0.25">
      <c r="A1406" s="28" t="s">
        <v>3</v>
      </c>
      <c r="B1406" s="28" t="s">
        <v>25</v>
      </c>
      <c r="C1406" s="6" t="s">
        <v>2286</v>
      </c>
      <c r="D1406" s="1" t="s">
        <v>454</v>
      </c>
      <c r="E1406" s="1">
        <v>2173</v>
      </c>
      <c r="F1406" s="28">
        <v>198</v>
      </c>
      <c r="G1406" s="9">
        <v>5</v>
      </c>
      <c r="H1406" s="1" t="s">
        <v>3073</v>
      </c>
      <c r="I1406" s="1" t="s">
        <v>3073</v>
      </c>
      <c r="J1406" t="str">
        <f t="shared" si="21"/>
        <v>http://www.badatelna.eu/reprodukce/?fondId=1073&amp;zaznamId=1108959&amp;reproId=3780191</v>
      </c>
      <c r="K1406">
        <f>IF(LEN(TRIM(E1406))=0,"",VLOOKUP(E1406,Sheet2!$B$1:$E$19,2,FALSE))</f>
        <v>1073</v>
      </c>
      <c r="L1406">
        <f>IF(LEN(TRIM(E1406))=0,"",VLOOKUP(E1406,Sheet2!$B$1:$E$19,3,FALSE))</f>
        <v>1108959</v>
      </c>
      <c r="M1406">
        <f>IF(LEN(TRIM(E1406))=0,"",VLOOKUP(E1406,Sheet2!$B$1:$E$19,4,FALSE))+(F1406-1)</f>
        <v>3780191</v>
      </c>
    </row>
    <row r="1407" spans="1:17" s="1" customFormat="1" ht="15" customHeight="1" x14ac:dyDescent="0.25">
      <c r="A1407" s="28" t="s">
        <v>3</v>
      </c>
      <c r="B1407" s="28" t="s">
        <v>218</v>
      </c>
      <c r="C1407" s="6" t="s">
        <v>2515</v>
      </c>
      <c r="D1407" s="1" t="s">
        <v>454</v>
      </c>
      <c r="E1407" s="1">
        <v>2173</v>
      </c>
      <c r="F1407" s="28">
        <v>206</v>
      </c>
      <c r="G1407" s="1">
        <v>21</v>
      </c>
      <c r="H1407" s="1" t="s">
        <v>3073</v>
      </c>
      <c r="I1407" s="1" t="s">
        <v>3073</v>
      </c>
      <c r="J1407" t="str">
        <f t="shared" si="21"/>
        <v>http://www.badatelna.eu/reprodukce/?fondId=1073&amp;zaznamId=1108959&amp;reproId=3780199</v>
      </c>
      <c r="K1407">
        <f>IF(LEN(TRIM(E1407))=0,"",VLOOKUP(E1407,Sheet2!$B$1:$E$19,2,FALSE))</f>
        <v>1073</v>
      </c>
      <c r="L1407">
        <f>IF(LEN(TRIM(E1407))=0,"",VLOOKUP(E1407,Sheet2!$B$1:$E$19,3,FALSE))</f>
        <v>1108959</v>
      </c>
      <c r="M1407">
        <f>IF(LEN(TRIM(E1407))=0,"",VLOOKUP(E1407,Sheet2!$B$1:$E$19,4,FALSE))+(F1407-1)</f>
        <v>3780199</v>
      </c>
    </row>
    <row r="1408" spans="1:17" s="1" customFormat="1" ht="15" customHeight="1" x14ac:dyDescent="0.25">
      <c r="A1408" s="28" t="s">
        <v>3</v>
      </c>
      <c r="B1408" s="28" t="s">
        <v>631</v>
      </c>
      <c r="C1408" s="1">
        <v>1863</v>
      </c>
      <c r="D1408" s="1" t="s">
        <v>2919</v>
      </c>
      <c r="E1408" s="1">
        <v>999</v>
      </c>
      <c r="F1408" s="28">
        <v>83</v>
      </c>
      <c r="G1408" s="1">
        <v>4</v>
      </c>
      <c r="H1408" s="1">
        <v>103</v>
      </c>
      <c r="I1408" s="1">
        <v>162</v>
      </c>
      <c r="J1408" t="str">
        <f t="shared" si="21"/>
        <v>http://www.badatelna.eu/reprodukce/?fondId=241&amp;zaznamId=1133739&amp;reproId=3885812</v>
      </c>
      <c r="K1408">
        <f>IF(LEN(TRIM(E1408))=0,"",VLOOKUP(E1408,Sheet2!$B$1:$E$19,2,FALSE))</f>
        <v>241</v>
      </c>
      <c r="L1408">
        <f>IF(LEN(TRIM(E1408))=0,"",VLOOKUP(E1408,Sheet2!$B$1:$E$19,3,FALSE))</f>
        <v>1133739</v>
      </c>
      <c r="M1408">
        <f>IF(LEN(TRIM(E1408))=0,"",VLOOKUP(E1408,Sheet2!$B$1:$E$19,4,FALSE))+(F1408-1)</f>
        <v>3885812</v>
      </c>
    </row>
    <row r="1409" spans="1:17" s="1" customFormat="1" ht="15" customHeight="1" x14ac:dyDescent="0.25">
      <c r="A1409" s="27" t="s">
        <v>3</v>
      </c>
      <c r="B1409" s="27" t="s">
        <v>16</v>
      </c>
      <c r="C1409" s="5" t="s">
        <v>1228</v>
      </c>
      <c r="D1409" s="3" t="s">
        <v>454</v>
      </c>
      <c r="E1409" s="3">
        <v>2170</v>
      </c>
      <c r="F1409" s="31">
        <v>26</v>
      </c>
      <c r="G1409" s="10">
        <v>22</v>
      </c>
      <c r="H1409" s="3">
        <v>64</v>
      </c>
      <c r="I1409" s="3">
        <v>60</v>
      </c>
      <c r="J1409" t="str">
        <f t="shared" si="21"/>
        <v>http://www.badatelna.eu/reprodukce/?fondId=1073&amp;zaznamId=1108956&amp;reproId=3779618</v>
      </c>
      <c r="K1409">
        <f>IF(LEN(TRIM(E1409))=0,"",VLOOKUP(E1409,Sheet2!$B$1:$E$19,2,FALSE))</f>
        <v>1073</v>
      </c>
      <c r="L1409">
        <f>IF(LEN(TRIM(E1409))=0,"",VLOOKUP(E1409,Sheet2!$B$1:$E$19,3,FALSE))</f>
        <v>1108956</v>
      </c>
      <c r="M1409">
        <f>IF(LEN(TRIM(E1409))=0,"",VLOOKUP(E1409,Sheet2!$B$1:$E$19,4,FALSE))+(F1409-1)</f>
        <v>3779618</v>
      </c>
    </row>
    <row r="1410" spans="1:17" s="1" customFormat="1" ht="15" customHeight="1" x14ac:dyDescent="0.25">
      <c r="A1410" s="28" t="s">
        <v>3</v>
      </c>
      <c r="B1410" s="28" t="s">
        <v>4</v>
      </c>
      <c r="C1410" s="6" t="s">
        <v>2233</v>
      </c>
      <c r="D1410" s="1" t="s">
        <v>454</v>
      </c>
      <c r="E1410" s="1">
        <v>2173</v>
      </c>
      <c r="F1410" s="28">
        <v>196</v>
      </c>
      <c r="G1410" s="9">
        <v>1</v>
      </c>
      <c r="H1410" s="1" t="s">
        <v>3073</v>
      </c>
      <c r="I1410" s="1" t="s">
        <v>3073</v>
      </c>
      <c r="J1410" t="str">
        <f t="shared" si="21"/>
        <v>http://www.badatelna.eu/reprodukce/?fondId=1073&amp;zaznamId=1108959&amp;reproId=3780189</v>
      </c>
      <c r="K1410">
        <f>IF(LEN(TRIM(E1410))=0,"",VLOOKUP(E1410,Sheet2!$B$1:$E$19,2,FALSE))</f>
        <v>1073</v>
      </c>
      <c r="L1410">
        <f>IF(LEN(TRIM(E1410))=0,"",VLOOKUP(E1410,Sheet2!$B$1:$E$19,3,FALSE))</f>
        <v>1108959</v>
      </c>
      <c r="M1410">
        <f>IF(LEN(TRIM(E1410))=0,"",VLOOKUP(E1410,Sheet2!$B$1:$E$19,4,FALSE))+(F1410-1)</f>
        <v>3780189</v>
      </c>
    </row>
    <row r="1411" spans="1:17" s="1" customFormat="1" ht="15" customHeight="1" x14ac:dyDescent="0.25">
      <c r="A1411" s="28" t="s">
        <v>3</v>
      </c>
      <c r="B1411" s="28" t="s">
        <v>46</v>
      </c>
      <c r="C1411" s="6" t="s">
        <v>2540</v>
      </c>
      <c r="D1411" s="1" t="s">
        <v>454</v>
      </c>
      <c r="E1411" s="1">
        <v>2173</v>
      </c>
      <c r="F1411" s="28">
        <v>207</v>
      </c>
      <c r="G1411" s="1">
        <v>23</v>
      </c>
      <c r="H1411" s="1" t="s">
        <v>3073</v>
      </c>
      <c r="I1411" s="1" t="s">
        <v>3073</v>
      </c>
      <c r="J1411" t="str">
        <f t="shared" ref="J1411:J1474" si="22">IF(LEN(TRIM(E1411))=0,"","http://www.badatelna.eu/reprodukce/?fondId="&amp;K1411&amp;"&amp;zaznamId="&amp;L1411&amp;"&amp;reproId="&amp;M1411)</f>
        <v>http://www.badatelna.eu/reprodukce/?fondId=1073&amp;zaznamId=1108959&amp;reproId=3780200</v>
      </c>
      <c r="K1411">
        <f>IF(LEN(TRIM(E1411))=0,"",VLOOKUP(E1411,Sheet2!$B$1:$E$19,2,FALSE))</f>
        <v>1073</v>
      </c>
      <c r="L1411">
        <f>IF(LEN(TRIM(E1411))=0,"",VLOOKUP(E1411,Sheet2!$B$1:$E$19,3,FALSE))</f>
        <v>1108959</v>
      </c>
      <c r="M1411">
        <f>IF(LEN(TRIM(E1411))=0,"",VLOOKUP(E1411,Sheet2!$B$1:$E$19,4,FALSE))+(F1411-1)</f>
        <v>3780200</v>
      </c>
      <c r="N1411"/>
      <c r="O1411"/>
      <c r="P1411"/>
      <c r="Q1411"/>
    </row>
    <row r="1412" spans="1:17" s="1" customFormat="1" ht="15" customHeight="1" x14ac:dyDescent="0.25">
      <c r="A1412" s="31" t="s">
        <v>3</v>
      </c>
      <c r="B1412" s="31" t="s">
        <v>46</v>
      </c>
      <c r="C1412" s="7" t="s">
        <v>2234</v>
      </c>
      <c r="D1412" s="1" t="s">
        <v>454</v>
      </c>
      <c r="E1412" s="1">
        <v>2173</v>
      </c>
      <c r="F1412" s="28">
        <v>196</v>
      </c>
      <c r="G1412" s="9">
        <v>2</v>
      </c>
      <c r="H1412" s="1" t="s">
        <v>3073</v>
      </c>
      <c r="I1412" s="1" t="s">
        <v>3073</v>
      </c>
      <c r="J1412" t="str">
        <f t="shared" si="22"/>
        <v>http://www.badatelna.eu/reprodukce/?fondId=1073&amp;zaznamId=1108959&amp;reproId=3780189</v>
      </c>
      <c r="K1412">
        <f>IF(LEN(TRIM(E1412))=0,"",VLOOKUP(E1412,Sheet2!$B$1:$E$19,2,FALSE))</f>
        <v>1073</v>
      </c>
      <c r="L1412">
        <f>IF(LEN(TRIM(E1412))=0,"",VLOOKUP(E1412,Sheet2!$B$1:$E$19,3,FALSE))</f>
        <v>1108959</v>
      </c>
      <c r="M1412">
        <f>IF(LEN(TRIM(E1412))=0,"",VLOOKUP(E1412,Sheet2!$B$1:$E$19,4,FALSE))+(F1412-1)</f>
        <v>3780189</v>
      </c>
    </row>
    <row r="1413" spans="1:17" s="1" customFormat="1" ht="15" customHeight="1" x14ac:dyDescent="0.25">
      <c r="A1413" s="28" t="s">
        <v>3</v>
      </c>
      <c r="B1413" s="28" t="s">
        <v>46</v>
      </c>
      <c r="C1413" s="6" t="s">
        <v>1999</v>
      </c>
      <c r="D1413" s="1" t="s">
        <v>454</v>
      </c>
      <c r="E1413" s="1">
        <v>2173</v>
      </c>
      <c r="F1413" s="28">
        <v>210</v>
      </c>
      <c r="G1413" s="9" t="s">
        <v>2863</v>
      </c>
      <c r="H1413" s="1" t="s">
        <v>3073</v>
      </c>
      <c r="I1413" s="1" t="s">
        <v>3073</v>
      </c>
      <c r="J1413" t="str">
        <f t="shared" si="22"/>
        <v>http://www.badatelna.eu/reprodukce/?fondId=1073&amp;zaznamId=1108959&amp;reproId=3780203</v>
      </c>
      <c r="K1413">
        <f>IF(LEN(TRIM(E1413))=0,"",VLOOKUP(E1413,Sheet2!$B$1:$E$19,2,FALSE))</f>
        <v>1073</v>
      </c>
      <c r="L1413">
        <f>IF(LEN(TRIM(E1413))=0,"",VLOOKUP(E1413,Sheet2!$B$1:$E$19,3,FALSE))</f>
        <v>1108959</v>
      </c>
      <c r="M1413">
        <f>IF(LEN(TRIM(E1413))=0,"",VLOOKUP(E1413,Sheet2!$B$1:$E$19,4,FALSE))+(F1413-1)</f>
        <v>3780203</v>
      </c>
    </row>
    <row r="1414" spans="1:17" s="1" customFormat="1" ht="15" customHeight="1" x14ac:dyDescent="0.25">
      <c r="A1414" s="28" t="s">
        <v>3</v>
      </c>
      <c r="B1414" s="28" t="s">
        <v>2962</v>
      </c>
      <c r="C1414" s="1">
        <v>1855</v>
      </c>
      <c r="D1414" s="1" t="s">
        <v>2919</v>
      </c>
      <c r="E1414" s="1">
        <v>998</v>
      </c>
      <c r="F1414" s="28">
        <v>46</v>
      </c>
      <c r="G1414" s="1">
        <v>44</v>
      </c>
      <c r="H1414" s="1">
        <v>72</v>
      </c>
      <c r="I1414" s="1">
        <v>69</v>
      </c>
      <c r="J1414" t="str">
        <f t="shared" si="22"/>
        <v>http://www.badatelna.eu/reprodukce/?fondId=241&amp;zaznamId=1133738&amp;reproId=3885692</v>
      </c>
      <c r="K1414">
        <f>IF(LEN(TRIM(E1414))=0,"",VLOOKUP(E1414,Sheet2!$B$1:$E$19,2,FALSE))</f>
        <v>241</v>
      </c>
      <c r="L1414">
        <f>IF(LEN(TRIM(E1414))=0,"",VLOOKUP(E1414,Sheet2!$B$1:$E$19,3,FALSE))</f>
        <v>1133738</v>
      </c>
      <c r="M1414">
        <f>IF(LEN(TRIM(E1414))=0,"",VLOOKUP(E1414,Sheet2!$B$1:$E$19,4,FALSE))+(F1414-1)</f>
        <v>3885692</v>
      </c>
      <c r="N1414"/>
      <c r="O1414"/>
      <c r="P1414"/>
      <c r="Q1414"/>
    </row>
    <row r="1415" spans="1:17" s="1" customFormat="1" ht="15" customHeight="1" x14ac:dyDescent="0.25">
      <c r="A1415" s="28" t="s">
        <v>3</v>
      </c>
      <c r="B1415" s="28" t="s">
        <v>28</v>
      </c>
      <c r="C1415" s="1">
        <v>1891</v>
      </c>
      <c r="D1415" s="1" t="s">
        <v>454</v>
      </c>
      <c r="E1415" s="1">
        <v>2172</v>
      </c>
      <c r="F1415" s="28">
        <v>81</v>
      </c>
      <c r="G1415" s="9">
        <v>80</v>
      </c>
      <c r="H1415" s="1">
        <v>83</v>
      </c>
      <c r="I1415" s="1">
        <v>82</v>
      </c>
      <c r="J1415" t="str">
        <f t="shared" si="22"/>
        <v>http://www.badatelna.eu/reprodukce/?fondId=1073&amp;zaznamId=1108958&amp;reproId=3779822</v>
      </c>
      <c r="K1415">
        <f>IF(LEN(TRIM(E1415))=0,"",VLOOKUP(E1415,Sheet2!$B$1:$E$19,2,FALSE))</f>
        <v>1073</v>
      </c>
      <c r="L1415">
        <f>IF(LEN(TRIM(E1415))=0,"",VLOOKUP(E1415,Sheet2!$B$1:$E$19,3,FALSE))</f>
        <v>1108958</v>
      </c>
      <c r="M1415">
        <f>IF(LEN(TRIM(E1415))=0,"",VLOOKUP(E1415,Sheet2!$B$1:$E$19,4,FALSE))+(F1415-1)</f>
        <v>3779822</v>
      </c>
    </row>
    <row r="1416" spans="1:17" s="1" customFormat="1" ht="15" customHeight="1" x14ac:dyDescent="0.25">
      <c r="A1416" s="28" t="s">
        <v>3</v>
      </c>
      <c r="B1416" s="28" t="s">
        <v>314</v>
      </c>
      <c r="C1416" s="6" t="s">
        <v>2100</v>
      </c>
      <c r="D1416" s="1" t="s">
        <v>454</v>
      </c>
      <c r="E1416" s="1">
        <v>2173</v>
      </c>
      <c r="F1416" s="28">
        <v>182</v>
      </c>
      <c r="G1416" s="9">
        <v>10</v>
      </c>
      <c r="H1416" s="1">
        <v>189</v>
      </c>
      <c r="I1416" s="1">
        <v>421</v>
      </c>
      <c r="J1416" t="str">
        <f t="shared" si="22"/>
        <v>http://www.badatelna.eu/reprodukce/?fondId=1073&amp;zaznamId=1108959&amp;reproId=3780175</v>
      </c>
      <c r="K1416">
        <f>IF(LEN(TRIM(E1416))=0,"",VLOOKUP(E1416,Sheet2!$B$1:$E$19,2,FALSE))</f>
        <v>1073</v>
      </c>
      <c r="L1416">
        <f>IF(LEN(TRIM(E1416))=0,"",VLOOKUP(E1416,Sheet2!$B$1:$E$19,3,FALSE))</f>
        <v>1108959</v>
      </c>
      <c r="M1416">
        <f>IF(LEN(TRIM(E1416))=0,"",VLOOKUP(E1416,Sheet2!$B$1:$E$19,4,FALSE))+(F1416-1)</f>
        <v>3780175</v>
      </c>
      <c r="N1416"/>
      <c r="O1416"/>
      <c r="P1416"/>
      <c r="Q1416"/>
    </row>
    <row r="1417" spans="1:17" s="1" customFormat="1" ht="15" customHeight="1" x14ac:dyDescent="0.25">
      <c r="A1417" s="28" t="s">
        <v>3</v>
      </c>
      <c r="B1417" s="28" t="s">
        <v>215</v>
      </c>
      <c r="C1417" s="6" t="s">
        <v>2488</v>
      </c>
      <c r="D1417" s="1" t="s">
        <v>454</v>
      </c>
      <c r="E1417" s="1">
        <v>2173</v>
      </c>
      <c r="F1417" s="28">
        <v>205</v>
      </c>
      <c r="G1417" s="1">
        <v>20</v>
      </c>
      <c r="H1417" s="1" t="s">
        <v>3073</v>
      </c>
      <c r="I1417" s="1" t="s">
        <v>3073</v>
      </c>
      <c r="J1417" t="str">
        <f t="shared" si="22"/>
        <v>http://www.badatelna.eu/reprodukce/?fondId=1073&amp;zaznamId=1108959&amp;reproId=3780198</v>
      </c>
      <c r="K1417">
        <f>IF(LEN(TRIM(E1417))=0,"",VLOOKUP(E1417,Sheet2!$B$1:$E$19,2,FALSE))</f>
        <v>1073</v>
      </c>
      <c r="L1417">
        <f>IF(LEN(TRIM(E1417))=0,"",VLOOKUP(E1417,Sheet2!$B$1:$E$19,3,FALSE))</f>
        <v>1108959</v>
      </c>
      <c r="M1417">
        <f>IF(LEN(TRIM(E1417))=0,"",VLOOKUP(E1417,Sheet2!$B$1:$E$19,4,FALSE))+(F1417-1)</f>
        <v>3780198</v>
      </c>
    </row>
    <row r="1418" spans="1:17" s="1" customFormat="1" ht="15" customHeight="1" x14ac:dyDescent="0.25">
      <c r="A1418" s="28" t="s">
        <v>3</v>
      </c>
      <c r="B1418" s="28" t="s">
        <v>928</v>
      </c>
      <c r="C1418" s="6" t="s">
        <v>1927</v>
      </c>
      <c r="D1418" s="1" t="s">
        <v>454</v>
      </c>
      <c r="E1418" s="1">
        <v>2172</v>
      </c>
      <c r="F1418" s="28">
        <v>216</v>
      </c>
      <c r="G1418" s="9">
        <v>200</v>
      </c>
      <c r="H1418" s="1" t="s">
        <v>3073</v>
      </c>
      <c r="I1418" s="1" t="s">
        <v>3073</v>
      </c>
      <c r="J1418" t="str">
        <f t="shared" si="22"/>
        <v>http://www.badatelna.eu/reprodukce/?fondId=1073&amp;zaznamId=1108958&amp;reproId=3779957</v>
      </c>
      <c r="K1418">
        <f>IF(LEN(TRIM(E1418))=0,"",VLOOKUP(E1418,Sheet2!$B$1:$E$19,2,FALSE))</f>
        <v>1073</v>
      </c>
      <c r="L1418">
        <f>IF(LEN(TRIM(E1418))=0,"",VLOOKUP(E1418,Sheet2!$B$1:$E$19,3,FALSE))</f>
        <v>1108958</v>
      </c>
      <c r="M1418">
        <f>IF(LEN(TRIM(E1418))=0,"",VLOOKUP(E1418,Sheet2!$B$1:$E$19,4,FALSE))+(F1418-1)</f>
        <v>3779957</v>
      </c>
    </row>
    <row r="1419" spans="1:17" s="1" customFormat="1" ht="15" customHeight="1" x14ac:dyDescent="0.25">
      <c r="A1419" s="28" t="s">
        <v>3</v>
      </c>
      <c r="B1419" s="28" t="s">
        <v>135</v>
      </c>
      <c r="C1419" s="6" t="s">
        <v>2487</v>
      </c>
      <c r="D1419" s="1" t="s">
        <v>454</v>
      </c>
      <c r="E1419" s="1">
        <v>2173</v>
      </c>
      <c r="F1419" s="28">
        <v>205</v>
      </c>
      <c r="G1419" s="1">
        <v>20</v>
      </c>
      <c r="H1419" s="1" t="s">
        <v>3073</v>
      </c>
      <c r="I1419" s="1" t="s">
        <v>3073</v>
      </c>
      <c r="J1419" t="str">
        <f t="shared" si="22"/>
        <v>http://www.badatelna.eu/reprodukce/?fondId=1073&amp;zaznamId=1108959&amp;reproId=3780198</v>
      </c>
      <c r="K1419">
        <f>IF(LEN(TRIM(E1419))=0,"",VLOOKUP(E1419,Sheet2!$B$1:$E$19,2,FALSE))</f>
        <v>1073</v>
      </c>
      <c r="L1419">
        <f>IF(LEN(TRIM(E1419))=0,"",VLOOKUP(E1419,Sheet2!$B$1:$E$19,3,FALSE))</f>
        <v>1108959</v>
      </c>
      <c r="M1419">
        <f>IF(LEN(TRIM(E1419))=0,"",VLOOKUP(E1419,Sheet2!$B$1:$E$19,4,FALSE))+(F1419-1)</f>
        <v>3780198</v>
      </c>
      <c r="N1419"/>
      <c r="O1419"/>
      <c r="P1419"/>
      <c r="Q1419"/>
    </row>
    <row r="1420" spans="1:17" s="1" customFormat="1" ht="15" customHeight="1" x14ac:dyDescent="0.25">
      <c r="A1420" s="28" t="s">
        <v>3</v>
      </c>
      <c r="B1420" s="28" t="s">
        <v>212</v>
      </c>
      <c r="C1420" s="6" t="s">
        <v>2489</v>
      </c>
      <c r="D1420" s="1" t="s">
        <v>454</v>
      </c>
      <c r="E1420" s="1">
        <v>2173</v>
      </c>
      <c r="F1420" s="28">
        <v>205</v>
      </c>
      <c r="G1420" s="1">
        <v>20</v>
      </c>
      <c r="H1420" s="1" t="s">
        <v>3073</v>
      </c>
      <c r="I1420" s="1" t="s">
        <v>3073</v>
      </c>
      <c r="J1420" t="str">
        <f t="shared" si="22"/>
        <v>http://www.badatelna.eu/reprodukce/?fondId=1073&amp;zaznamId=1108959&amp;reproId=3780198</v>
      </c>
      <c r="K1420">
        <f>IF(LEN(TRIM(E1420))=0,"",VLOOKUP(E1420,Sheet2!$B$1:$E$19,2,FALSE))</f>
        <v>1073</v>
      </c>
      <c r="L1420">
        <f>IF(LEN(TRIM(E1420))=0,"",VLOOKUP(E1420,Sheet2!$B$1:$E$19,3,FALSE))</f>
        <v>1108959</v>
      </c>
      <c r="M1420">
        <f>IF(LEN(TRIM(E1420))=0,"",VLOOKUP(E1420,Sheet2!$B$1:$E$19,4,FALSE))+(F1420-1)</f>
        <v>3780198</v>
      </c>
      <c r="N1420"/>
      <c r="O1420"/>
      <c r="P1420"/>
      <c r="Q1420"/>
    </row>
    <row r="1421" spans="1:17" s="1" customFormat="1" ht="15" customHeight="1" x14ac:dyDescent="0.25">
      <c r="A1421" s="28" t="s">
        <v>3</v>
      </c>
      <c r="B1421" s="28" t="s">
        <v>929</v>
      </c>
      <c r="C1421" s="6" t="s">
        <v>1680</v>
      </c>
      <c r="D1421" s="1" t="s">
        <v>454</v>
      </c>
      <c r="E1421" s="1">
        <v>2172</v>
      </c>
      <c r="F1421" s="28">
        <v>107</v>
      </c>
      <c r="G1421" s="9">
        <v>106</v>
      </c>
      <c r="H1421" s="1">
        <v>109</v>
      </c>
      <c r="I1421" s="1">
        <v>108</v>
      </c>
      <c r="J1421" t="str">
        <f t="shared" si="22"/>
        <v>http://www.badatelna.eu/reprodukce/?fondId=1073&amp;zaznamId=1108958&amp;reproId=3779848</v>
      </c>
      <c r="K1421">
        <f>IF(LEN(TRIM(E1421))=0,"",VLOOKUP(E1421,Sheet2!$B$1:$E$19,2,FALSE))</f>
        <v>1073</v>
      </c>
      <c r="L1421">
        <f>IF(LEN(TRIM(E1421))=0,"",VLOOKUP(E1421,Sheet2!$B$1:$E$19,3,FALSE))</f>
        <v>1108958</v>
      </c>
      <c r="M1421">
        <f>IF(LEN(TRIM(E1421))=0,"",VLOOKUP(E1421,Sheet2!$B$1:$E$19,4,FALSE))+(F1421-1)</f>
        <v>3779848</v>
      </c>
    </row>
    <row r="1422" spans="1:17" s="1" customFormat="1" ht="15" customHeight="1" x14ac:dyDescent="0.25">
      <c r="A1422" s="28" t="s">
        <v>3</v>
      </c>
      <c r="B1422" s="28" t="s">
        <v>65</v>
      </c>
      <c r="C1422" s="6" t="s">
        <v>2298</v>
      </c>
      <c r="D1422" s="1" t="s">
        <v>454</v>
      </c>
      <c r="E1422" s="1">
        <v>2173</v>
      </c>
      <c r="F1422" s="28">
        <v>198</v>
      </c>
      <c r="G1422" s="9">
        <v>5</v>
      </c>
      <c r="H1422" s="1" t="s">
        <v>3073</v>
      </c>
      <c r="I1422" s="1" t="s">
        <v>3073</v>
      </c>
      <c r="J1422" t="str">
        <f t="shared" si="22"/>
        <v>http://www.badatelna.eu/reprodukce/?fondId=1073&amp;zaznamId=1108959&amp;reproId=3780191</v>
      </c>
      <c r="K1422">
        <f>IF(LEN(TRIM(E1422))=0,"",VLOOKUP(E1422,Sheet2!$B$1:$E$19,2,FALSE))</f>
        <v>1073</v>
      </c>
      <c r="L1422">
        <f>IF(LEN(TRIM(E1422))=0,"",VLOOKUP(E1422,Sheet2!$B$1:$E$19,3,FALSE))</f>
        <v>1108959</v>
      </c>
      <c r="M1422">
        <f>IF(LEN(TRIM(E1422))=0,"",VLOOKUP(E1422,Sheet2!$B$1:$E$19,4,FALSE))+(F1422-1)</f>
        <v>3780191</v>
      </c>
      <c r="N1422"/>
      <c r="O1422"/>
      <c r="P1422"/>
      <c r="Q1422"/>
    </row>
    <row r="1423" spans="1:17" s="1" customFormat="1" ht="15" customHeight="1" x14ac:dyDescent="0.25">
      <c r="A1423" s="28" t="s">
        <v>3</v>
      </c>
      <c r="B1423" s="28" t="s">
        <v>930</v>
      </c>
      <c r="C1423" s="6" t="s">
        <v>1716</v>
      </c>
      <c r="D1423" s="1" t="s">
        <v>454</v>
      </c>
      <c r="E1423" s="1">
        <v>2172</v>
      </c>
      <c r="F1423" s="28">
        <v>120</v>
      </c>
      <c r="G1423" s="9">
        <v>119</v>
      </c>
      <c r="H1423" s="1">
        <v>123</v>
      </c>
      <c r="I1423" s="1">
        <v>122</v>
      </c>
      <c r="J1423" t="str">
        <f t="shared" si="22"/>
        <v>http://www.badatelna.eu/reprodukce/?fondId=1073&amp;zaznamId=1108958&amp;reproId=3779861</v>
      </c>
      <c r="K1423">
        <f>IF(LEN(TRIM(E1423))=0,"",VLOOKUP(E1423,Sheet2!$B$1:$E$19,2,FALSE))</f>
        <v>1073</v>
      </c>
      <c r="L1423">
        <f>IF(LEN(TRIM(E1423))=0,"",VLOOKUP(E1423,Sheet2!$B$1:$E$19,3,FALSE))</f>
        <v>1108958</v>
      </c>
      <c r="M1423">
        <f>IF(LEN(TRIM(E1423))=0,"",VLOOKUP(E1423,Sheet2!$B$1:$E$19,4,FALSE))+(F1423-1)</f>
        <v>3779861</v>
      </c>
      <c r="N1423"/>
      <c r="O1423"/>
      <c r="P1423"/>
      <c r="Q1423"/>
    </row>
    <row r="1424" spans="1:17" s="1" customFormat="1" ht="15" customHeight="1" x14ac:dyDescent="0.25">
      <c r="A1424" s="28" t="s">
        <v>3</v>
      </c>
      <c r="B1424" s="28" t="s">
        <v>931</v>
      </c>
      <c r="C1424" s="6" t="s">
        <v>1679</v>
      </c>
      <c r="D1424" s="1" t="s">
        <v>454</v>
      </c>
      <c r="E1424" s="1">
        <v>2172</v>
      </c>
      <c r="F1424" s="28">
        <v>106</v>
      </c>
      <c r="G1424" s="9" t="s">
        <v>2768</v>
      </c>
      <c r="H1424" s="1">
        <v>109</v>
      </c>
      <c r="I1424" s="1">
        <v>108</v>
      </c>
      <c r="J1424" t="str">
        <f t="shared" si="22"/>
        <v>http://www.badatelna.eu/reprodukce/?fondId=1073&amp;zaznamId=1108958&amp;reproId=3779847</v>
      </c>
      <c r="K1424">
        <f>IF(LEN(TRIM(E1424))=0,"",VLOOKUP(E1424,Sheet2!$B$1:$E$19,2,FALSE))</f>
        <v>1073</v>
      </c>
      <c r="L1424">
        <f>IF(LEN(TRIM(E1424))=0,"",VLOOKUP(E1424,Sheet2!$B$1:$E$19,3,FALSE))</f>
        <v>1108958</v>
      </c>
      <c r="M1424">
        <f>IF(LEN(TRIM(E1424))=0,"",VLOOKUP(E1424,Sheet2!$B$1:$E$19,4,FALSE))+(F1424-1)</f>
        <v>3779847</v>
      </c>
    </row>
    <row r="1425" spans="1:17" s="1" customFormat="1" ht="15" customHeight="1" x14ac:dyDescent="0.25">
      <c r="A1425" s="28" t="s">
        <v>3</v>
      </c>
      <c r="B1425" s="28" t="s">
        <v>54</v>
      </c>
      <c r="C1425" s="1">
        <v>1854</v>
      </c>
      <c r="D1425" s="1" t="s">
        <v>2919</v>
      </c>
      <c r="E1425" s="1">
        <v>998</v>
      </c>
      <c r="F1425" s="28">
        <v>40</v>
      </c>
      <c r="G1425" s="1">
        <v>38</v>
      </c>
      <c r="H1425" s="1">
        <v>72</v>
      </c>
      <c r="I1425" s="1">
        <v>69</v>
      </c>
      <c r="J1425" t="str">
        <f t="shared" si="22"/>
        <v>http://www.badatelna.eu/reprodukce/?fondId=241&amp;zaznamId=1133738&amp;reproId=3885686</v>
      </c>
      <c r="K1425">
        <f>IF(LEN(TRIM(E1425))=0,"",VLOOKUP(E1425,Sheet2!$B$1:$E$19,2,FALSE))</f>
        <v>241</v>
      </c>
      <c r="L1425">
        <f>IF(LEN(TRIM(E1425))=0,"",VLOOKUP(E1425,Sheet2!$B$1:$E$19,3,FALSE))</f>
        <v>1133738</v>
      </c>
      <c r="M1425">
        <f>IF(LEN(TRIM(E1425))=0,"",VLOOKUP(E1425,Sheet2!$B$1:$E$19,4,FALSE))+(F1425-1)</f>
        <v>3885686</v>
      </c>
    </row>
    <row r="1426" spans="1:17" s="1" customFormat="1" ht="15" customHeight="1" x14ac:dyDescent="0.25">
      <c r="A1426" s="28" t="s">
        <v>3</v>
      </c>
      <c r="B1426" s="28" t="s">
        <v>13</v>
      </c>
      <c r="C1426" s="6" t="s">
        <v>1699</v>
      </c>
      <c r="D1426" s="1" t="s">
        <v>454</v>
      </c>
      <c r="E1426" s="1">
        <v>2172</v>
      </c>
      <c r="F1426" s="28">
        <v>115</v>
      </c>
      <c r="G1426" s="9" t="s">
        <v>2771</v>
      </c>
      <c r="H1426" s="1">
        <v>116</v>
      </c>
      <c r="I1426" s="1">
        <v>115</v>
      </c>
      <c r="J1426" t="str">
        <f t="shared" si="22"/>
        <v>http://www.badatelna.eu/reprodukce/?fondId=1073&amp;zaznamId=1108958&amp;reproId=3779856</v>
      </c>
      <c r="K1426">
        <f>IF(LEN(TRIM(E1426))=0,"",VLOOKUP(E1426,Sheet2!$B$1:$E$19,2,FALSE))</f>
        <v>1073</v>
      </c>
      <c r="L1426">
        <f>IF(LEN(TRIM(E1426))=0,"",VLOOKUP(E1426,Sheet2!$B$1:$E$19,3,FALSE))</f>
        <v>1108958</v>
      </c>
      <c r="M1426">
        <f>IF(LEN(TRIM(E1426))=0,"",VLOOKUP(E1426,Sheet2!$B$1:$E$19,4,FALSE))+(F1426-1)</f>
        <v>3779856</v>
      </c>
      <c r="N1426"/>
      <c r="O1426"/>
      <c r="P1426"/>
      <c r="Q1426"/>
    </row>
    <row r="1427" spans="1:17" s="1" customFormat="1" ht="15" customHeight="1" x14ac:dyDescent="0.25">
      <c r="A1427" s="28" t="s">
        <v>3</v>
      </c>
      <c r="B1427" s="28" t="s">
        <v>122</v>
      </c>
      <c r="C1427" s="6" t="s">
        <v>2322</v>
      </c>
      <c r="D1427" s="1" t="s">
        <v>454</v>
      </c>
      <c r="E1427" s="1">
        <v>2173</v>
      </c>
      <c r="F1427" s="31">
        <v>199</v>
      </c>
      <c r="G1427" s="9">
        <v>8</v>
      </c>
      <c r="H1427" s="1" t="s">
        <v>3073</v>
      </c>
      <c r="I1427" s="1" t="s">
        <v>3073</v>
      </c>
      <c r="J1427" t="str">
        <f t="shared" si="22"/>
        <v>http://www.badatelna.eu/reprodukce/?fondId=1073&amp;zaznamId=1108959&amp;reproId=3780192</v>
      </c>
      <c r="K1427">
        <f>IF(LEN(TRIM(E1427))=0,"",VLOOKUP(E1427,Sheet2!$B$1:$E$19,2,FALSE))</f>
        <v>1073</v>
      </c>
      <c r="L1427">
        <f>IF(LEN(TRIM(E1427))=0,"",VLOOKUP(E1427,Sheet2!$B$1:$E$19,3,FALSE))</f>
        <v>1108959</v>
      </c>
      <c r="M1427">
        <f>IF(LEN(TRIM(E1427))=0,"",VLOOKUP(E1427,Sheet2!$B$1:$E$19,4,FALSE))+(F1427-1)</f>
        <v>3780192</v>
      </c>
    </row>
    <row r="1428" spans="1:17" s="1" customFormat="1" ht="15" customHeight="1" x14ac:dyDescent="0.25">
      <c r="A1428" s="28" t="s">
        <v>3</v>
      </c>
      <c r="B1428" s="28" t="s">
        <v>247</v>
      </c>
      <c r="C1428" s="6" t="s">
        <v>1568</v>
      </c>
      <c r="D1428" s="1" t="s">
        <v>454</v>
      </c>
      <c r="E1428" s="1">
        <v>2172</v>
      </c>
      <c r="F1428" s="28">
        <v>22</v>
      </c>
      <c r="G1428" s="9">
        <v>21</v>
      </c>
      <c r="H1428" s="1">
        <v>24</v>
      </c>
      <c r="I1428" s="1">
        <v>23</v>
      </c>
      <c r="J1428" t="str">
        <f t="shared" si="22"/>
        <v>http://www.badatelna.eu/reprodukce/?fondId=1073&amp;zaznamId=1108958&amp;reproId=3779763</v>
      </c>
      <c r="K1428">
        <f>IF(LEN(TRIM(E1428))=0,"",VLOOKUP(E1428,Sheet2!$B$1:$E$19,2,FALSE))</f>
        <v>1073</v>
      </c>
      <c r="L1428">
        <f>IF(LEN(TRIM(E1428))=0,"",VLOOKUP(E1428,Sheet2!$B$1:$E$19,3,FALSE))</f>
        <v>1108958</v>
      </c>
      <c r="M1428">
        <f>IF(LEN(TRIM(E1428))=0,"",VLOOKUP(E1428,Sheet2!$B$1:$E$19,4,FALSE))+(F1428-1)</f>
        <v>3779763</v>
      </c>
    </row>
    <row r="1429" spans="1:17" s="1" customFormat="1" ht="15" customHeight="1" x14ac:dyDescent="0.25">
      <c r="A1429" s="27" t="s">
        <v>3</v>
      </c>
      <c r="B1429" s="27" t="s">
        <v>91</v>
      </c>
      <c r="C1429" s="5" t="s">
        <v>1265</v>
      </c>
      <c r="D1429" s="3" t="s">
        <v>454</v>
      </c>
      <c r="E1429" s="3">
        <v>2171</v>
      </c>
      <c r="F1429" s="28">
        <v>68</v>
      </c>
      <c r="G1429" s="10">
        <v>51</v>
      </c>
      <c r="H1429" s="3">
        <v>68</v>
      </c>
      <c r="I1429" s="3">
        <v>51</v>
      </c>
      <c r="J1429" t="str">
        <f t="shared" si="22"/>
        <v>http://www.badatelna.eu/reprodukce/?fondId=1073&amp;zaznamId=1108957&amp;reproId=3779735</v>
      </c>
      <c r="K1429">
        <f>IF(LEN(TRIM(E1429))=0,"",VLOOKUP(E1429,Sheet2!$B$1:$E$19,2,FALSE))</f>
        <v>1073</v>
      </c>
      <c r="L1429">
        <f>IF(LEN(TRIM(E1429))=0,"",VLOOKUP(E1429,Sheet2!$B$1:$E$19,3,FALSE))</f>
        <v>1108957</v>
      </c>
      <c r="M1429">
        <f>IF(LEN(TRIM(E1429))=0,"",VLOOKUP(E1429,Sheet2!$B$1:$E$19,4,FALSE))+(F1429-1)</f>
        <v>3779735</v>
      </c>
    </row>
    <row r="1430" spans="1:17" s="1" customFormat="1" ht="15" customHeight="1" x14ac:dyDescent="0.25">
      <c r="A1430" s="28" t="s">
        <v>3</v>
      </c>
      <c r="B1430" s="28" t="s">
        <v>231</v>
      </c>
      <c r="C1430" s="6" t="s">
        <v>2541</v>
      </c>
      <c r="D1430" s="1" t="s">
        <v>454</v>
      </c>
      <c r="E1430" s="1">
        <v>2173</v>
      </c>
      <c r="F1430" s="28">
        <v>207</v>
      </c>
      <c r="G1430" s="1">
        <v>23</v>
      </c>
      <c r="H1430" s="1" t="s">
        <v>3073</v>
      </c>
      <c r="I1430" s="1" t="s">
        <v>3073</v>
      </c>
      <c r="J1430" t="str">
        <f t="shared" si="22"/>
        <v>http://www.badatelna.eu/reprodukce/?fondId=1073&amp;zaznamId=1108959&amp;reproId=3780200</v>
      </c>
      <c r="K1430">
        <f>IF(LEN(TRIM(E1430))=0,"",VLOOKUP(E1430,Sheet2!$B$1:$E$19,2,FALSE))</f>
        <v>1073</v>
      </c>
      <c r="L1430">
        <f>IF(LEN(TRIM(E1430))=0,"",VLOOKUP(E1430,Sheet2!$B$1:$E$19,3,FALSE))</f>
        <v>1108959</v>
      </c>
      <c r="M1430">
        <f>IF(LEN(TRIM(E1430))=0,"",VLOOKUP(E1430,Sheet2!$B$1:$E$19,4,FALSE))+(F1430-1)</f>
        <v>3780200</v>
      </c>
      <c r="N1430"/>
      <c r="O1430"/>
      <c r="P1430"/>
      <c r="Q1430"/>
    </row>
    <row r="1431" spans="1:17" s="1" customFormat="1" ht="15" customHeight="1" x14ac:dyDescent="0.25">
      <c r="A1431" s="28" t="s">
        <v>3</v>
      </c>
      <c r="B1431" s="28" t="s">
        <v>652</v>
      </c>
      <c r="C1431" s="1">
        <v>1883</v>
      </c>
      <c r="D1431" s="1" t="s">
        <v>454</v>
      </c>
      <c r="E1431" s="1">
        <v>2172</v>
      </c>
      <c r="F1431" s="28">
        <v>33</v>
      </c>
      <c r="G1431" s="9">
        <v>32</v>
      </c>
      <c r="H1431" s="1">
        <v>36</v>
      </c>
      <c r="I1431" s="1">
        <v>35</v>
      </c>
      <c r="J1431" t="str">
        <f t="shared" si="22"/>
        <v>http://www.badatelna.eu/reprodukce/?fondId=1073&amp;zaznamId=1108958&amp;reproId=3779774</v>
      </c>
      <c r="K1431">
        <f>IF(LEN(TRIM(E1431))=0,"",VLOOKUP(E1431,Sheet2!$B$1:$E$19,2,FALSE))</f>
        <v>1073</v>
      </c>
      <c r="L1431">
        <f>IF(LEN(TRIM(E1431))=0,"",VLOOKUP(E1431,Sheet2!$B$1:$E$19,3,FALSE))</f>
        <v>1108958</v>
      </c>
      <c r="M1431">
        <f>IF(LEN(TRIM(E1431))=0,"",VLOOKUP(E1431,Sheet2!$B$1:$E$19,4,FALSE))+(F1431-1)</f>
        <v>3779774</v>
      </c>
    </row>
    <row r="1432" spans="1:17" s="1" customFormat="1" ht="15" customHeight="1" x14ac:dyDescent="0.25">
      <c r="A1432" s="28" t="s">
        <v>2866</v>
      </c>
      <c r="B1432" s="28" t="s">
        <v>407</v>
      </c>
      <c r="C1432" s="6" t="s">
        <v>2867</v>
      </c>
      <c r="D1432" s="1" t="s">
        <v>454</v>
      </c>
      <c r="E1432" s="1">
        <v>2173</v>
      </c>
      <c r="F1432" s="28">
        <v>210</v>
      </c>
      <c r="G1432" s="9" t="s">
        <v>2863</v>
      </c>
      <c r="H1432" s="1" t="s">
        <v>3073</v>
      </c>
      <c r="I1432" s="1" t="s">
        <v>3073</v>
      </c>
      <c r="J1432" t="str">
        <f t="shared" si="22"/>
        <v>http://www.badatelna.eu/reprodukce/?fondId=1073&amp;zaznamId=1108959&amp;reproId=3780203</v>
      </c>
      <c r="K1432">
        <f>IF(LEN(TRIM(E1432))=0,"",VLOOKUP(E1432,Sheet2!$B$1:$E$19,2,FALSE))</f>
        <v>1073</v>
      </c>
      <c r="L1432">
        <f>IF(LEN(TRIM(E1432))=0,"",VLOOKUP(E1432,Sheet2!$B$1:$E$19,3,FALSE))</f>
        <v>1108959</v>
      </c>
      <c r="M1432">
        <f>IF(LEN(TRIM(E1432))=0,"",VLOOKUP(E1432,Sheet2!$B$1:$E$19,4,FALSE))+(F1432-1)</f>
        <v>3780203</v>
      </c>
    </row>
    <row r="1433" spans="1:17" s="1" customFormat="1" ht="15" customHeight="1" x14ac:dyDescent="0.25">
      <c r="A1433" s="28" t="s">
        <v>442</v>
      </c>
      <c r="B1433" s="28" t="s">
        <v>29</v>
      </c>
      <c r="C1433" s="1">
        <v>1849</v>
      </c>
      <c r="D1433" s="1" t="s">
        <v>2919</v>
      </c>
      <c r="E1433" s="1">
        <v>998</v>
      </c>
      <c r="F1433" s="28">
        <v>27</v>
      </c>
      <c r="G1433" s="1">
        <v>25</v>
      </c>
      <c r="H1433" s="1">
        <v>72</v>
      </c>
      <c r="I1433" s="1">
        <v>69</v>
      </c>
      <c r="J1433" t="str">
        <f t="shared" si="22"/>
        <v>http://www.badatelna.eu/reprodukce/?fondId=241&amp;zaznamId=1133738&amp;reproId=3885673</v>
      </c>
      <c r="K1433">
        <f>IF(LEN(TRIM(E1433))=0,"",VLOOKUP(E1433,Sheet2!$B$1:$E$19,2,FALSE))</f>
        <v>241</v>
      </c>
      <c r="L1433">
        <f>IF(LEN(TRIM(E1433))=0,"",VLOOKUP(E1433,Sheet2!$B$1:$E$19,3,FALSE))</f>
        <v>1133738</v>
      </c>
      <c r="M1433">
        <f>IF(LEN(TRIM(E1433))=0,"",VLOOKUP(E1433,Sheet2!$B$1:$E$19,4,FALSE))+(F1433-1)</f>
        <v>3885673</v>
      </c>
    </row>
    <row r="1434" spans="1:17" s="1" customFormat="1" ht="15" customHeight="1" x14ac:dyDescent="0.25">
      <c r="A1434" s="28" t="s">
        <v>442</v>
      </c>
      <c r="B1434" s="28" t="s">
        <v>29</v>
      </c>
      <c r="C1434" s="6" t="s">
        <v>2715</v>
      </c>
      <c r="D1434" s="1" t="s">
        <v>454</v>
      </c>
      <c r="E1434" s="1">
        <v>2173</v>
      </c>
      <c r="F1434" s="28">
        <v>225</v>
      </c>
      <c r="G1434" s="9">
        <v>55</v>
      </c>
      <c r="H1434" s="1" t="s">
        <v>3073</v>
      </c>
      <c r="I1434" s="1" t="s">
        <v>3073</v>
      </c>
      <c r="J1434" t="str">
        <f t="shared" si="22"/>
        <v>http://www.badatelna.eu/reprodukce/?fondId=1073&amp;zaznamId=1108959&amp;reproId=3780218</v>
      </c>
      <c r="K1434">
        <f>IF(LEN(TRIM(E1434))=0,"",VLOOKUP(E1434,Sheet2!$B$1:$E$19,2,FALSE))</f>
        <v>1073</v>
      </c>
      <c r="L1434">
        <f>IF(LEN(TRIM(E1434))=0,"",VLOOKUP(E1434,Sheet2!$B$1:$E$19,3,FALSE))</f>
        <v>1108959</v>
      </c>
      <c r="M1434">
        <f>IF(LEN(TRIM(E1434))=0,"",VLOOKUP(E1434,Sheet2!$B$1:$E$19,4,FALSE))+(F1434-1)</f>
        <v>3780218</v>
      </c>
    </row>
    <row r="1435" spans="1:17" s="1" customFormat="1" ht="15" customHeight="1" x14ac:dyDescent="0.25">
      <c r="A1435" s="27" t="s">
        <v>442</v>
      </c>
      <c r="B1435" s="27" t="s">
        <v>507</v>
      </c>
      <c r="C1435" s="5" t="s">
        <v>1229</v>
      </c>
      <c r="D1435" s="3" t="s">
        <v>454</v>
      </c>
      <c r="E1435" s="3">
        <v>2170</v>
      </c>
      <c r="F1435" s="28">
        <v>25</v>
      </c>
      <c r="G1435" s="10">
        <v>21</v>
      </c>
      <c r="H1435" s="3">
        <v>64</v>
      </c>
      <c r="I1435" s="3">
        <v>60</v>
      </c>
      <c r="J1435" t="str">
        <f t="shared" si="22"/>
        <v>http://www.badatelna.eu/reprodukce/?fondId=1073&amp;zaznamId=1108956&amp;reproId=3779617</v>
      </c>
      <c r="K1435">
        <f>IF(LEN(TRIM(E1435))=0,"",VLOOKUP(E1435,Sheet2!$B$1:$E$19,2,FALSE))</f>
        <v>1073</v>
      </c>
      <c r="L1435">
        <f>IF(LEN(TRIM(E1435))=0,"",VLOOKUP(E1435,Sheet2!$B$1:$E$19,3,FALSE))</f>
        <v>1108956</v>
      </c>
      <c r="M1435">
        <f>IF(LEN(TRIM(E1435))=0,"",VLOOKUP(E1435,Sheet2!$B$1:$E$19,4,FALSE))+(F1435-1)</f>
        <v>3779617</v>
      </c>
    </row>
    <row r="1436" spans="1:17" s="1" customFormat="1" ht="15" customHeight="1" x14ac:dyDescent="0.25">
      <c r="A1436" s="28" t="s">
        <v>442</v>
      </c>
      <c r="B1436" s="28" t="s">
        <v>332</v>
      </c>
      <c r="C1436" s="1">
        <v>1848</v>
      </c>
      <c r="D1436" s="1" t="s">
        <v>2919</v>
      </c>
      <c r="E1436" s="1">
        <v>998</v>
      </c>
      <c r="F1436" s="28">
        <v>11</v>
      </c>
      <c r="G1436" s="1">
        <v>9</v>
      </c>
      <c r="H1436" s="1">
        <v>72</v>
      </c>
      <c r="I1436" s="1">
        <v>69</v>
      </c>
      <c r="J1436" t="str">
        <f t="shared" si="22"/>
        <v>http://www.badatelna.eu/reprodukce/?fondId=241&amp;zaznamId=1133738&amp;reproId=3885657</v>
      </c>
      <c r="K1436">
        <f>IF(LEN(TRIM(E1436))=0,"",VLOOKUP(E1436,Sheet2!$B$1:$E$19,2,FALSE))</f>
        <v>241</v>
      </c>
      <c r="L1436">
        <f>IF(LEN(TRIM(E1436))=0,"",VLOOKUP(E1436,Sheet2!$B$1:$E$19,3,FALSE))</f>
        <v>1133738</v>
      </c>
      <c r="M1436">
        <f>IF(LEN(TRIM(E1436))=0,"",VLOOKUP(E1436,Sheet2!$B$1:$E$19,4,FALSE))+(F1436-1)</f>
        <v>3885657</v>
      </c>
    </row>
    <row r="1437" spans="1:17" s="1" customFormat="1" ht="15" customHeight="1" x14ac:dyDescent="0.25">
      <c r="A1437" s="28" t="s">
        <v>442</v>
      </c>
      <c r="B1437" s="28" t="s">
        <v>443</v>
      </c>
      <c r="C1437" s="1">
        <v>1855</v>
      </c>
      <c r="D1437" s="1" t="s">
        <v>2919</v>
      </c>
      <c r="E1437" s="1">
        <v>998</v>
      </c>
      <c r="F1437" s="28">
        <v>46</v>
      </c>
      <c r="G1437" s="1">
        <v>44</v>
      </c>
      <c r="H1437" s="1">
        <v>72</v>
      </c>
      <c r="I1437" s="1">
        <v>69</v>
      </c>
      <c r="J1437" t="str">
        <f t="shared" si="22"/>
        <v>http://www.badatelna.eu/reprodukce/?fondId=241&amp;zaznamId=1133738&amp;reproId=3885692</v>
      </c>
      <c r="K1437">
        <f>IF(LEN(TRIM(E1437))=0,"",VLOOKUP(E1437,Sheet2!$B$1:$E$19,2,FALSE))</f>
        <v>241</v>
      </c>
      <c r="L1437">
        <f>IF(LEN(TRIM(E1437))=0,"",VLOOKUP(E1437,Sheet2!$B$1:$E$19,3,FALSE))</f>
        <v>1133738</v>
      </c>
      <c r="M1437">
        <f>IF(LEN(TRIM(E1437))=0,"",VLOOKUP(E1437,Sheet2!$B$1:$E$19,4,FALSE))+(F1437-1)</f>
        <v>3885692</v>
      </c>
    </row>
    <row r="1438" spans="1:17" s="1" customFormat="1" ht="15" customHeight="1" x14ac:dyDescent="0.25">
      <c r="A1438" s="28" t="s">
        <v>442</v>
      </c>
      <c r="B1438" s="28" t="s">
        <v>2922</v>
      </c>
      <c r="C1438" s="1">
        <v>1854</v>
      </c>
      <c r="D1438" s="1" t="s">
        <v>2919</v>
      </c>
      <c r="E1438" s="1">
        <v>998</v>
      </c>
      <c r="F1438" s="28">
        <v>42</v>
      </c>
      <c r="G1438" s="1">
        <v>40</v>
      </c>
      <c r="H1438" s="1">
        <v>72</v>
      </c>
      <c r="I1438" s="1">
        <v>69</v>
      </c>
      <c r="J1438" t="str">
        <f t="shared" si="22"/>
        <v>http://www.badatelna.eu/reprodukce/?fondId=241&amp;zaznamId=1133738&amp;reproId=3885688</v>
      </c>
      <c r="K1438">
        <f>IF(LEN(TRIM(E1438))=0,"",VLOOKUP(E1438,Sheet2!$B$1:$E$19,2,FALSE))</f>
        <v>241</v>
      </c>
      <c r="L1438">
        <f>IF(LEN(TRIM(E1438))=0,"",VLOOKUP(E1438,Sheet2!$B$1:$E$19,3,FALSE))</f>
        <v>1133738</v>
      </c>
      <c r="M1438">
        <f>IF(LEN(TRIM(E1438))=0,"",VLOOKUP(E1438,Sheet2!$B$1:$E$19,4,FALSE))+(F1438-1)</f>
        <v>3885688</v>
      </c>
    </row>
    <row r="1439" spans="1:17" s="1" customFormat="1" ht="15" customHeight="1" x14ac:dyDescent="0.25">
      <c r="A1439" s="28" t="s">
        <v>442</v>
      </c>
      <c r="B1439" s="28" t="s">
        <v>2922</v>
      </c>
      <c r="C1439" s="1">
        <v>1855</v>
      </c>
      <c r="D1439" s="1" t="s">
        <v>2919</v>
      </c>
      <c r="E1439" s="1">
        <v>998</v>
      </c>
      <c r="F1439" s="28">
        <v>44</v>
      </c>
      <c r="G1439" s="1">
        <v>42</v>
      </c>
      <c r="H1439" s="1">
        <v>72</v>
      </c>
      <c r="I1439" s="1">
        <v>69</v>
      </c>
      <c r="J1439" t="str">
        <f t="shared" si="22"/>
        <v>http://www.badatelna.eu/reprodukce/?fondId=241&amp;zaznamId=1133738&amp;reproId=3885690</v>
      </c>
      <c r="K1439">
        <f>IF(LEN(TRIM(E1439))=0,"",VLOOKUP(E1439,Sheet2!$B$1:$E$19,2,FALSE))</f>
        <v>241</v>
      </c>
      <c r="L1439">
        <f>IF(LEN(TRIM(E1439))=0,"",VLOOKUP(E1439,Sheet2!$B$1:$E$19,3,FALSE))</f>
        <v>1133738</v>
      </c>
      <c r="M1439">
        <f>IF(LEN(TRIM(E1439))=0,"",VLOOKUP(E1439,Sheet2!$B$1:$E$19,4,FALSE))+(F1439-1)</f>
        <v>3885690</v>
      </c>
    </row>
    <row r="1440" spans="1:17" s="1" customFormat="1" ht="15" customHeight="1" x14ac:dyDescent="0.25">
      <c r="A1440" s="28" t="s">
        <v>442</v>
      </c>
      <c r="B1440" s="28" t="s">
        <v>213</v>
      </c>
      <c r="C1440" s="6" t="s">
        <v>1569</v>
      </c>
      <c r="D1440" s="1" t="s">
        <v>454</v>
      </c>
      <c r="E1440" s="1">
        <v>2172</v>
      </c>
      <c r="F1440" s="28">
        <v>23</v>
      </c>
      <c r="G1440" s="9">
        <v>22</v>
      </c>
      <c r="H1440" s="1">
        <v>24</v>
      </c>
      <c r="I1440" s="1">
        <v>23</v>
      </c>
      <c r="J1440" t="str">
        <f t="shared" si="22"/>
        <v>http://www.badatelna.eu/reprodukce/?fondId=1073&amp;zaznamId=1108958&amp;reproId=3779764</v>
      </c>
      <c r="K1440">
        <f>IF(LEN(TRIM(E1440))=0,"",VLOOKUP(E1440,Sheet2!$B$1:$E$19,2,FALSE))</f>
        <v>1073</v>
      </c>
      <c r="L1440">
        <f>IF(LEN(TRIM(E1440))=0,"",VLOOKUP(E1440,Sheet2!$B$1:$E$19,3,FALSE))</f>
        <v>1108958</v>
      </c>
      <c r="M1440">
        <f>IF(LEN(TRIM(E1440))=0,"",VLOOKUP(E1440,Sheet2!$B$1:$E$19,4,FALSE))+(F1440-1)</f>
        <v>3779764</v>
      </c>
    </row>
    <row r="1441" spans="1:17" s="1" customFormat="1" ht="15" customHeight="1" x14ac:dyDescent="0.25">
      <c r="A1441" s="28" t="s">
        <v>442</v>
      </c>
      <c r="B1441" s="28" t="s">
        <v>28</v>
      </c>
      <c r="C1441" s="1">
        <v>1855</v>
      </c>
      <c r="D1441" s="1" t="s">
        <v>2919</v>
      </c>
      <c r="E1441" s="1">
        <v>998</v>
      </c>
      <c r="F1441" s="28">
        <v>46</v>
      </c>
      <c r="G1441" s="1">
        <v>44</v>
      </c>
      <c r="H1441" s="1">
        <v>72</v>
      </c>
      <c r="I1441" s="1">
        <v>69</v>
      </c>
      <c r="J1441" t="str">
        <f t="shared" si="22"/>
        <v>http://www.badatelna.eu/reprodukce/?fondId=241&amp;zaznamId=1133738&amp;reproId=3885692</v>
      </c>
      <c r="K1441">
        <f>IF(LEN(TRIM(E1441))=0,"",VLOOKUP(E1441,Sheet2!$B$1:$E$19,2,FALSE))</f>
        <v>241</v>
      </c>
      <c r="L1441">
        <f>IF(LEN(TRIM(E1441))=0,"",VLOOKUP(E1441,Sheet2!$B$1:$E$19,3,FALSE))</f>
        <v>1133738</v>
      </c>
      <c r="M1441">
        <f>IF(LEN(TRIM(E1441))=0,"",VLOOKUP(E1441,Sheet2!$B$1:$E$19,4,FALSE))+(F1441-1)</f>
        <v>3885692</v>
      </c>
    </row>
    <row r="1442" spans="1:17" s="1" customFormat="1" ht="15" customHeight="1" x14ac:dyDescent="0.25">
      <c r="A1442" s="27" t="s">
        <v>442</v>
      </c>
      <c r="B1442" s="27" t="s">
        <v>28</v>
      </c>
      <c r="C1442" s="5" t="s">
        <v>1231</v>
      </c>
      <c r="D1442" s="3" t="s">
        <v>454</v>
      </c>
      <c r="E1442" s="3">
        <v>2170</v>
      </c>
      <c r="F1442" s="28">
        <v>57</v>
      </c>
      <c r="G1442" s="10" t="s">
        <v>3075</v>
      </c>
      <c r="H1442" s="3">
        <v>64</v>
      </c>
      <c r="I1442" s="3">
        <v>60</v>
      </c>
      <c r="J1442" t="str">
        <f t="shared" si="22"/>
        <v>http://www.badatelna.eu/reprodukce/?fondId=1073&amp;zaznamId=1108956&amp;reproId=3779649</v>
      </c>
      <c r="K1442">
        <f>IF(LEN(TRIM(E1442))=0,"",VLOOKUP(E1442,Sheet2!$B$1:$E$19,2,FALSE))</f>
        <v>1073</v>
      </c>
      <c r="L1442">
        <f>IF(LEN(TRIM(E1442))=0,"",VLOOKUP(E1442,Sheet2!$B$1:$E$19,3,FALSE))</f>
        <v>1108956</v>
      </c>
      <c r="M1442">
        <f>IF(LEN(TRIM(E1442))=0,"",VLOOKUP(E1442,Sheet2!$B$1:$E$19,4,FALSE))+(F1442-1)</f>
        <v>3779649</v>
      </c>
      <c r="N1442"/>
      <c r="O1442"/>
      <c r="P1442"/>
      <c r="Q1442"/>
    </row>
    <row r="1443" spans="1:17" s="1" customFormat="1" ht="15" customHeight="1" x14ac:dyDescent="0.25">
      <c r="A1443" s="27" t="s">
        <v>442</v>
      </c>
      <c r="B1443" s="27" t="s">
        <v>306</v>
      </c>
      <c r="C1443" s="5" t="s">
        <v>1230</v>
      </c>
      <c r="D1443" s="3" t="s">
        <v>454</v>
      </c>
      <c r="E1443" s="3">
        <v>2170</v>
      </c>
      <c r="F1443" s="28">
        <v>7</v>
      </c>
      <c r="G1443" s="10">
        <v>3</v>
      </c>
      <c r="H1443" s="3">
        <v>64</v>
      </c>
      <c r="I1443" s="3">
        <v>60</v>
      </c>
      <c r="J1443" t="str">
        <f t="shared" si="22"/>
        <v>http://www.badatelna.eu/reprodukce/?fondId=1073&amp;zaznamId=1108956&amp;reproId=3779599</v>
      </c>
      <c r="K1443">
        <f>IF(LEN(TRIM(E1443))=0,"",VLOOKUP(E1443,Sheet2!$B$1:$E$19,2,FALSE))</f>
        <v>1073</v>
      </c>
      <c r="L1443">
        <f>IF(LEN(TRIM(E1443))=0,"",VLOOKUP(E1443,Sheet2!$B$1:$E$19,3,FALSE))</f>
        <v>1108956</v>
      </c>
      <c r="M1443">
        <f>IF(LEN(TRIM(E1443))=0,"",VLOOKUP(E1443,Sheet2!$B$1:$E$19,4,FALSE))+(F1443-1)</f>
        <v>3779599</v>
      </c>
    </row>
    <row r="1444" spans="1:17" s="1" customFormat="1" ht="15" customHeight="1" x14ac:dyDescent="0.25">
      <c r="A1444" s="28" t="s">
        <v>442</v>
      </c>
      <c r="B1444" s="28" t="s">
        <v>542</v>
      </c>
      <c r="C1444" s="1">
        <v>1863</v>
      </c>
      <c r="D1444" s="1" t="s">
        <v>2919</v>
      </c>
      <c r="E1444" s="1">
        <v>999</v>
      </c>
      <c r="F1444" s="28">
        <v>83</v>
      </c>
      <c r="G1444" s="1">
        <v>4</v>
      </c>
      <c r="H1444" s="1">
        <v>103</v>
      </c>
      <c r="I1444" s="1">
        <v>162</v>
      </c>
      <c r="J1444" t="str">
        <f t="shared" si="22"/>
        <v>http://www.badatelna.eu/reprodukce/?fondId=241&amp;zaznamId=1133739&amp;reproId=3885812</v>
      </c>
      <c r="K1444">
        <f>IF(LEN(TRIM(E1444))=0,"",VLOOKUP(E1444,Sheet2!$B$1:$E$19,2,FALSE))</f>
        <v>241</v>
      </c>
      <c r="L1444">
        <f>IF(LEN(TRIM(E1444))=0,"",VLOOKUP(E1444,Sheet2!$B$1:$E$19,3,FALSE))</f>
        <v>1133739</v>
      </c>
      <c r="M1444">
        <f>IF(LEN(TRIM(E1444))=0,"",VLOOKUP(E1444,Sheet2!$B$1:$E$19,4,FALSE))+(F1444-1)</f>
        <v>3885812</v>
      </c>
    </row>
    <row r="1445" spans="1:17" s="1" customFormat="1" ht="15" customHeight="1" x14ac:dyDescent="0.25">
      <c r="A1445" s="28" t="s">
        <v>442</v>
      </c>
      <c r="B1445" s="28" t="s">
        <v>254</v>
      </c>
      <c r="C1445" s="6" t="s">
        <v>1659</v>
      </c>
      <c r="D1445" s="1" t="s">
        <v>454</v>
      </c>
      <c r="E1445" s="1">
        <v>2172</v>
      </c>
      <c r="F1445" s="28">
        <v>101</v>
      </c>
      <c r="G1445" s="9">
        <v>100</v>
      </c>
      <c r="H1445" s="1">
        <v>103</v>
      </c>
      <c r="I1445" s="1">
        <v>102</v>
      </c>
      <c r="J1445" t="str">
        <f t="shared" si="22"/>
        <v>http://www.badatelna.eu/reprodukce/?fondId=1073&amp;zaznamId=1108958&amp;reproId=3779842</v>
      </c>
      <c r="K1445">
        <f>IF(LEN(TRIM(E1445))=0,"",VLOOKUP(E1445,Sheet2!$B$1:$E$19,2,FALSE))</f>
        <v>1073</v>
      </c>
      <c r="L1445">
        <f>IF(LEN(TRIM(E1445))=0,"",VLOOKUP(E1445,Sheet2!$B$1:$E$19,3,FALSE))</f>
        <v>1108958</v>
      </c>
      <c r="M1445">
        <f>IF(LEN(TRIM(E1445))=0,"",VLOOKUP(E1445,Sheet2!$B$1:$E$19,4,FALSE))+(F1445-1)</f>
        <v>3779842</v>
      </c>
    </row>
    <row r="1446" spans="1:17" s="1" customFormat="1" ht="15" customHeight="1" x14ac:dyDescent="0.25">
      <c r="A1446" s="28" t="s">
        <v>442</v>
      </c>
      <c r="B1446" s="28" t="s">
        <v>469</v>
      </c>
      <c r="C1446" s="6" t="s">
        <v>1611</v>
      </c>
      <c r="D1446" s="1" t="s">
        <v>454</v>
      </c>
      <c r="E1446" s="1">
        <v>2172</v>
      </c>
      <c r="F1446" s="28">
        <v>74</v>
      </c>
      <c r="G1446" s="9">
        <v>73</v>
      </c>
      <c r="H1446" s="1">
        <v>76</v>
      </c>
      <c r="I1446" s="1">
        <v>75</v>
      </c>
      <c r="J1446" t="str">
        <f t="shared" si="22"/>
        <v>http://www.badatelna.eu/reprodukce/?fondId=1073&amp;zaznamId=1108958&amp;reproId=3779815</v>
      </c>
      <c r="K1446">
        <f>IF(LEN(TRIM(E1446))=0,"",VLOOKUP(E1446,Sheet2!$B$1:$E$19,2,FALSE))</f>
        <v>1073</v>
      </c>
      <c r="L1446">
        <f>IF(LEN(TRIM(E1446))=0,"",VLOOKUP(E1446,Sheet2!$B$1:$E$19,3,FALSE))</f>
        <v>1108958</v>
      </c>
      <c r="M1446">
        <f>IF(LEN(TRIM(E1446))=0,"",VLOOKUP(E1446,Sheet2!$B$1:$E$19,4,FALSE))+(F1446-1)</f>
        <v>3779815</v>
      </c>
    </row>
    <row r="1447" spans="1:17" s="1" customFormat="1" ht="15" customHeight="1" x14ac:dyDescent="0.25">
      <c r="A1447" s="28" t="s">
        <v>442</v>
      </c>
      <c r="B1447" s="28" t="s">
        <v>932</v>
      </c>
      <c r="C1447" s="6" t="s">
        <v>1599</v>
      </c>
      <c r="D1447" s="1" t="s">
        <v>454</v>
      </c>
      <c r="E1447" s="1">
        <v>2172</v>
      </c>
      <c r="F1447" s="28">
        <v>66</v>
      </c>
      <c r="G1447" s="9">
        <v>65</v>
      </c>
      <c r="H1447" s="1" t="s">
        <v>3073</v>
      </c>
      <c r="I1447" s="1" t="s">
        <v>3073</v>
      </c>
      <c r="J1447" t="str">
        <f t="shared" si="22"/>
        <v>http://www.badatelna.eu/reprodukce/?fondId=1073&amp;zaznamId=1108958&amp;reproId=3779807</v>
      </c>
      <c r="K1447">
        <f>IF(LEN(TRIM(E1447))=0,"",VLOOKUP(E1447,Sheet2!$B$1:$E$19,2,FALSE))</f>
        <v>1073</v>
      </c>
      <c r="L1447">
        <f>IF(LEN(TRIM(E1447))=0,"",VLOOKUP(E1447,Sheet2!$B$1:$E$19,3,FALSE))</f>
        <v>1108958</v>
      </c>
      <c r="M1447">
        <f>IF(LEN(TRIM(E1447))=0,"",VLOOKUP(E1447,Sheet2!$B$1:$E$19,4,FALSE))+(F1447-1)</f>
        <v>3779807</v>
      </c>
      <c r="N1447"/>
      <c r="O1447"/>
      <c r="P1447"/>
      <c r="Q1447"/>
    </row>
    <row r="1448" spans="1:17" s="1" customFormat="1" ht="15" customHeight="1" x14ac:dyDescent="0.25">
      <c r="A1448" s="29" t="s">
        <v>2802</v>
      </c>
      <c r="B1448" s="28" t="s">
        <v>29</v>
      </c>
      <c r="C1448" s="6" t="s">
        <v>2323</v>
      </c>
      <c r="D1448" s="1" t="s">
        <v>454</v>
      </c>
      <c r="E1448" s="1">
        <v>2173</v>
      </c>
      <c r="F1448" s="31">
        <v>199</v>
      </c>
      <c r="G1448" s="9">
        <v>8</v>
      </c>
      <c r="H1448" s="1" t="s">
        <v>3073</v>
      </c>
      <c r="I1448" s="1" t="s">
        <v>3073</v>
      </c>
      <c r="J1448" t="str">
        <f t="shared" si="22"/>
        <v>http://www.badatelna.eu/reprodukce/?fondId=1073&amp;zaznamId=1108959&amp;reproId=3780192</v>
      </c>
      <c r="K1448">
        <f>IF(LEN(TRIM(E1448))=0,"",VLOOKUP(E1448,Sheet2!$B$1:$E$19,2,FALSE))</f>
        <v>1073</v>
      </c>
      <c r="L1448">
        <f>IF(LEN(TRIM(E1448))=0,"",VLOOKUP(E1448,Sheet2!$B$1:$E$19,3,FALSE))</f>
        <v>1108959</v>
      </c>
      <c r="M1448">
        <f>IF(LEN(TRIM(E1448))=0,"",VLOOKUP(E1448,Sheet2!$B$1:$E$19,4,FALSE))+(F1448-1)</f>
        <v>3780192</v>
      </c>
    </row>
    <row r="1449" spans="1:17" s="1" customFormat="1" ht="15" customHeight="1" x14ac:dyDescent="0.25">
      <c r="A1449" s="28" t="s">
        <v>98</v>
      </c>
      <c r="B1449" s="28" t="s">
        <v>49</v>
      </c>
      <c r="C1449" s="6" t="s">
        <v>2299</v>
      </c>
      <c r="D1449" s="1" t="s">
        <v>454</v>
      </c>
      <c r="E1449" s="1">
        <v>2173</v>
      </c>
      <c r="F1449" s="28">
        <v>198</v>
      </c>
      <c r="G1449" s="9">
        <v>6</v>
      </c>
      <c r="H1449" s="1" t="s">
        <v>3073</v>
      </c>
      <c r="I1449" s="1" t="s">
        <v>3073</v>
      </c>
      <c r="J1449" t="str">
        <f t="shared" si="22"/>
        <v>http://www.badatelna.eu/reprodukce/?fondId=1073&amp;zaznamId=1108959&amp;reproId=3780191</v>
      </c>
      <c r="K1449">
        <f>IF(LEN(TRIM(E1449))=0,"",VLOOKUP(E1449,Sheet2!$B$1:$E$19,2,FALSE))</f>
        <v>1073</v>
      </c>
      <c r="L1449">
        <f>IF(LEN(TRIM(E1449))=0,"",VLOOKUP(E1449,Sheet2!$B$1:$E$19,3,FALSE))</f>
        <v>1108959</v>
      </c>
      <c r="M1449">
        <f>IF(LEN(TRIM(E1449))=0,"",VLOOKUP(E1449,Sheet2!$B$1:$E$19,4,FALSE))+(F1449-1)</f>
        <v>3780191</v>
      </c>
      <c r="N1449"/>
      <c r="O1449"/>
      <c r="P1449"/>
      <c r="Q1449"/>
    </row>
    <row r="1450" spans="1:17" s="1" customFormat="1" ht="15" customHeight="1" x14ac:dyDescent="0.25">
      <c r="A1450" s="28" t="s">
        <v>108</v>
      </c>
      <c r="B1450" s="28" t="s">
        <v>13</v>
      </c>
      <c r="C1450" s="6" t="s">
        <v>2324</v>
      </c>
      <c r="D1450" s="1" t="s">
        <v>454</v>
      </c>
      <c r="E1450" s="1">
        <v>2173</v>
      </c>
      <c r="F1450" s="31">
        <v>199</v>
      </c>
      <c r="G1450" s="9">
        <v>7</v>
      </c>
      <c r="H1450" s="1" t="s">
        <v>3073</v>
      </c>
      <c r="I1450" s="1" t="s">
        <v>3073</v>
      </c>
      <c r="J1450" t="str">
        <f t="shared" si="22"/>
        <v>http://www.badatelna.eu/reprodukce/?fondId=1073&amp;zaznamId=1108959&amp;reproId=3780192</v>
      </c>
      <c r="K1450">
        <f>IF(LEN(TRIM(E1450))=0,"",VLOOKUP(E1450,Sheet2!$B$1:$E$19,2,FALSE))</f>
        <v>1073</v>
      </c>
      <c r="L1450">
        <f>IF(LEN(TRIM(E1450))=0,"",VLOOKUP(E1450,Sheet2!$B$1:$E$19,3,FALSE))</f>
        <v>1108959</v>
      </c>
      <c r="M1450">
        <f>IF(LEN(TRIM(E1450))=0,"",VLOOKUP(E1450,Sheet2!$B$1:$E$19,4,FALSE))+(F1450-1)</f>
        <v>3780192</v>
      </c>
    </row>
    <row r="1451" spans="1:17" s="1" customFormat="1" ht="15" customHeight="1" x14ac:dyDescent="0.25">
      <c r="A1451" s="28" t="s">
        <v>933</v>
      </c>
      <c r="B1451" s="28" t="s">
        <v>934</v>
      </c>
      <c r="C1451" s="6" t="s">
        <v>1740</v>
      </c>
      <c r="D1451" s="1" t="s">
        <v>454</v>
      </c>
      <c r="E1451" s="1">
        <v>2172</v>
      </c>
      <c r="F1451" s="28">
        <v>129</v>
      </c>
      <c r="G1451" s="9" t="s">
        <v>2775</v>
      </c>
      <c r="H1451" s="1">
        <v>132</v>
      </c>
      <c r="I1451" s="1">
        <v>131</v>
      </c>
      <c r="J1451" t="str">
        <f t="shared" si="22"/>
        <v>http://www.badatelna.eu/reprodukce/?fondId=1073&amp;zaznamId=1108958&amp;reproId=3779870</v>
      </c>
      <c r="K1451">
        <f>IF(LEN(TRIM(E1451))=0,"",VLOOKUP(E1451,Sheet2!$B$1:$E$19,2,FALSE))</f>
        <v>1073</v>
      </c>
      <c r="L1451">
        <f>IF(LEN(TRIM(E1451))=0,"",VLOOKUP(E1451,Sheet2!$B$1:$E$19,3,FALSE))</f>
        <v>1108958</v>
      </c>
      <c r="M1451">
        <f>IF(LEN(TRIM(E1451))=0,"",VLOOKUP(E1451,Sheet2!$B$1:$E$19,4,FALSE))+(F1451-1)</f>
        <v>3779870</v>
      </c>
    </row>
    <row r="1452" spans="1:17" s="1" customFormat="1" ht="15" customHeight="1" x14ac:dyDescent="0.2">
      <c r="A1452" s="32" t="s">
        <v>933</v>
      </c>
      <c r="B1452" s="31" t="s">
        <v>56</v>
      </c>
      <c r="C1452" s="7" t="s">
        <v>2268</v>
      </c>
      <c r="D1452" s="1" t="s">
        <v>454</v>
      </c>
      <c r="E1452" s="1">
        <v>2173</v>
      </c>
      <c r="F1452" s="31">
        <v>197</v>
      </c>
      <c r="G1452" s="12">
        <v>3</v>
      </c>
      <c r="H1452" s="1" t="s">
        <v>3073</v>
      </c>
      <c r="I1452" s="1" t="s">
        <v>3073</v>
      </c>
      <c r="J1452" t="str">
        <f t="shared" si="22"/>
        <v>http://www.badatelna.eu/reprodukce/?fondId=1073&amp;zaznamId=1108959&amp;reproId=3780190</v>
      </c>
      <c r="K1452">
        <f>IF(LEN(TRIM(E1452))=0,"",VLOOKUP(E1452,Sheet2!$B$1:$E$19,2,FALSE))</f>
        <v>1073</v>
      </c>
      <c r="L1452">
        <f>IF(LEN(TRIM(E1452))=0,"",VLOOKUP(E1452,Sheet2!$B$1:$E$19,3,FALSE))</f>
        <v>1108959</v>
      </c>
      <c r="M1452">
        <f>IF(LEN(TRIM(E1452))=0,"",VLOOKUP(E1452,Sheet2!$B$1:$E$19,4,FALSE))+(F1452-1)</f>
        <v>3780190</v>
      </c>
      <c r="N1452"/>
      <c r="O1452"/>
      <c r="P1452"/>
      <c r="Q1452"/>
    </row>
    <row r="1453" spans="1:17" s="1" customFormat="1" ht="15" customHeight="1" x14ac:dyDescent="0.25">
      <c r="A1453" s="28" t="s">
        <v>933</v>
      </c>
      <c r="B1453" s="29" t="s">
        <v>2975</v>
      </c>
      <c r="C1453" s="1">
        <v>1849</v>
      </c>
      <c r="D1453" s="1" t="s">
        <v>2919</v>
      </c>
      <c r="E1453" s="1">
        <v>998</v>
      </c>
      <c r="F1453" s="28">
        <v>22</v>
      </c>
      <c r="G1453" s="1">
        <v>20</v>
      </c>
      <c r="H1453" s="1">
        <v>72</v>
      </c>
      <c r="I1453" s="1">
        <v>69</v>
      </c>
      <c r="J1453" t="str">
        <f t="shared" si="22"/>
        <v>http://www.badatelna.eu/reprodukce/?fondId=241&amp;zaznamId=1133738&amp;reproId=3885668</v>
      </c>
      <c r="K1453">
        <f>IF(LEN(TRIM(E1453))=0,"",VLOOKUP(E1453,Sheet2!$B$1:$E$19,2,FALSE))</f>
        <v>241</v>
      </c>
      <c r="L1453">
        <f>IF(LEN(TRIM(E1453))=0,"",VLOOKUP(E1453,Sheet2!$B$1:$E$19,3,FALSE))</f>
        <v>1133738</v>
      </c>
      <c r="M1453">
        <f>IF(LEN(TRIM(E1453))=0,"",VLOOKUP(E1453,Sheet2!$B$1:$E$19,4,FALSE))+(F1453-1)</f>
        <v>3885668</v>
      </c>
      <c r="N1453"/>
      <c r="O1453"/>
      <c r="P1453"/>
      <c r="Q1453"/>
    </row>
    <row r="1454" spans="1:17" s="1" customFormat="1" ht="15" customHeight="1" x14ac:dyDescent="0.25">
      <c r="A1454" s="28" t="s">
        <v>1030</v>
      </c>
      <c r="B1454" s="28" t="s">
        <v>123</v>
      </c>
      <c r="C1454" s="6" t="s">
        <v>2325</v>
      </c>
      <c r="D1454" s="1" t="s">
        <v>454</v>
      </c>
      <c r="E1454" s="1">
        <v>2173</v>
      </c>
      <c r="F1454" s="31">
        <v>199</v>
      </c>
      <c r="G1454" s="9">
        <v>8</v>
      </c>
      <c r="H1454" s="1" t="s">
        <v>3073</v>
      </c>
      <c r="I1454" s="1" t="s">
        <v>3073</v>
      </c>
      <c r="J1454" t="str">
        <f t="shared" si="22"/>
        <v>http://www.badatelna.eu/reprodukce/?fondId=1073&amp;zaznamId=1108959&amp;reproId=3780192</v>
      </c>
      <c r="K1454">
        <f>IF(LEN(TRIM(E1454))=0,"",VLOOKUP(E1454,Sheet2!$B$1:$E$19,2,FALSE))</f>
        <v>1073</v>
      </c>
      <c r="L1454">
        <f>IF(LEN(TRIM(E1454))=0,"",VLOOKUP(E1454,Sheet2!$B$1:$E$19,3,FALSE))</f>
        <v>1108959</v>
      </c>
      <c r="M1454">
        <f>IF(LEN(TRIM(E1454))=0,"",VLOOKUP(E1454,Sheet2!$B$1:$E$19,4,FALSE))+(F1454-1)</f>
        <v>3780192</v>
      </c>
      <c r="N1454"/>
      <c r="O1454"/>
      <c r="P1454"/>
      <c r="Q1454"/>
    </row>
    <row r="1455" spans="1:17" s="1" customFormat="1" ht="15" customHeight="1" x14ac:dyDescent="0.25">
      <c r="A1455" s="29" t="s">
        <v>1030</v>
      </c>
      <c r="B1455" s="28" t="s">
        <v>123</v>
      </c>
      <c r="C1455" s="6" t="s">
        <v>2101</v>
      </c>
      <c r="D1455" s="1" t="s">
        <v>454</v>
      </c>
      <c r="E1455" s="1">
        <v>2173</v>
      </c>
      <c r="F1455" s="29">
        <v>178</v>
      </c>
      <c r="G1455" s="20" t="s">
        <v>2774</v>
      </c>
      <c r="H1455" s="17">
        <v>189</v>
      </c>
      <c r="I1455" s="17">
        <v>421</v>
      </c>
      <c r="J1455" t="str">
        <f t="shared" si="22"/>
        <v>http://www.badatelna.eu/reprodukce/?fondId=1073&amp;zaznamId=1108959&amp;reproId=3780171</v>
      </c>
      <c r="K1455">
        <f>IF(LEN(TRIM(E1455))=0,"",VLOOKUP(E1455,Sheet2!$B$1:$E$19,2,FALSE))</f>
        <v>1073</v>
      </c>
      <c r="L1455">
        <f>IF(LEN(TRIM(E1455))=0,"",VLOOKUP(E1455,Sheet2!$B$1:$E$19,3,FALSE))</f>
        <v>1108959</v>
      </c>
      <c r="M1455">
        <f>IF(LEN(TRIM(E1455))=0,"",VLOOKUP(E1455,Sheet2!$B$1:$E$19,4,FALSE))+(F1455-1)</f>
        <v>3780171</v>
      </c>
    </row>
    <row r="1456" spans="1:17" s="1" customFormat="1" ht="15" customHeight="1" x14ac:dyDescent="0.25">
      <c r="A1456" s="28" t="s">
        <v>1030</v>
      </c>
      <c r="B1456" s="28" t="s">
        <v>19</v>
      </c>
      <c r="C1456" s="6" t="s">
        <v>2562</v>
      </c>
      <c r="D1456" s="1" t="s">
        <v>454</v>
      </c>
      <c r="E1456" s="1">
        <v>2173</v>
      </c>
      <c r="F1456" s="28">
        <v>208</v>
      </c>
      <c r="G1456" s="1">
        <v>25</v>
      </c>
      <c r="H1456" s="1" t="s">
        <v>3073</v>
      </c>
      <c r="I1456" s="1" t="s">
        <v>3073</v>
      </c>
      <c r="J1456" t="str">
        <f t="shared" si="22"/>
        <v>http://www.badatelna.eu/reprodukce/?fondId=1073&amp;zaznamId=1108959&amp;reproId=3780201</v>
      </c>
      <c r="K1456">
        <f>IF(LEN(TRIM(E1456))=0,"",VLOOKUP(E1456,Sheet2!$B$1:$E$19,2,FALSE))</f>
        <v>1073</v>
      </c>
      <c r="L1456">
        <f>IF(LEN(TRIM(E1456))=0,"",VLOOKUP(E1456,Sheet2!$B$1:$E$19,3,FALSE))</f>
        <v>1108959</v>
      </c>
      <c r="M1456">
        <f>IF(LEN(TRIM(E1456))=0,"",VLOOKUP(E1456,Sheet2!$B$1:$E$19,4,FALSE))+(F1456-1)</f>
        <v>3780201</v>
      </c>
    </row>
    <row r="1457" spans="1:17" s="1" customFormat="1" ht="15" customHeight="1" x14ac:dyDescent="0.25">
      <c r="A1457" s="28" t="s">
        <v>1030</v>
      </c>
      <c r="B1457" s="28" t="s">
        <v>39</v>
      </c>
      <c r="C1457" s="6" t="s">
        <v>2284</v>
      </c>
      <c r="D1457" s="1" t="s">
        <v>454</v>
      </c>
      <c r="E1457" s="1">
        <v>2173</v>
      </c>
      <c r="F1457" s="28">
        <v>198</v>
      </c>
      <c r="G1457" s="9">
        <v>6</v>
      </c>
      <c r="H1457" s="1" t="s">
        <v>3073</v>
      </c>
      <c r="I1457" s="1" t="s">
        <v>3073</v>
      </c>
      <c r="J1457" t="str">
        <f t="shared" si="22"/>
        <v>http://www.badatelna.eu/reprodukce/?fondId=1073&amp;zaznamId=1108959&amp;reproId=3780191</v>
      </c>
      <c r="K1457">
        <f>IF(LEN(TRIM(E1457))=0,"",VLOOKUP(E1457,Sheet2!$B$1:$E$19,2,FALSE))</f>
        <v>1073</v>
      </c>
      <c r="L1457">
        <f>IF(LEN(TRIM(E1457))=0,"",VLOOKUP(E1457,Sheet2!$B$1:$E$19,3,FALSE))</f>
        <v>1108959</v>
      </c>
      <c r="M1457">
        <f>IF(LEN(TRIM(E1457))=0,"",VLOOKUP(E1457,Sheet2!$B$1:$E$19,4,FALSE))+(F1457-1)</f>
        <v>3780191</v>
      </c>
      <c r="N1457"/>
      <c r="O1457"/>
      <c r="P1457"/>
      <c r="Q1457"/>
    </row>
    <row r="1458" spans="1:17" s="1" customFormat="1" ht="15" customHeight="1" x14ac:dyDescent="0.25">
      <c r="A1458" s="28" t="s">
        <v>1030</v>
      </c>
      <c r="B1458" s="28" t="s">
        <v>265</v>
      </c>
      <c r="C1458" s="6" t="s">
        <v>2102</v>
      </c>
      <c r="D1458" s="1" t="s">
        <v>454</v>
      </c>
      <c r="E1458" s="1">
        <v>2173</v>
      </c>
      <c r="F1458" s="28">
        <v>181</v>
      </c>
      <c r="G1458" s="9">
        <v>9</v>
      </c>
      <c r="H1458" s="1">
        <v>189</v>
      </c>
      <c r="I1458" s="1">
        <v>421</v>
      </c>
      <c r="J1458" t="str">
        <f t="shared" si="22"/>
        <v>http://www.badatelna.eu/reprodukce/?fondId=1073&amp;zaznamId=1108959&amp;reproId=3780174</v>
      </c>
      <c r="K1458">
        <f>IF(LEN(TRIM(E1458))=0,"",VLOOKUP(E1458,Sheet2!$B$1:$E$19,2,FALSE))</f>
        <v>1073</v>
      </c>
      <c r="L1458">
        <f>IF(LEN(TRIM(E1458))=0,"",VLOOKUP(E1458,Sheet2!$B$1:$E$19,3,FALSE))</f>
        <v>1108959</v>
      </c>
      <c r="M1458">
        <f>IF(LEN(TRIM(E1458))=0,"",VLOOKUP(E1458,Sheet2!$B$1:$E$19,4,FALSE))+(F1458-1)</f>
        <v>3780174</v>
      </c>
      <c r="N1458"/>
      <c r="O1458"/>
      <c r="P1458"/>
      <c r="Q1458"/>
    </row>
    <row r="1459" spans="1:17" s="1" customFormat="1" ht="15" customHeight="1" x14ac:dyDescent="0.25">
      <c r="A1459" s="28" t="s">
        <v>217</v>
      </c>
      <c r="B1459" s="28" t="s">
        <v>137</v>
      </c>
      <c r="C1459" s="6" t="s">
        <v>2516</v>
      </c>
      <c r="D1459" s="1" t="s">
        <v>454</v>
      </c>
      <c r="E1459" s="1">
        <v>2173</v>
      </c>
      <c r="F1459" s="28">
        <v>206</v>
      </c>
      <c r="G1459" s="1">
        <v>21</v>
      </c>
      <c r="H1459" s="1" t="s">
        <v>3073</v>
      </c>
      <c r="I1459" s="1" t="s">
        <v>3073</v>
      </c>
      <c r="J1459" t="str">
        <f t="shared" si="22"/>
        <v>http://www.badatelna.eu/reprodukce/?fondId=1073&amp;zaznamId=1108959&amp;reproId=3780199</v>
      </c>
      <c r="K1459">
        <f>IF(LEN(TRIM(E1459))=0,"",VLOOKUP(E1459,Sheet2!$B$1:$E$19,2,FALSE))</f>
        <v>1073</v>
      </c>
      <c r="L1459">
        <f>IF(LEN(TRIM(E1459))=0,"",VLOOKUP(E1459,Sheet2!$B$1:$E$19,3,FALSE))</f>
        <v>1108959</v>
      </c>
      <c r="M1459">
        <f>IF(LEN(TRIM(E1459))=0,"",VLOOKUP(E1459,Sheet2!$B$1:$E$19,4,FALSE))+(F1459-1)</f>
        <v>3780199</v>
      </c>
    </row>
    <row r="1460" spans="1:17" s="1" customFormat="1" ht="15" customHeight="1" x14ac:dyDescent="0.25">
      <c r="A1460" s="27" t="s">
        <v>217</v>
      </c>
      <c r="B1460" s="27" t="s">
        <v>560</v>
      </c>
      <c r="C1460" s="5" t="s">
        <v>1234</v>
      </c>
      <c r="D1460" s="3" t="s">
        <v>454</v>
      </c>
      <c r="E1460" s="3">
        <v>2170</v>
      </c>
      <c r="F1460" s="28">
        <v>28</v>
      </c>
      <c r="G1460" s="10">
        <v>24</v>
      </c>
      <c r="H1460" s="3">
        <v>64</v>
      </c>
      <c r="I1460" s="3">
        <v>60</v>
      </c>
      <c r="J1460" t="str">
        <f t="shared" si="22"/>
        <v>http://www.badatelna.eu/reprodukce/?fondId=1073&amp;zaznamId=1108956&amp;reproId=3779620</v>
      </c>
      <c r="K1460">
        <f>IF(LEN(TRIM(E1460))=0,"",VLOOKUP(E1460,Sheet2!$B$1:$E$19,2,FALSE))</f>
        <v>1073</v>
      </c>
      <c r="L1460">
        <f>IF(LEN(TRIM(E1460))=0,"",VLOOKUP(E1460,Sheet2!$B$1:$E$19,3,FALSE))</f>
        <v>1108956</v>
      </c>
      <c r="M1460">
        <f>IF(LEN(TRIM(E1460))=0,"",VLOOKUP(E1460,Sheet2!$B$1:$E$19,4,FALSE))+(F1460-1)</f>
        <v>3779620</v>
      </c>
    </row>
    <row r="1461" spans="1:17" s="1" customFormat="1" ht="15" customHeight="1" x14ac:dyDescent="0.25">
      <c r="A1461" s="29" t="s">
        <v>217</v>
      </c>
      <c r="B1461" s="28" t="s">
        <v>466</v>
      </c>
      <c r="C1461" s="1">
        <v>1864</v>
      </c>
      <c r="D1461" s="1" t="s">
        <v>2919</v>
      </c>
      <c r="E1461" s="1">
        <v>999</v>
      </c>
      <c r="F1461" s="28">
        <v>87</v>
      </c>
      <c r="G1461" s="1">
        <v>8</v>
      </c>
      <c r="H1461" s="1">
        <v>103</v>
      </c>
      <c r="I1461" s="1">
        <v>162</v>
      </c>
      <c r="J1461" t="str">
        <f t="shared" si="22"/>
        <v>http://www.badatelna.eu/reprodukce/?fondId=241&amp;zaznamId=1133739&amp;reproId=3885816</v>
      </c>
      <c r="K1461">
        <f>IF(LEN(TRIM(E1461))=0,"",VLOOKUP(E1461,Sheet2!$B$1:$E$19,2,FALSE))</f>
        <v>241</v>
      </c>
      <c r="L1461">
        <f>IF(LEN(TRIM(E1461))=0,"",VLOOKUP(E1461,Sheet2!$B$1:$E$19,3,FALSE))</f>
        <v>1133739</v>
      </c>
      <c r="M1461">
        <f>IF(LEN(TRIM(E1461))=0,"",VLOOKUP(E1461,Sheet2!$B$1:$E$19,4,FALSE))+(F1461-1)</f>
        <v>3885816</v>
      </c>
    </row>
    <row r="1462" spans="1:17" s="1" customFormat="1" ht="15" customHeight="1" x14ac:dyDescent="0.25">
      <c r="A1462" s="28" t="s">
        <v>217</v>
      </c>
      <c r="B1462" s="28" t="s">
        <v>707</v>
      </c>
      <c r="C1462" s="1">
        <v>1848</v>
      </c>
      <c r="D1462" s="1" t="s">
        <v>2919</v>
      </c>
      <c r="E1462" s="1">
        <v>998</v>
      </c>
      <c r="F1462" s="28">
        <v>12</v>
      </c>
      <c r="G1462" s="1">
        <v>10</v>
      </c>
      <c r="H1462" s="1">
        <v>72</v>
      </c>
      <c r="I1462" s="1">
        <v>69</v>
      </c>
      <c r="J1462" t="str">
        <f t="shared" si="22"/>
        <v>http://www.badatelna.eu/reprodukce/?fondId=241&amp;zaznamId=1133738&amp;reproId=3885658</v>
      </c>
      <c r="K1462">
        <f>IF(LEN(TRIM(E1462))=0,"",VLOOKUP(E1462,Sheet2!$B$1:$E$19,2,FALSE))</f>
        <v>241</v>
      </c>
      <c r="L1462">
        <f>IF(LEN(TRIM(E1462))=0,"",VLOOKUP(E1462,Sheet2!$B$1:$E$19,3,FALSE))</f>
        <v>1133738</v>
      </c>
      <c r="M1462">
        <f>IF(LEN(TRIM(E1462))=0,"",VLOOKUP(E1462,Sheet2!$B$1:$E$19,4,FALSE))+(F1462-1)</f>
        <v>3885658</v>
      </c>
    </row>
    <row r="1463" spans="1:17" s="1" customFormat="1" ht="15" customHeight="1" x14ac:dyDescent="0.25">
      <c r="A1463" s="28" t="s">
        <v>217</v>
      </c>
      <c r="B1463" s="28" t="s">
        <v>155</v>
      </c>
      <c r="C1463" s="1">
        <v>1851</v>
      </c>
      <c r="D1463" s="1" t="s">
        <v>2919</v>
      </c>
      <c r="E1463" s="1">
        <v>998</v>
      </c>
      <c r="F1463" s="28">
        <v>33</v>
      </c>
      <c r="G1463" s="1">
        <v>31</v>
      </c>
      <c r="H1463" s="1">
        <v>72</v>
      </c>
      <c r="I1463" s="1">
        <v>69</v>
      </c>
      <c r="J1463" t="str">
        <f t="shared" si="22"/>
        <v>http://www.badatelna.eu/reprodukce/?fondId=241&amp;zaznamId=1133738&amp;reproId=3885679</v>
      </c>
      <c r="K1463">
        <f>IF(LEN(TRIM(E1463))=0,"",VLOOKUP(E1463,Sheet2!$B$1:$E$19,2,FALSE))</f>
        <v>241</v>
      </c>
      <c r="L1463">
        <f>IF(LEN(TRIM(E1463))=0,"",VLOOKUP(E1463,Sheet2!$B$1:$E$19,3,FALSE))</f>
        <v>1133738</v>
      </c>
      <c r="M1463">
        <f>IF(LEN(TRIM(E1463))=0,"",VLOOKUP(E1463,Sheet2!$B$1:$E$19,4,FALSE))+(F1463-1)</f>
        <v>3885679</v>
      </c>
    </row>
    <row r="1464" spans="1:17" s="1" customFormat="1" ht="15" customHeight="1" x14ac:dyDescent="0.25">
      <c r="A1464" s="28" t="s">
        <v>217</v>
      </c>
      <c r="B1464" s="28" t="s">
        <v>155</v>
      </c>
      <c r="C1464" s="1">
        <v>1853</v>
      </c>
      <c r="D1464" s="1" t="s">
        <v>2919</v>
      </c>
      <c r="E1464" s="1">
        <v>998</v>
      </c>
      <c r="F1464" s="28">
        <v>37</v>
      </c>
      <c r="G1464" s="1">
        <v>35</v>
      </c>
      <c r="H1464" s="1">
        <v>72</v>
      </c>
      <c r="I1464" s="1">
        <v>69</v>
      </c>
      <c r="J1464" t="str">
        <f t="shared" si="22"/>
        <v>http://www.badatelna.eu/reprodukce/?fondId=241&amp;zaznamId=1133738&amp;reproId=3885683</v>
      </c>
      <c r="K1464">
        <f>IF(LEN(TRIM(E1464))=0,"",VLOOKUP(E1464,Sheet2!$B$1:$E$19,2,FALSE))</f>
        <v>241</v>
      </c>
      <c r="L1464">
        <f>IF(LEN(TRIM(E1464))=0,"",VLOOKUP(E1464,Sheet2!$B$1:$E$19,3,FALSE))</f>
        <v>1133738</v>
      </c>
      <c r="M1464">
        <f>IF(LEN(TRIM(E1464))=0,"",VLOOKUP(E1464,Sheet2!$B$1:$E$19,4,FALSE))+(F1464-1)</f>
        <v>3885683</v>
      </c>
    </row>
    <row r="1465" spans="1:17" s="1" customFormat="1" ht="15" customHeight="1" x14ac:dyDescent="0.25">
      <c r="A1465" s="28" t="s">
        <v>217</v>
      </c>
      <c r="B1465" s="28" t="s">
        <v>155</v>
      </c>
      <c r="C1465" s="6" t="s">
        <v>2716</v>
      </c>
      <c r="D1465" s="1" t="s">
        <v>454</v>
      </c>
      <c r="E1465" s="1">
        <v>2173</v>
      </c>
      <c r="F1465" s="28">
        <v>225</v>
      </c>
      <c r="G1465" s="9">
        <v>55</v>
      </c>
      <c r="H1465" s="1" t="s">
        <v>3073</v>
      </c>
      <c r="I1465" s="1" t="s">
        <v>3073</v>
      </c>
      <c r="J1465" t="str">
        <f t="shared" si="22"/>
        <v>http://www.badatelna.eu/reprodukce/?fondId=1073&amp;zaznamId=1108959&amp;reproId=3780218</v>
      </c>
      <c r="K1465">
        <f>IF(LEN(TRIM(E1465))=0,"",VLOOKUP(E1465,Sheet2!$B$1:$E$19,2,FALSE))</f>
        <v>1073</v>
      </c>
      <c r="L1465">
        <f>IF(LEN(TRIM(E1465))=0,"",VLOOKUP(E1465,Sheet2!$B$1:$E$19,3,FALSE))</f>
        <v>1108959</v>
      </c>
      <c r="M1465">
        <f>IF(LEN(TRIM(E1465))=0,"",VLOOKUP(E1465,Sheet2!$B$1:$E$19,4,FALSE))+(F1465-1)</f>
        <v>3780218</v>
      </c>
    </row>
    <row r="1466" spans="1:17" s="1" customFormat="1" ht="15" customHeight="1" x14ac:dyDescent="0.25">
      <c r="A1466" s="28" t="s">
        <v>217</v>
      </c>
      <c r="B1466" s="28" t="s">
        <v>155</v>
      </c>
      <c r="C1466" s="6" t="s">
        <v>316</v>
      </c>
      <c r="D1466" s="1" t="s">
        <v>454</v>
      </c>
      <c r="E1466" s="1">
        <v>2173</v>
      </c>
      <c r="F1466" s="37">
        <v>179</v>
      </c>
      <c r="G1466" s="9">
        <v>5</v>
      </c>
      <c r="H1466" s="1">
        <v>189</v>
      </c>
      <c r="I1466" s="1">
        <v>421</v>
      </c>
      <c r="J1466" t="str">
        <f t="shared" si="22"/>
        <v>http://www.badatelna.eu/reprodukce/?fondId=1073&amp;zaznamId=1108959&amp;reproId=3780172</v>
      </c>
      <c r="K1466">
        <f>IF(LEN(TRIM(E1466))=0,"",VLOOKUP(E1466,Sheet2!$B$1:$E$19,2,FALSE))</f>
        <v>1073</v>
      </c>
      <c r="L1466">
        <f>IF(LEN(TRIM(E1466))=0,"",VLOOKUP(E1466,Sheet2!$B$1:$E$19,3,FALSE))</f>
        <v>1108959</v>
      </c>
      <c r="M1466">
        <f>IF(LEN(TRIM(E1466))=0,"",VLOOKUP(E1466,Sheet2!$B$1:$E$19,4,FALSE))+(F1466-1)</f>
        <v>3780172</v>
      </c>
    </row>
    <row r="1467" spans="1:17" s="1" customFormat="1" ht="15" customHeight="1" x14ac:dyDescent="0.25">
      <c r="A1467" s="28" t="s">
        <v>217</v>
      </c>
      <c r="B1467" s="28" t="s">
        <v>922</v>
      </c>
      <c r="C1467" s="1">
        <v>1852</v>
      </c>
      <c r="D1467" s="1" t="s">
        <v>2919</v>
      </c>
      <c r="E1467" s="1">
        <v>998</v>
      </c>
      <c r="F1467" s="28">
        <v>36</v>
      </c>
      <c r="G1467" s="1">
        <v>34</v>
      </c>
      <c r="H1467" s="1">
        <v>72</v>
      </c>
      <c r="I1467" s="1">
        <v>69</v>
      </c>
      <c r="J1467" t="str">
        <f t="shared" si="22"/>
        <v>http://www.badatelna.eu/reprodukce/?fondId=241&amp;zaznamId=1133738&amp;reproId=3885682</v>
      </c>
      <c r="K1467">
        <f>IF(LEN(TRIM(E1467))=0,"",VLOOKUP(E1467,Sheet2!$B$1:$E$19,2,FALSE))</f>
        <v>241</v>
      </c>
      <c r="L1467">
        <f>IF(LEN(TRIM(E1467))=0,"",VLOOKUP(E1467,Sheet2!$B$1:$E$19,3,FALSE))</f>
        <v>1133738</v>
      </c>
      <c r="M1467">
        <f>IF(LEN(TRIM(E1467))=0,"",VLOOKUP(E1467,Sheet2!$B$1:$E$19,4,FALSE))+(F1467-1)</f>
        <v>3885682</v>
      </c>
    </row>
    <row r="1468" spans="1:17" s="1" customFormat="1" ht="15" customHeight="1" x14ac:dyDescent="0.25">
      <c r="A1468" s="27" t="s">
        <v>217</v>
      </c>
      <c r="B1468" s="27" t="s">
        <v>478</v>
      </c>
      <c r="C1468" s="5" t="s">
        <v>1233</v>
      </c>
      <c r="D1468" s="3" t="s">
        <v>454</v>
      </c>
      <c r="E1468" s="3">
        <v>2170</v>
      </c>
      <c r="F1468" s="37">
        <v>19</v>
      </c>
      <c r="G1468" s="10">
        <v>15</v>
      </c>
      <c r="H1468" s="3">
        <v>64</v>
      </c>
      <c r="I1468" s="3">
        <v>60</v>
      </c>
      <c r="J1468" t="str">
        <f t="shared" si="22"/>
        <v>http://www.badatelna.eu/reprodukce/?fondId=1073&amp;zaznamId=1108956&amp;reproId=3779611</v>
      </c>
      <c r="K1468">
        <f>IF(LEN(TRIM(E1468))=0,"",VLOOKUP(E1468,Sheet2!$B$1:$E$19,2,FALSE))</f>
        <v>1073</v>
      </c>
      <c r="L1468">
        <f>IF(LEN(TRIM(E1468))=0,"",VLOOKUP(E1468,Sheet2!$B$1:$E$19,3,FALSE))</f>
        <v>1108956</v>
      </c>
      <c r="M1468">
        <f>IF(LEN(TRIM(E1468))=0,"",VLOOKUP(E1468,Sheet2!$B$1:$E$19,4,FALSE))+(F1468-1)</f>
        <v>3779611</v>
      </c>
    </row>
    <row r="1469" spans="1:17" s="1" customFormat="1" ht="15" customHeight="1" x14ac:dyDescent="0.25">
      <c r="A1469" s="28" t="s">
        <v>217</v>
      </c>
      <c r="B1469" s="28" t="s">
        <v>2979</v>
      </c>
      <c r="C1469" s="1">
        <v>1854</v>
      </c>
      <c r="D1469" s="1" t="s">
        <v>2919</v>
      </c>
      <c r="E1469" s="1">
        <v>998</v>
      </c>
      <c r="F1469" s="28">
        <v>39</v>
      </c>
      <c r="G1469" s="1">
        <v>37</v>
      </c>
      <c r="H1469" s="1">
        <v>72</v>
      </c>
      <c r="I1469" s="1">
        <v>69</v>
      </c>
      <c r="J1469" t="str">
        <f t="shared" si="22"/>
        <v>http://www.badatelna.eu/reprodukce/?fondId=241&amp;zaznamId=1133738&amp;reproId=3885685</v>
      </c>
      <c r="K1469">
        <f>IF(LEN(TRIM(E1469))=0,"",VLOOKUP(E1469,Sheet2!$B$1:$E$19,2,FALSE))</f>
        <v>241</v>
      </c>
      <c r="L1469">
        <f>IF(LEN(TRIM(E1469))=0,"",VLOOKUP(E1469,Sheet2!$B$1:$E$19,3,FALSE))</f>
        <v>1133738</v>
      </c>
      <c r="M1469">
        <f>IF(LEN(TRIM(E1469))=0,"",VLOOKUP(E1469,Sheet2!$B$1:$E$19,4,FALSE))+(F1469-1)</f>
        <v>3885685</v>
      </c>
    </row>
    <row r="1470" spans="1:17" s="1" customFormat="1" ht="15" customHeight="1" x14ac:dyDescent="0.25">
      <c r="A1470" s="28" t="s">
        <v>217</v>
      </c>
      <c r="B1470" s="28" t="s">
        <v>179</v>
      </c>
      <c r="C1470" s="1">
        <v>1858</v>
      </c>
      <c r="D1470" s="1" t="s">
        <v>2919</v>
      </c>
      <c r="E1470" s="1">
        <v>998</v>
      </c>
      <c r="F1470" s="28">
        <v>53</v>
      </c>
      <c r="G1470" s="1">
        <v>51</v>
      </c>
      <c r="H1470" s="1">
        <v>72</v>
      </c>
      <c r="I1470" s="1">
        <v>69</v>
      </c>
      <c r="J1470" t="str">
        <f t="shared" si="22"/>
        <v>http://www.badatelna.eu/reprodukce/?fondId=241&amp;zaznamId=1133738&amp;reproId=3885699</v>
      </c>
      <c r="K1470">
        <f>IF(LEN(TRIM(E1470))=0,"",VLOOKUP(E1470,Sheet2!$B$1:$E$19,2,FALSE))</f>
        <v>241</v>
      </c>
      <c r="L1470">
        <f>IF(LEN(TRIM(E1470))=0,"",VLOOKUP(E1470,Sheet2!$B$1:$E$19,3,FALSE))</f>
        <v>1133738</v>
      </c>
      <c r="M1470">
        <f>IF(LEN(TRIM(E1470))=0,"",VLOOKUP(E1470,Sheet2!$B$1:$E$19,4,FALSE))+(F1470-1)</f>
        <v>3885699</v>
      </c>
    </row>
    <row r="1471" spans="1:17" s="1" customFormat="1" ht="15" customHeight="1" x14ac:dyDescent="0.25">
      <c r="A1471" s="28" t="s">
        <v>217</v>
      </c>
      <c r="B1471" s="28" t="s">
        <v>2926</v>
      </c>
      <c r="C1471" s="1">
        <v>1866</v>
      </c>
      <c r="D1471" s="1" t="s">
        <v>2919</v>
      </c>
      <c r="E1471" s="1">
        <v>999</v>
      </c>
      <c r="F1471" s="28">
        <v>91</v>
      </c>
      <c r="G1471" s="1">
        <v>12</v>
      </c>
      <c r="H1471" s="1">
        <v>103</v>
      </c>
      <c r="I1471" s="1">
        <v>162</v>
      </c>
      <c r="J1471" t="str">
        <f t="shared" si="22"/>
        <v>http://www.badatelna.eu/reprodukce/?fondId=241&amp;zaznamId=1133739&amp;reproId=3885820</v>
      </c>
      <c r="K1471">
        <f>IF(LEN(TRIM(E1471))=0,"",VLOOKUP(E1471,Sheet2!$B$1:$E$19,2,FALSE))</f>
        <v>241</v>
      </c>
      <c r="L1471">
        <f>IF(LEN(TRIM(E1471))=0,"",VLOOKUP(E1471,Sheet2!$B$1:$E$19,3,FALSE))</f>
        <v>1133739</v>
      </c>
      <c r="M1471">
        <f>IF(LEN(TRIM(E1471))=0,"",VLOOKUP(E1471,Sheet2!$B$1:$E$19,4,FALSE))+(F1471-1)</f>
        <v>3885820</v>
      </c>
    </row>
    <row r="1472" spans="1:17" s="1" customFormat="1" ht="15" customHeight="1" x14ac:dyDescent="0.25">
      <c r="A1472" s="28" t="s">
        <v>217</v>
      </c>
      <c r="B1472" s="28" t="s">
        <v>2977</v>
      </c>
      <c r="C1472" s="1">
        <v>1850</v>
      </c>
      <c r="D1472" s="1" t="s">
        <v>2919</v>
      </c>
      <c r="E1472" s="1">
        <v>998</v>
      </c>
      <c r="F1472" s="28">
        <v>28</v>
      </c>
      <c r="G1472" s="1">
        <v>26</v>
      </c>
      <c r="H1472" s="1">
        <v>72</v>
      </c>
      <c r="I1472" s="1">
        <v>69</v>
      </c>
      <c r="J1472" t="str">
        <f t="shared" si="22"/>
        <v>http://www.badatelna.eu/reprodukce/?fondId=241&amp;zaznamId=1133738&amp;reproId=3885674</v>
      </c>
      <c r="K1472">
        <f>IF(LEN(TRIM(E1472))=0,"",VLOOKUP(E1472,Sheet2!$B$1:$E$19,2,FALSE))</f>
        <v>241</v>
      </c>
      <c r="L1472">
        <f>IF(LEN(TRIM(E1472))=0,"",VLOOKUP(E1472,Sheet2!$B$1:$E$19,3,FALSE))</f>
        <v>1133738</v>
      </c>
      <c r="M1472">
        <f>IF(LEN(TRIM(E1472))=0,"",VLOOKUP(E1472,Sheet2!$B$1:$E$19,4,FALSE))+(F1472-1)</f>
        <v>3885674</v>
      </c>
    </row>
    <row r="1473" spans="1:17" s="1" customFormat="1" ht="15" customHeight="1" x14ac:dyDescent="0.25">
      <c r="A1473" s="28" t="s">
        <v>217</v>
      </c>
      <c r="B1473" s="28" t="s">
        <v>340</v>
      </c>
      <c r="C1473" s="1">
        <v>1854</v>
      </c>
      <c r="D1473" s="1" t="s">
        <v>2919</v>
      </c>
      <c r="E1473" s="1">
        <v>998</v>
      </c>
      <c r="F1473" s="28">
        <v>43</v>
      </c>
      <c r="G1473" s="1">
        <v>41</v>
      </c>
      <c r="H1473" s="1">
        <v>72</v>
      </c>
      <c r="I1473" s="1">
        <v>69</v>
      </c>
      <c r="J1473" t="str">
        <f t="shared" si="22"/>
        <v>http://www.badatelna.eu/reprodukce/?fondId=241&amp;zaznamId=1133738&amp;reproId=3885689</v>
      </c>
      <c r="K1473">
        <f>IF(LEN(TRIM(E1473))=0,"",VLOOKUP(E1473,Sheet2!$B$1:$E$19,2,FALSE))</f>
        <v>241</v>
      </c>
      <c r="L1473">
        <f>IF(LEN(TRIM(E1473))=0,"",VLOOKUP(E1473,Sheet2!$B$1:$E$19,3,FALSE))</f>
        <v>1133738</v>
      </c>
      <c r="M1473">
        <f>IF(LEN(TRIM(E1473))=0,"",VLOOKUP(E1473,Sheet2!$B$1:$E$19,4,FALSE))+(F1473-1)</f>
        <v>3885689</v>
      </c>
    </row>
    <row r="1474" spans="1:17" s="1" customFormat="1" ht="15" customHeight="1" x14ac:dyDescent="0.25">
      <c r="A1474" s="28" t="s">
        <v>217</v>
      </c>
      <c r="B1474" s="28" t="s">
        <v>49</v>
      </c>
      <c r="C1474" s="6" t="s">
        <v>2678</v>
      </c>
      <c r="D1474" s="1" t="s">
        <v>454</v>
      </c>
      <c r="E1474" s="1">
        <v>2173</v>
      </c>
      <c r="F1474" s="28">
        <v>223</v>
      </c>
      <c r="G1474" s="9">
        <v>51</v>
      </c>
      <c r="H1474" s="1" t="s">
        <v>3073</v>
      </c>
      <c r="I1474" s="1" t="s">
        <v>3073</v>
      </c>
      <c r="J1474" t="str">
        <f t="shared" si="22"/>
        <v>http://www.badatelna.eu/reprodukce/?fondId=1073&amp;zaznamId=1108959&amp;reproId=3780216</v>
      </c>
      <c r="K1474">
        <f>IF(LEN(TRIM(E1474))=0,"",VLOOKUP(E1474,Sheet2!$B$1:$E$19,2,FALSE))</f>
        <v>1073</v>
      </c>
      <c r="L1474">
        <f>IF(LEN(TRIM(E1474))=0,"",VLOOKUP(E1474,Sheet2!$B$1:$E$19,3,FALSE))</f>
        <v>1108959</v>
      </c>
      <c r="M1474">
        <f>IF(LEN(TRIM(E1474))=0,"",VLOOKUP(E1474,Sheet2!$B$1:$E$19,4,FALSE))+(F1474-1)</f>
        <v>3780216</v>
      </c>
      <c r="N1474"/>
      <c r="O1474"/>
      <c r="P1474"/>
      <c r="Q1474"/>
    </row>
    <row r="1475" spans="1:17" s="1" customFormat="1" ht="15" customHeight="1" x14ac:dyDescent="0.25">
      <c r="A1475" s="28" t="s">
        <v>217</v>
      </c>
      <c r="B1475" s="28" t="s">
        <v>49</v>
      </c>
      <c r="C1475" s="6" t="s">
        <v>2886</v>
      </c>
      <c r="D1475" s="1" t="s">
        <v>454</v>
      </c>
      <c r="E1475" s="1">
        <v>2173</v>
      </c>
      <c r="F1475" s="28">
        <v>211</v>
      </c>
      <c r="G1475" s="9" t="s">
        <v>2881</v>
      </c>
      <c r="H1475" s="1" t="s">
        <v>3073</v>
      </c>
      <c r="I1475" s="1" t="s">
        <v>3073</v>
      </c>
      <c r="J1475" t="str">
        <f t="shared" ref="J1475:J1538" si="23">IF(LEN(TRIM(E1475))=0,"","http://www.badatelna.eu/reprodukce/?fondId="&amp;K1475&amp;"&amp;zaznamId="&amp;L1475&amp;"&amp;reproId="&amp;M1475)</f>
        <v>http://www.badatelna.eu/reprodukce/?fondId=1073&amp;zaznamId=1108959&amp;reproId=3780204</v>
      </c>
      <c r="K1475">
        <f>IF(LEN(TRIM(E1475))=0,"",VLOOKUP(E1475,Sheet2!$B$1:$E$19,2,FALSE))</f>
        <v>1073</v>
      </c>
      <c r="L1475">
        <f>IF(LEN(TRIM(E1475))=0,"",VLOOKUP(E1475,Sheet2!$B$1:$E$19,3,FALSE))</f>
        <v>1108959</v>
      </c>
      <c r="M1475">
        <f>IF(LEN(TRIM(E1475))=0,"",VLOOKUP(E1475,Sheet2!$B$1:$E$19,4,FALSE))+(F1475-1)</f>
        <v>3780204</v>
      </c>
      <c r="N1475"/>
      <c r="O1475"/>
      <c r="P1475"/>
      <c r="Q1475"/>
    </row>
    <row r="1476" spans="1:17" s="1" customFormat="1" ht="15" customHeight="1" x14ac:dyDescent="0.25">
      <c r="A1476" s="28" t="s">
        <v>217</v>
      </c>
      <c r="B1476" s="28" t="s">
        <v>778</v>
      </c>
      <c r="C1476" s="1">
        <v>1855</v>
      </c>
      <c r="D1476" s="1" t="s">
        <v>2919</v>
      </c>
      <c r="E1476" s="1">
        <v>998</v>
      </c>
      <c r="F1476" s="28">
        <v>46</v>
      </c>
      <c r="G1476" s="1">
        <v>44</v>
      </c>
      <c r="H1476" s="1">
        <v>72</v>
      </c>
      <c r="I1476" s="1">
        <v>69</v>
      </c>
      <c r="J1476" t="str">
        <f t="shared" si="23"/>
        <v>http://www.badatelna.eu/reprodukce/?fondId=241&amp;zaznamId=1133738&amp;reproId=3885692</v>
      </c>
      <c r="K1476">
        <f>IF(LEN(TRIM(E1476))=0,"",VLOOKUP(E1476,Sheet2!$B$1:$E$19,2,FALSE))</f>
        <v>241</v>
      </c>
      <c r="L1476">
        <f>IF(LEN(TRIM(E1476))=0,"",VLOOKUP(E1476,Sheet2!$B$1:$E$19,3,FALSE))</f>
        <v>1133738</v>
      </c>
      <c r="M1476">
        <f>IF(LEN(TRIM(E1476))=0,"",VLOOKUP(E1476,Sheet2!$B$1:$E$19,4,FALSE))+(F1476-1)</f>
        <v>3885692</v>
      </c>
    </row>
    <row r="1477" spans="1:17" s="1" customFormat="1" ht="15" customHeight="1" x14ac:dyDescent="0.25">
      <c r="A1477" s="28" t="s">
        <v>217</v>
      </c>
      <c r="B1477" s="28" t="s">
        <v>571</v>
      </c>
      <c r="C1477" s="1">
        <v>1852</v>
      </c>
      <c r="D1477" s="1" t="s">
        <v>2919</v>
      </c>
      <c r="E1477" s="1">
        <v>998</v>
      </c>
      <c r="F1477" s="28">
        <v>36</v>
      </c>
      <c r="G1477" s="1">
        <v>34</v>
      </c>
      <c r="H1477" s="1">
        <v>72</v>
      </c>
      <c r="I1477" s="1">
        <v>69</v>
      </c>
      <c r="J1477" t="str">
        <f t="shared" si="23"/>
        <v>http://www.badatelna.eu/reprodukce/?fondId=241&amp;zaznamId=1133738&amp;reproId=3885682</v>
      </c>
      <c r="K1477">
        <f>IF(LEN(TRIM(E1477))=0,"",VLOOKUP(E1477,Sheet2!$B$1:$E$19,2,FALSE))</f>
        <v>241</v>
      </c>
      <c r="L1477">
        <f>IF(LEN(TRIM(E1477))=0,"",VLOOKUP(E1477,Sheet2!$B$1:$E$19,3,FALSE))</f>
        <v>1133738</v>
      </c>
      <c r="M1477">
        <f>IF(LEN(TRIM(E1477))=0,"",VLOOKUP(E1477,Sheet2!$B$1:$E$19,4,FALSE))+(F1477-1)</f>
        <v>3885682</v>
      </c>
      <c r="N1477"/>
      <c r="O1477"/>
      <c r="P1477"/>
      <c r="Q1477"/>
    </row>
    <row r="1478" spans="1:17" s="1" customFormat="1" ht="15" customHeight="1" x14ac:dyDescent="0.25">
      <c r="A1478" s="27" t="s">
        <v>217</v>
      </c>
      <c r="B1478" s="27" t="s">
        <v>561</v>
      </c>
      <c r="C1478" s="5" t="s">
        <v>1232</v>
      </c>
      <c r="D1478" s="3" t="s">
        <v>454</v>
      </c>
      <c r="E1478" s="3">
        <v>2170</v>
      </c>
      <c r="F1478" s="28">
        <v>13</v>
      </c>
      <c r="G1478" s="10">
        <v>9</v>
      </c>
      <c r="H1478" s="3">
        <v>64</v>
      </c>
      <c r="I1478" s="3">
        <v>60</v>
      </c>
      <c r="J1478" t="str">
        <f t="shared" si="23"/>
        <v>http://www.badatelna.eu/reprodukce/?fondId=1073&amp;zaznamId=1108956&amp;reproId=3779605</v>
      </c>
      <c r="K1478">
        <f>IF(LEN(TRIM(E1478))=0,"",VLOOKUP(E1478,Sheet2!$B$1:$E$19,2,FALSE))</f>
        <v>1073</v>
      </c>
      <c r="L1478">
        <f>IF(LEN(TRIM(E1478))=0,"",VLOOKUP(E1478,Sheet2!$B$1:$E$19,3,FALSE))</f>
        <v>1108956</v>
      </c>
      <c r="M1478">
        <f>IF(LEN(TRIM(E1478))=0,"",VLOOKUP(E1478,Sheet2!$B$1:$E$19,4,FALSE))+(F1478-1)</f>
        <v>3779605</v>
      </c>
      <c r="N1478"/>
      <c r="O1478"/>
      <c r="P1478"/>
      <c r="Q1478"/>
    </row>
    <row r="1479" spans="1:17" s="1" customFormat="1" ht="15" customHeight="1" x14ac:dyDescent="0.25">
      <c r="A1479" s="28" t="s">
        <v>217</v>
      </c>
      <c r="B1479" s="28" t="s">
        <v>22</v>
      </c>
      <c r="C1479" s="6" t="s">
        <v>1756</v>
      </c>
      <c r="D1479" s="1" t="s">
        <v>454</v>
      </c>
      <c r="E1479" s="1">
        <v>2172</v>
      </c>
      <c r="F1479" s="28">
        <v>136</v>
      </c>
      <c r="G1479" s="9" t="s">
        <v>3085</v>
      </c>
      <c r="H1479" s="1">
        <v>138</v>
      </c>
      <c r="I1479" s="1">
        <v>136</v>
      </c>
      <c r="J1479" t="str">
        <f t="shared" si="23"/>
        <v>http://www.badatelna.eu/reprodukce/?fondId=1073&amp;zaznamId=1108958&amp;reproId=3779877</v>
      </c>
      <c r="K1479">
        <f>IF(LEN(TRIM(E1479))=0,"",VLOOKUP(E1479,Sheet2!$B$1:$E$19,2,FALSE))</f>
        <v>1073</v>
      </c>
      <c r="L1479">
        <f>IF(LEN(TRIM(E1479))=0,"",VLOOKUP(E1479,Sheet2!$B$1:$E$19,3,FALSE))</f>
        <v>1108958</v>
      </c>
      <c r="M1479">
        <f>IF(LEN(TRIM(E1479))=0,"",VLOOKUP(E1479,Sheet2!$B$1:$E$19,4,FALSE))+(F1479-1)</f>
        <v>3779877</v>
      </c>
    </row>
    <row r="1480" spans="1:17" s="1" customFormat="1" ht="15" customHeight="1" x14ac:dyDescent="0.25">
      <c r="A1480" s="28" t="s">
        <v>217</v>
      </c>
      <c r="B1480" s="28" t="s">
        <v>135</v>
      </c>
      <c r="C1480" s="1">
        <v>1848</v>
      </c>
      <c r="D1480" s="1" t="s">
        <v>2919</v>
      </c>
      <c r="E1480" s="1">
        <v>998</v>
      </c>
      <c r="F1480" s="28">
        <v>17</v>
      </c>
      <c r="G1480" s="1">
        <v>15</v>
      </c>
      <c r="H1480" s="1">
        <v>72</v>
      </c>
      <c r="I1480" s="1">
        <v>69</v>
      </c>
      <c r="J1480" t="str">
        <f t="shared" si="23"/>
        <v>http://www.badatelna.eu/reprodukce/?fondId=241&amp;zaznamId=1133738&amp;reproId=3885663</v>
      </c>
      <c r="K1480">
        <f>IF(LEN(TRIM(E1480))=0,"",VLOOKUP(E1480,Sheet2!$B$1:$E$19,2,FALSE))</f>
        <v>241</v>
      </c>
      <c r="L1480">
        <f>IF(LEN(TRIM(E1480))=0,"",VLOOKUP(E1480,Sheet2!$B$1:$E$19,3,FALSE))</f>
        <v>1133738</v>
      </c>
      <c r="M1480">
        <f>IF(LEN(TRIM(E1480))=0,"",VLOOKUP(E1480,Sheet2!$B$1:$E$19,4,FALSE))+(F1480-1)</f>
        <v>3885663</v>
      </c>
    </row>
    <row r="1481" spans="1:17" s="1" customFormat="1" ht="15" customHeight="1" x14ac:dyDescent="0.25">
      <c r="A1481" s="28" t="s">
        <v>217</v>
      </c>
      <c r="B1481" s="28" t="s">
        <v>283</v>
      </c>
      <c r="C1481" s="1">
        <v>1883</v>
      </c>
      <c r="D1481" s="1" t="s">
        <v>454</v>
      </c>
      <c r="E1481" s="1">
        <v>2172</v>
      </c>
      <c r="F1481" s="28">
        <v>33</v>
      </c>
      <c r="G1481" s="9">
        <v>32</v>
      </c>
      <c r="H1481" s="1">
        <v>36</v>
      </c>
      <c r="I1481" s="1">
        <v>35</v>
      </c>
      <c r="J1481" t="str">
        <f t="shared" si="23"/>
        <v>http://www.badatelna.eu/reprodukce/?fondId=1073&amp;zaznamId=1108958&amp;reproId=3779774</v>
      </c>
      <c r="K1481">
        <f>IF(LEN(TRIM(E1481))=0,"",VLOOKUP(E1481,Sheet2!$B$1:$E$19,2,FALSE))</f>
        <v>1073</v>
      </c>
      <c r="L1481">
        <f>IF(LEN(TRIM(E1481))=0,"",VLOOKUP(E1481,Sheet2!$B$1:$E$19,3,FALSE))</f>
        <v>1108958</v>
      </c>
      <c r="M1481">
        <f>IF(LEN(TRIM(E1481))=0,"",VLOOKUP(E1481,Sheet2!$B$1:$E$19,4,FALSE))+(F1481-1)</f>
        <v>3779774</v>
      </c>
    </row>
    <row r="1482" spans="1:17" s="1" customFormat="1" ht="15" customHeight="1" x14ac:dyDescent="0.25">
      <c r="A1482" s="28" t="s">
        <v>217</v>
      </c>
      <c r="B1482" s="28" t="s">
        <v>91</v>
      </c>
      <c r="C1482" s="6" t="s">
        <v>2103</v>
      </c>
      <c r="D1482" s="1" t="s">
        <v>454</v>
      </c>
      <c r="E1482" s="1">
        <v>2173</v>
      </c>
      <c r="F1482" s="28">
        <v>183</v>
      </c>
      <c r="G1482" s="9">
        <v>13</v>
      </c>
      <c r="H1482" s="1">
        <v>189</v>
      </c>
      <c r="I1482" s="1">
        <v>421</v>
      </c>
      <c r="J1482" t="str">
        <f t="shared" si="23"/>
        <v>http://www.badatelna.eu/reprodukce/?fondId=1073&amp;zaznamId=1108959&amp;reproId=3780176</v>
      </c>
      <c r="K1482">
        <f>IF(LEN(TRIM(E1482))=0,"",VLOOKUP(E1482,Sheet2!$B$1:$E$19,2,FALSE))</f>
        <v>1073</v>
      </c>
      <c r="L1482">
        <f>IF(LEN(TRIM(E1482))=0,"",VLOOKUP(E1482,Sheet2!$B$1:$E$19,3,FALSE))</f>
        <v>1108959</v>
      </c>
      <c r="M1482">
        <f>IF(LEN(TRIM(E1482))=0,"",VLOOKUP(E1482,Sheet2!$B$1:$E$19,4,FALSE))+(F1482-1)</f>
        <v>3780176</v>
      </c>
    </row>
    <row r="1483" spans="1:17" s="1" customFormat="1" ht="15" customHeight="1" x14ac:dyDescent="0.25">
      <c r="A1483" s="28" t="s">
        <v>217</v>
      </c>
      <c r="B1483" s="28" t="s">
        <v>82</v>
      </c>
      <c r="C1483" s="6" t="s">
        <v>1612</v>
      </c>
      <c r="D1483" s="1" t="s">
        <v>454</v>
      </c>
      <c r="E1483" s="1">
        <v>2172</v>
      </c>
      <c r="F1483" s="28">
        <v>75</v>
      </c>
      <c r="G1483" s="9">
        <v>74</v>
      </c>
      <c r="H1483" s="1">
        <v>76</v>
      </c>
      <c r="I1483" s="1">
        <v>75</v>
      </c>
      <c r="J1483" t="str">
        <f t="shared" si="23"/>
        <v>http://www.badatelna.eu/reprodukce/?fondId=1073&amp;zaznamId=1108958&amp;reproId=3779816</v>
      </c>
      <c r="K1483">
        <f>IF(LEN(TRIM(E1483))=0,"",VLOOKUP(E1483,Sheet2!$B$1:$E$19,2,FALSE))</f>
        <v>1073</v>
      </c>
      <c r="L1483">
        <f>IF(LEN(TRIM(E1483))=0,"",VLOOKUP(E1483,Sheet2!$B$1:$E$19,3,FALSE))</f>
        <v>1108958</v>
      </c>
      <c r="M1483">
        <f>IF(LEN(TRIM(E1483))=0,"",VLOOKUP(E1483,Sheet2!$B$1:$E$19,4,FALSE))+(F1483-1)</f>
        <v>3779816</v>
      </c>
      <c r="N1483"/>
      <c r="O1483"/>
      <c r="P1483"/>
      <c r="Q1483"/>
    </row>
    <row r="1484" spans="1:17" s="1" customFormat="1" ht="15" customHeight="1" x14ac:dyDescent="0.25">
      <c r="A1484" s="28" t="s">
        <v>935</v>
      </c>
      <c r="B1484" s="28" t="s">
        <v>22</v>
      </c>
      <c r="C1484" s="6" t="s">
        <v>1570</v>
      </c>
      <c r="D1484" s="1" t="s">
        <v>454</v>
      </c>
      <c r="E1484" s="1">
        <v>2172</v>
      </c>
      <c r="F1484" s="28">
        <v>22</v>
      </c>
      <c r="G1484" s="9">
        <v>21</v>
      </c>
      <c r="H1484" s="1">
        <v>24</v>
      </c>
      <c r="I1484" s="1">
        <v>23</v>
      </c>
      <c r="J1484" t="str">
        <f t="shared" si="23"/>
        <v>http://www.badatelna.eu/reprodukce/?fondId=1073&amp;zaznamId=1108958&amp;reproId=3779763</v>
      </c>
      <c r="K1484">
        <f>IF(LEN(TRIM(E1484))=0,"",VLOOKUP(E1484,Sheet2!$B$1:$E$19,2,FALSE))</f>
        <v>1073</v>
      </c>
      <c r="L1484">
        <f>IF(LEN(TRIM(E1484))=0,"",VLOOKUP(E1484,Sheet2!$B$1:$E$19,3,FALSE))</f>
        <v>1108958</v>
      </c>
      <c r="M1484">
        <f>IF(LEN(TRIM(E1484))=0,"",VLOOKUP(E1484,Sheet2!$B$1:$E$19,4,FALSE))+(F1484-1)</f>
        <v>3779763</v>
      </c>
      <c r="N1484"/>
      <c r="O1484"/>
      <c r="P1484"/>
      <c r="Q1484"/>
    </row>
    <row r="1485" spans="1:17" s="1" customFormat="1" ht="15" customHeight="1" x14ac:dyDescent="0.25">
      <c r="A1485" s="28"/>
      <c r="B1485" s="28"/>
      <c r="C1485" s="38" t="s">
        <v>3125</v>
      </c>
      <c r="F1485" s="28"/>
      <c r="G1485" s="9"/>
      <c r="J1485" t="str">
        <f t="shared" si="23"/>
        <v/>
      </c>
      <c r="K1485" t="str">
        <f>IF(LEN(TRIM(E1485))=0,"",VLOOKUP(E1485,Sheet2!$B$1:$E$19,2,FALSE))</f>
        <v/>
      </c>
      <c r="L1485" t="str">
        <f>IF(LEN(TRIM(E1485))=0,"",VLOOKUP(E1485,Sheet2!$B$1:$E$19,3,FALSE))</f>
        <v/>
      </c>
      <c r="M1485" t="e">
        <f>IF(LEN(TRIM(E1485))=0,"",VLOOKUP(E1485,Sheet2!$B$1:$E$19,4,FALSE))+(F1485-1)</f>
        <v>#VALUE!</v>
      </c>
      <c r="N1485"/>
      <c r="O1485"/>
      <c r="P1485"/>
      <c r="Q1485"/>
    </row>
    <row r="1486" spans="1:17" s="1" customFormat="1" ht="15" customHeight="1" x14ac:dyDescent="0.25">
      <c r="A1486" s="28" t="s">
        <v>118</v>
      </c>
      <c r="B1486" s="28" t="s">
        <v>33</v>
      </c>
      <c r="C1486" s="6" t="s">
        <v>2491</v>
      </c>
      <c r="D1486" s="1" t="s">
        <v>454</v>
      </c>
      <c r="E1486" s="1">
        <v>2173</v>
      </c>
      <c r="F1486" s="28">
        <v>205</v>
      </c>
      <c r="G1486" s="1">
        <v>19</v>
      </c>
      <c r="H1486" s="1" t="s">
        <v>3073</v>
      </c>
      <c r="I1486" s="1" t="s">
        <v>3073</v>
      </c>
      <c r="J1486" t="str">
        <f t="shared" si="23"/>
        <v>http://www.badatelna.eu/reprodukce/?fondId=1073&amp;zaznamId=1108959&amp;reproId=3780198</v>
      </c>
      <c r="K1486">
        <f>IF(LEN(TRIM(E1486))=0,"",VLOOKUP(E1486,Sheet2!$B$1:$E$19,2,FALSE))</f>
        <v>1073</v>
      </c>
      <c r="L1486">
        <f>IF(LEN(TRIM(E1486))=0,"",VLOOKUP(E1486,Sheet2!$B$1:$E$19,3,FALSE))</f>
        <v>1108959</v>
      </c>
      <c r="M1486">
        <f>IF(LEN(TRIM(E1486))=0,"",VLOOKUP(E1486,Sheet2!$B$1:$E$19,4,FALSE))+(F1486-1)</f>
        <v>3780198</v>
      </c>
    </row>
    <row r="1487" spans="1:17" s="1" customFormat="1" ht="15" customHeight="1" x14ac:dyDescent="0.25">
      <c r="A1487" s="28" t="s">
        <v>118</v>
      </c>
      <c r="B1487" s="28" t="s">
        <v>75</v>
      </c>
      <c r="C1487" s="6" t="s">
        <v>2326</v>
      </c>
      <c r="D1487" s="1" t="s">
        <v>454</v>
      </c>
      <c r="E1487" s="1">
        <v>2173</v>
      </c>
      <c r="F1487" s="31">
        <v>199</v>
      </c>
      <c r="G1487" s="9">
        <v>8</v>
      </c>
      <c r="H1487" s="1" t="s">
        <v>3073</v>
      </c>
      <c r="I1487" s="1" t="s">
        <v>3073</v>
      </c>
      <c r="J1487" t="str">
        <f t="shared" si="23"/>
        <v>http://www.badatelna.eu/reprodukce/?fondId=1073&amp;zaznamId=1108959&amp;reproId=3780192</v>
      </c>
      <c r="K1487">
        <f>IF(LEN(TRIM(E1487))=0,"",VLOOKUP(E1487,Sheet2!$B$1:$E$19,2,FALSE))</f>
        <v>1073</v>
      </c>
      <c r="L1487">
        <f>IF(LEN(TRIM(E1487))=0,"",VLOOKUP(E1487,Sheet2!$B$1:$E$19,3,FALSE))</f>
        <v>1108959</v>
      </c>
      <c r="M1487">
        <f>IF(LEN(TRIM(E1487))=0,"",VLOOKUP(E1487,Sheet2!$B$1:$E$19,4,FALSE))+(F1487-1)</f>
        <v>3780192</v>
      </c>
    </row>
    <row r="1488" spans="1:17" s="1" customFormat="1" ht="15" customHeight="1" x14ac:dyDescent="0.25">
      <c r="A1488" s="28" t="s">
        <v>440</v>
      </c>
      <c r="B1488" s="28" t="s">
        <v>0</v>
      </c>
      <c r="C1488" s="6" t="s">
        <v>2696</v>
      </c>
      <c r="D1488" s="1" t="s">
        <v>454</v>
      </c>
      <c r="E1488" s="1">
        <v>2173</v>
      </c>
      <c r="F1488" s="28">
        <v>224</v>
      </c>
      <c r="G1488" s="9">
        <v>54</v>
      </c>
      <c r="H1488" s="1" t="s">
        <v>3073</v>
      </c>
      <c r="I1488" s="1" t="s">
        <v>3073</v>
      </c>
      <c r="J1488" t="str">
        <f t="shared" si="23"/>
        <v>http://www.badatelna.eu/reprodukce/?fondId=1073&amp;zaznamId=1108959&amp;reproId=3780217</v>
      </c>
      <c r="K1488">
        <f>IF(LEN(TRIM(E1488))=0,"",VLOOKUP(E1488,Sheet2!$B$1:$E$19,2,FALSE))</f>
        <v>1073</v>
      </c>
      <c r="L1488">
        <f>IF(LEN(TRIM(E1488))=0,"",VLOOKUP(E1488,Sheet2!$B$1:$E$19,3,FALSE))</f>
        <v>1108959</v>
      </c>
      <c r="M1488">
        <f>IF(LEN(TRIM(E1488))=0,"",VLOOKUP(E1488,Sheet2!$B$1:$E$19,4,FALSE))+(F1488-1)</f>
        <v>3780217</v>
      </c>
      <c r="N1488"/>
      <c r="O1488"/>
      <c r="P1488"/>
      <c r="Q1488"/>
    </row>
    <row r="1489" spans="1:17" s="1" customFormat="1" ht="15" customHeight="1" x14ac:dyDescent="0.25">
      <c r="A1489" s="28" t="s">
        <v>238</v>
      </c>
      <c r="B1489" s="28" t="s">
        <v>313</v>
      </c>
      <c r="C1489" s="6" t="s">
        <v>2106</v>
      </c>
      <c r="D1489" s="1" t="s">
        <v>454</v>
      </c>
      <c r="E1489" s="1">
        <v>2173</v>
      </c>
      <c r="F1489" s="28">
        <v>178</v>
      </c>
      <c r="G1489" s="9">
        <v>3</v>
      </c>
      <c r="H1489" s="1">
        <v>189</v>
      </c>
      <c r="I1489" s="1">
        <v>421</v>
      </c>
      <c r="J1489" t="str">
        <f t="shared" si="23"/>
        <v>http://www.badatelna.eu/reprodukce/?fondId=1073&amp;zaznamId=1108959&amp;reproId=3780171</v>
      </c>
      <c r="K1489">
        <f>IF(LEN(TRIM(E1489))=0,"",VLOOKUP(E1489,Sheet2!$B$1:$E$19,2,FALSE))</f>
        <v>1073</v>
      </c>
      <c r="L1489">
        <f>IF(LEN(TRIM(E1489))=0,"",VLOOKUP(E1489,Sheet2!$B$1:$E$19,3,FALSE))</f>
        <v>1108959</v>
      </c>
      <c r="M1489">
        <f>IF(LEN(TRIM(E1489))=0,"",VLOOKUP(E1489,Sheet2!$B$1:$E$19,4,FALSE))+(F1489-1)</f>
        <v>3780171</v>
      </c>
      <c r="N1489"/>
      <c r="O1489"/>
      <c r="P1489"/>
      <c r="Q1489"/>
    </row>
    <row r="1490" spans="1:17" s="1" customFormat="1" ht="15" customHeight="1" x14ac:dyDescent="0.25">
      <c r="A1490" s="28" t="s">
        <v>238</v>
      </c>
      <c r="B1490" s="28" t="s">
        <v>126</v>
      </c>
      <c r="C1490" s="6" t="s">
        <v>315</v>
      </c>
      <c r="D1490" s="1" t="s">
        <v>454</v>
      </c>
      <c r="E1490" s="1">
        <v>2173</v>
      </c>
      <c r="F1490" s="28">
        <v>179</v>
      </c>
      <c r="G1490" s="9">
        <v>4</v>
      </c>
      <c r="H1490" s="1">
        <v>189</v>
      </c>
      <c r="I1490" s="1">
        <v>421</v>
      </c>
      <c r="J1490" t="str">
        <f t="shared" si="23"/>
        <v>http://www.badatelna.eu/reprodukce/?fondId=1073&amp;zaznamId=1108959&amp;reproId=3780172</v>
      </c>
      <c r="K1490">
        <f>IF(LEN(TRIM(E1490))=0,"",VLOOKUP(E1490,Sheet2!$B$1:$E$19,2,FALSE))</f>
        <v>1073</v>
      </c>
      <c r="L1490">
        <f>IF(LEN(TRIM(E1490))=0,"",VLOOKUP(E1490,Sheet2!$B$1:$E$19,3,FALSE))</f>
        <v>1108959</v>
      </c>
      <c r="M1490">
        <f>IF(LEN(TRIM(E1490))=0,"",VLOOKUP(E1490,Sheet2!$B$1:$E$19,4,FALSE))+(F1490-1)</f>
        <v>3780172</v>
      </c>
    </row>
    <row r="1491" spans="1:17" s="1" customFormat="1" ht="15" customHeight="1" x14ac:dyDescent="0.25">
      <c r="A1491" s="28" t="s">
        <v>238</v>
      </c>
      <c r="B1491" s="28" t="s">
        <v>293</v>
      </c>
      <c r="C1491" s="6" t="s">
        <v>2660</v>
      </c>
      <c r="D1491" s="1" t="s">
        <v>454</v>
      </c>
      <c r="E1491" s="1">
        <v>2173</v>
      </c>
      <c r="F1491" s="28">
        <v>222</v>
      </c>
      <c r="G1491" s="9">
        <v>50</v>
      </c>
      <c r="H1491" s="1" t="s">
        <v>3073</v>
      </c>
      <c r="I1491" s="1" t="s">
        <v>3073</v>
      </c>
      <c r="J1491" t="str">
        <f t="shared" si="23"/>
        <v>http://www.badatelna.eu/reprodukce/?fondId=1073&amp;zaznamId=1108959&amp;reproId=3780215</v>
      </c>
      <c r="K1491">
        <f>IF(LEN(TRIM(E1491))=0,"",VLOOKUP(E1491,Sheet2!$B$1:$E$19,2,FALSE))</f>
        <v>1073</v>
      </c>
      <c r="L1491">
        <f>IF(LEN(TRIM(E1491))=0,"",VLOOKUP(E1491,Sheet2!$B$1:$E$19,3,FALSE))</f>
        <v>1108959</v>
      </c>
      <c r="M1491">
        <f>IF(LEN(TRIM(E1491))=0,"",VLOOKUP(E1491,Sheet2!$B$1:$E$19,4,FALSE))+(F1491-1)</f>
        <v>3780215</v>
      </c>
    </row>
    <row r="1492" spans="1:17" s="1" customFormat="1" ht="15" customHeight="1" x14ac:dyDescent="0.25">
      <c r="A1492" s="27" t="s">
        <v>238</v>
      </c>
      <c r="B1492" s="27" t="s">
        <v>562</v>
      </c>
      <c r="C1492" s="5" t="s">
        <v>1235</v>
      </c>
      <c r="D1492" s="3" t="s">
        <v>454</v>
      </c>
      <c r="E1492" s="3">
        <v>2170</v>
      </c>
      <c r="F1492" s="28">
        <v>36</v>
      </c>
      <c r="G1492" s="10">
        <v>32</v>
      </c>
      <c r="H1492" s="3">
        <v>64</v>
      </c>
      <c r="I1492" s="3">
        <v>60</v>
      </c>
      <c r="J1492" t="str">
        <f t="shared" si="23"/>
        <v>http://www.badatelna.eu/reprodukce/?fondId=1073&amp;zaznamId=1108956&amp;reproId=3779628</v>
      </c>
      <c r="K1492">
        <f>IF(LEN(TRIM(E1492))=0,"",VLOOKUP(E1492,Sheet2!$B$1:$E$19,2,FALSE))</f>
        <v>1073</v>
      </c>
      <c r="L1492">
        <f>IF(LEN(TRIM(E1492))=0,"",VLOOKUP(E1492,Sheet2!$B$1:$E$19,3,FALSE))</f>
        <v>1108956</v>
      </c>
      <c r="M1492">
        <f>IF(LEN(TRIM(E1492))=0,"",VLOOKUP(E1492,Sheet2!$B$1:$E$19,4,FALSE))+(F1492-1)</f>
        <v>3779628</v>
      </c>
    </row>
    <row r="1493" spans="1:17" s="1" customFormat="1" ht="15" customHeight="1" x14ac:dyDescent="0.25">
      <c r="A1493" s="28" t="s">
        <v>238</v>
      </c>
      <c r="B1493" s="28" t="s">
        <v>274</v>
      </c>
      <c r="C1493" s="6" t="s">
        <v>2105</v>
      </c>
      <c r="D1493" s="1" t="s">
        <v>454</v>
      </c>
      <c r="E1493" s="1">
        <v>2173</v>
      </c>
      <c r="F1493" s="28">
        <v>178</v>
      </c>
      <c r="G1493" s="9">
        <v>2</v>
      </c>
      <c r="H1493" s="1">
        <v>189</v>
      </c>
      <c r="I1493" s="1">
        <v>421</v>
      </c>
      <c r="J1493" t="str">
        <f t="shared" si="23"/>
        <v>http://www.badatelna.eu/reprodukce/?fondId=1073&amp;zaznamId=1108959&amp;reproId=3780171</v>
      </c>
      <c r="K1493">
        <f>IF(LEN(TRIM(E1493))=0,"",VLOOKUP(E1493,Sheet2!$B$1:$E$19,2,FALSE))</f>
        <v>1073</v>
      </c>
      <c r="L1493">
        <f>IF(LEN(TRIM(E1493))=0,"",VLOOKUP(E1493,Sheet2!$B$1:$E$19,3,FALSE))</f>
        <v>1108959</v>
      </c>
      <c r="M1493">
        <f>IF(LEN(TRIM(E1493))=0,"",VLOOKUP(E1493,Sheet2!$B$1:$E$19,4,FALSE))+(F1493-1)</f>
        <v>3780171</v>
      </c>
    </row>
    <row r="1494" spans="1:17" s="1" customFormat="1" ht="15" customHeight="1" x14ac:dyDescent="0.25">
      <c r="A1494" s="28" t="s">
        <v>238</v>
      </c>
      <c r="B1494" s="29" t="s">
        <v>0</v>
      </c>
      <c r="C1494" s="1">
        <v>1849</v>
      </c>
      <c r="D1494" s="1" t="s">
        <v>2919</v>
      </c>
      <c r="E1494" s="1">
        <v>998</v>
      </c>
      <c r="F1494" s="28">
        <v>25</v>
      </c>
      <c r="G1494" s="1">
        <v>23</v>
      </c>
      <c r="H1494" s="1">
        <v>72</v>
      </c>
      <c r="I1494" s="1">
        <v>69</v>
      </c>
      <c r="J1494" t="str">
        <f t="shared" si="23"/>
        <v>http://www.badatelna.eu/reprodukce/?fondId=241&amp;zaznamId=1133738&amp;reproId=3885671</v>
      </c>
      <c r="K1494">
        <f>IF(LEN(TRIM(E1494))=0,"",VLOOKUP(E1494,Sheet2!$B$1:$E$19,2,FALSE))</f>
        <v>241</v>
      </c>
      <c r="L1494">
        <f>IF(LEN(TRIM(E1494))=0,"",VLOOKUP(E1494,Sheet2!$B$1:$E$19,3,FALSE))</f>
        <v>1133738</v>
      </c>
      <c r="M1494">
        <f>IF(LEN(TRIM(E1494))=0,"",VLOOKUP(E1494,Sheet2!$B$1:$E$19,4,FALSE))+(F1494-1)</f>
        <v>3885671</v>
      </c>
    </row>
    <row r="1495" spans="1:17" s="1" customFormat="1" ht="15" customHeight="1" x14ac:dyDescent="0.25">
      <c r="A1495" s="28" t="s">
        <v>238</v>
      </c>
      <c r="B1495" s="28" t="s">
        <v>312</v>
      </c>
      <c r="C1495" s="6" t="s">
        <v>2104</v>
      </c>
      <c r="D1495" s="1" t="s">
        <v>454</v>
      </c>
      <c r="E1495" s="1">
        <v>2173</v>
      </c>
      <c r="F1495" s="28">
        <v>179</v>
      </c>
      <c r="G1495" s="9">
        <v>4</v>
      </c>
      <c r="H1495" s="1">
        <v>189</v>
      </c>
      <c r="I1495" s="1">
        <v>421</v>
      </c>
      <c r="J1495" t="str">
        <f t="shared" si="23"/>
        <v>http://www.badatelna.eu/reprodukce/?fondId=1073&amp;zaznamId=1108959&amp;reproId=3780172</v>
      </c>
      <c r="K1495">
        <f>IF(LEN(TRIM(E1495))=0,"",VLOOKUP(E1495,Sheet2!$B$1:$E$19,2,FALSE))</f>
        <v>1073</v>
      </c>
      <c r="L1495">
        <f>IF(LEN(TRIM(E1495))=0,"",VLOOKUP(E1495,Sheet2!$B$1:$E$19,3,FALSE))</f>
        <v>1108959</v>
      </c>
      <c r="M1495">
        <f>IF(LEN(TRIM(E1495))=0,"",VLOOKUP(E1495,Sheet2!$B$1:$E$19,4,FALSE))+(F1495-1)</f>
        <v>3780172</v>
      </c>
      <c r="N1495"/>
      <c r="O1495"/>
      <c r="P1495"/>
      <c r="Q1495"/>
    </row>
    <row r="1496" spans="1:17" s="1" customFormat="1" ht="15" customHeight="1" x14ac:dyDescent="0.25">
      <c r="A1496" s="28" t="s">
        <v>238</v>
      </c>
      <c r="B1496" s="29" t="s">
        <v>2927</v>
      </c>
      <c r="C1496" s="1">
        <v>1849</v>
      </c>
      <c r="D1496" s="1" t="s">
        <v>2919</v>
      </c>
      <c r="E1496" s="1">
        <v>998</v>
      </c>
      <c r="F1496" s="28">
        <v>23</v>
      </c>
      <c r="G1496" s="1">
        <v>21</v>
      </c>
      <c r="H1496" s="1">
        <v>72</v>
      </c>
      <c r="I1496" s="1">
        <v>69</v>
      </c>
      <c r="J1496" t="str">
        <f t="shared" si="23"/>
        <v>http://www.badatelna.eu/reprodukce/?fondId=241&amp;zaznamId=1133738&amp;reproId=3885669</v>
      </c>
      <c r="K1496">
        <f>IF(LEN(TRIM(E1496))=0,"",VLOOKUP(E1496,Sheet2!$B$1:$E$19,2,FALSE))</f>
        <v>241</v>
      </c>
      <c r="L1496">
        <f>IF(LEN(TRIM(E1496))=0,"",VLOOKUP(E1496,Sheet2!$B$1:$E$19,3,FALSE))</f>
        <v>1133738</v>
      </c>
      <c r="M1496">
        <f>IF(LEN(TRIM(E1496))=0,"",VLOOKUP(E1496,Sheet2!$B$1:$E$19,4,FALSE))+(F1496-1)</f>
        <v>3885669</v>
      </c>
      <c r="N1496"/>
      <c r="O1496"/>
      <c r="P1496"/>
      <c r="Q1496"/>
    </row>
    <row r="1497" spans="1:17" s="1" customFormat="1" ht="15" customHeight="1" x14ac:dyDescent="0.25">
      <c r="A1497" s="28" t="s">
        <v>238</v>
      </c>
      <c r="B1497" s="28" t="s">
        <v>54</v>
      </c>
      <c r="C1497" s="6" t="s">
        <v>2542</v>
      </c>
      <c r="D1497" s="1" t="s">
        <v>454</v>
      </c>
      <c r="E1497" s="1">
        <v>2173</v>
      </c>
      <c r="F1497" s="28">
        <v>207</v>
      </c>
      <c r="G1497" s="1">
        <v>24</v>
      </c>
      <c r="H1497" s="1" t="s">
        <v>3073</v>
      </c>
      <c r="I1497" s="1" t="s">
        <v>3073</v>
      </c>
      <c r="J1497" t="str">
        <f t="shared" si="23"/>
        <v>http://www.badatelna.eu/reprodukce/?fondId=1073&amp;zaznamId=1108959&amp;reproId=3780200</v>
      </c>
      <c r="K1497">
        <f>IF(LEN(TRIM(E1497))=0,"",VLOOKUP(E1497,Sheet2!$B$1:$E$19,2,FALSE))</f>
        <v>1073</v>
      </c>
      <c r="L1497">
        <f>IF(LEN(TRIM(E1497))=0,"",VLOOKUP(E1497,Sheet2!$B$1:$E$19,3,FALSE))</f>
        <v>1108959</v>
      </c>
      <c r="M1497">
        <f>IF(LEN(TRIM(E1497))=0,"",VLOOKUP(E1497,Sheet2!$B$1:$E$19,4,FALSE))+(F1497-1)</f>
        <v>3780200</v>
      </c>
    </row>
    <row r="1498" spans="1:17" s="1" customFormat="1" ht="15" customHeight="1" x14ac:dyDescent="0.25">
      <c r="A1498" s="28" t="s">
        <v>936</v>
      </c>
      <c r="B1498" s="28" t="s">
        <v>505</v>
      </c>
      <c r="C1498" s="6" t="s">
        <v>1717</v>
      </c>
      <c r="D1498" s="1" t="s">
        <v>454</v>
      </c>
      <c r="E1498" s="1">
        <v>2172</v>
      </c>
      <c r="F1498" s="28">
        <v>121</v>
      </c>
      <c r="G1498" s="9">
        <v>120</v>
      </c>
      <c r="H1498" s="1">
        <v>123</v>
      </c>
      <c r="I1498" s="1">
        <v>122</v>
      </c>
      <c r="J1498" t="str">
        <f t="shared" si="23"/>
        <v>http://www.badatelna.eu/reprodukce/?fondId=1073&amp;zaznamId=1108958&amp;reproId=3779862</v>
      </c>
      <c r="K1498">
        <f>IF(LEN(TRIM(E1498))=0,"",VLOOKUP(E1498,Sheet2!$B$1:$E$19,2,FALSE))</f>
        <v>1073</v>
      </c>
      <c r="L1498">
        <f>IF(LEN(TRIM(E1498))=0,"",VLOOKUP(E1498,Sheet2!$B$1:$E$19,3,FALSE))</f>
        <v>1108958</v>
      </c>
      <c r="M1498">
        <f>IF(LEN(TRIM(E1498))=0,"",VLOOKUP(E1498,Sheet2!$B$1:$E$19,4,FALSE))+(F1498-1)</f>
        <v>3779862</v>
      </c>
      <c r="N1498"/>
      <c r="O1498"/>
      <c r="P1498"/>
      <c r="Q1498"/>
    </row>
    <row r="1499" spans="1:17" s="1" customFormat="1" ht="15" customHeight="1" x14ac:dyDescent="0.25">
      <c r="A1499" s="28" t="s">
        <v>563</v>
      </c>
      <c r="B1499" s="28" t="s">
        <v>465</v>
      </c>
      <c r="C1499" s="6" t="s">
        <v>1519</v>
      </c>
      <c r="D1499" s="1" t="s">
        <v>454</v>
      </c>
      <c r="E1499" s="1">
        <v>2172</v>
      </c>
      <c r="F1499" s="28">
        <v>12</v>
      </c>
      <c r="G1499" s="9">
        <v>11</v>
      </c>
      <c r="H1499" s="1" t="s">
        <v>3073</v>
      </c>
      <c r="I1499" s="1" t="s">
        <v>3073</v>
      </c>
      <c r="J1499" t="str">
        <f t="shared" si="23"/>
        <v>http://www.badatelna.eu/reprodukce/?fondId=1073&amp;zaznamId=1108958&amp;reproId=3779753</v>
      </c>
      <c r="K1499">
        <f>IF(LEN(TRIM(E1499))=0,"",VLOOKUP(E1499,Sheet2!$B$1:$E$19,2,FALSE))</f>
        <v>1073</v>
      </c>
      <c r="L1499">
        <f>IF(LEN(TRIM(E1499))=0,"",VLOOKUP(E1499,Sheet2!$B$1:$E$19,3,FALSE))</f>
        <v>1108958</v>
      </c>
      <c r="M1499">
        <f>IF(LEN(TRIM(E1499))=0,"",VLOOKUP(E1499,Sheet2!$B$1:$E$19,4,FALSE))+(F1499-1)</f>
        <v>3779753</v>
      </c>
    </row>
    <row r="1500" spans="1:17" s="1" customFormat="1" ht="15" customHeight="1" x14ac:dyDescent="0.25">
      <c r="A1500" s="27" t="s">
        <v>563</v>
      </c>
      <c r="B1500" s="27" t="s">
        <v>528</v>
      </c>
      <c r="C1500" s="5" t="s">
        <v>1236</v>
      </c>
      <c r="D1500" s="3" t="s">
        <v>454</v>
      </c>
      <c r="E1500" s="3">
        <v>2170</v>
      </c>
      <c r="F1500" s="28">
        <v>52</v>
      </c>
      <c r="G1500" s="10">
        <v>48</v>
      </c>
      <c r="H1500" s="3">
        <v>64</v>
      </c>
      <c r="I1500" s="3">
        <v>60</v>
      </c>
      <c r="J1500" t="str">
        <f t="shared" si="23"/>
        <v>http://www.badatelna.eu/reprodukce/?fondId=1073&amp;zaznamId=1108956&amp;reproId=3779644</v>
      </c>
      <c r="K1500">
        <f>IF(LEN(TRIM(E1500))=0,"",VLOOKUP(E1500,Sheet2!$B$1:$E$19,2,FALSE))</f>
        <v>1073</v>
      </c>
      <c r="L1500">
        <f>IF(LEN(TRIM(E1500))=0,"",VLOOKUP(E1500,Sheet2!$B$1:$E$19,3,FALSE))</f>
        <v>1108956</v>
      </c>
      <c r="M1500">
        <f>IF(LEN(TRIM(E1500))=0,"",VLOOKUP(E1500,Sheet2!$B$1:$E$19,4,FALSE))+(F1500-1)</f>
        <v>3779644</v>
      </c>
    </row>
    <row r="1501" spans="1:17" s="1" customFormat="1" ht="15" customHeight="1" x14ac:dyDescent="0.25">
      <c r="A1501" s="27" t="s">
        <v>152</v>
      </c>
      <c r="B1501" s="27" t="s">
        <v>564</v>
      </c>
      <c r="C1501" s="5" t="s">
        <v>1237</v>
      </c>
      <c r="D1501" s="3" t="s">
        <v>454</v>
      </c>
      <c r="E1501" s="3">
        <v>2170</v>
      </c>
      <c r="F1501" s="28">
        <v>43</v>
      </c>
      <c r="G1501" s="10">
        <v>39</v>
      </c>
      <c r="H1501" s="3">
        <v>64</v>
      </c>
      <c r="I1501" s="3">
        <v>60</v>
      </c>
      <c r="J1501" t="str">
        <f t="shared" si="23"/>
        <v>http://www.badatelna.eu/reprodukce/?fondId=1073&amp;zaznamId=1108956&amp;reproId=3779635</v>
      </c>
      <c r="K1501">
        <f>IF(LEN(TRIM(E1501))=0,"",VLOOKUP(E1501,Sheet2!$B$1:$E$19,2,FALSE))</f>
        <v>1073</v>
      </c>
      <c r="L1501">
        <f>IF(LEN(TRIM(E1501))=0,"",VLOOKUP(E1501,Sheet2!$B$1:$E$19,3,FALSE))</f>
        <v>1108956</v>
      </c>
      <c r="M1501">
        <f>IF(LEN(TRIM(E1501))=0,"",VLOOKUP(E1501,Sheet2!$B$1:$E$19,4,FALSE))+(F1501-1)</f>
        <v>3779635</v>
      </c>
      <c r="N1501"/>
      <c r="O1501"/>
      <c r="P1501"/>
      <c r="Q1501"/>
    </row>
    <row r="1502" spans="1:17" s="1" customFormat="1" ht="15" customHeight="1" x14ac:dyDescent="0.25">
      <c r="A1502" s="28" t="s">
        <v>152</v>
      </c>
      <c r="B1502" s="28" t="s">
        <v>0</v>
      </c>
      <c r="C1502" s="6" t="s">
        <v>2375</v>
      </c>
      <c r="D1502" s="1" t="s">
        <v>454</v>
      </c>
      <c r="E1502" s="1">
        <v>2173</v>
      </c>
      <c r="F1502" s="28">
        <v>201</v>
      </c>
      <c r="G1502" s="9">
        <v>12</v>
      </c>
      <c r="H1502" s="1" t="s">
        <v>3073</v>
      </c>
      <c r="I1502" s="1" t="s">
        <v>3073</v>
      </c>
      <c r="J1502" t="str">
        <f t="shared" si="23"/>
        <v>http://www.badatelna.eu/reprodukce/?fondId=1073&amp;zaznamId=1108959&amp;reproId=3780194</v>
      </c>
      <c r="K1502">
        <f>IF(LEN(TRIM(E1502))=0,"",VLOOKUP(E1502,Sheet2!$B$1:$E$19,2,FALSE))</f>
        <v>1073</v>
      </c>
      <c r="L1502">
        <f>IF(LEN(TRIM(E1502))=0,"",VLOOKUP(E1502,Sheet2!$B$1:$E$19,3,FALSE))</f>
        <v>1108959</v>
      </c>
      <c r="M1502">
        <f>IF(LEN(TRIM(E1502))=0,"",VLOOKUP(E1502,Sheet2!$B$1:$E$19,4,FALSE))+(F1502-1)</f>
        <v>3780194</v>
      </c>
      <c r="N1502"/>
      <c r="O1502"/>
      <c r="P1502"/>
      <c r="Q1502"/>
    </row>
    <row r="1503" spans="1:17" s="1" customFormat="1" ht="15" customHeight="1" x14ac:dyDescent="0.25">
      <c r="A1503" s="28" t="s">
        <v>152</v>
      </c>
      <c r="B1503" s="28" t="s">
        <v>25</v>
      </c>
      <c r="C1503" s="6" t="s">
        <v>1764</v>
      </c>
      <c r="D1503" s="1" t="s">
        <v>454</v>
      </c>
      <c r="E1503" s="1">
        <v>2172</v>
      </c>
      <c r="F1503" s="28">
        <v>142</v>
      </c>
      <c r="G1503" s="9">
        <v>139</v>
      </c>
      <c r="H1503" s="1">
        <v>145</v>
      </c>
      <c r="I1503" s="1">
        <v>142</v>
      </c>
      <c r="J1503" t="str">
        <f t="shared" si="23"/>
        <v>http://www.badatelna.eu/reprodukce/?fondId=1073&amp;zaznamId=1108958&amp;reproId=3779883</v>
      </c>
      <c r="K1503">
        <f>IF(LEN(TRIM(E1503))=0,"",VLOOKUP(E1503,Sheet2!$B$1:$E$19,2,FALSE))</f>
        <v>1073</v>
      </c>
      <c r="L1503">
        <f>IF(LEN(TRIM(E1503))=0,"",VLOOKUP(E1503,Sheet2!$B$1:$E$19,3,FALSE))</f>
        <v>1108958</v>
      </c>
      <c r="M1503">
        <f>IF(LEN(TRIM(E1503))=0,"",VLOOKUP(E1503,Sheet2!$B$1:$E$19,4,FALSE))+(F1503-1)</f>
        <v>3779883</v>
      </c>
    </row>
    <row r="1504" spans="1:17" s="1" customFormat="1" ht="15" customHeight="1" x14ac:dyDescent="0.25">
      <c r="A1504" s="28" t="s">
        <v>152</v>
      </c>
      <c r="B1504" s="28" t="s">
        <v>285</v>
      </c>
      <c r="C1504" s="6" t="s">
        <v>2107</v>
      </c>
      <c r="D1504" s="1" t="s">
        <v>454</v>
      </c>
      <c r="E1504" s="1">
        <v>2173</v>
      </c>
      <c r="F1504" s="28">
        <v>179</v>
      </c>
      <c r="G1504" s="9">
        <v>5</v>
      </c>
      <c r="H1504" s="1">
        <v>189</v>
      </c>
      <c r="I1504" s="1">
        <v>421</v>
      </c>
      <c r="J1504" t="str">
        <f t="shared" si="23"/>
        <v>http://www.badatelna.eu/reprodukce/?fondId=1073&amp;zaznamId=1108959&amp;reproId=3780172</v>
      </c>
      <c r="K1504">
        <f>IF(LEN(TRIM(E1504))=0,"",VLOOKUP(E1504,Sheet2!$B$1:$E$19,2,FALSE))</f>
        <v>1073</v>
      </c>
      <c r="L1504">
        <f>IF(LEN(TRIM(E1504))=0,"",VLOOKUP(E1504,Sheet2!$B$1:$E$19,3,FALSE))</f>
        <v>1108959</v>
      </c>
      <c r="M1504">
        <f>IF(LEN(TRIM(E1504))=0,"",VLOOKUP(E1504,Sheet2!$B$1:$E$19,4,FALSE))+(F1504-1)</f>
        <v>3780172</v>
      </c>
    </row>
    <row r="1505" spans="1:13" s="1" customFormat="1" ht="15" customHeight="1" x14ac:dyDescent="0.25">
      <c r="A1505" s="28" t="s">
        <v>152</v>
      </c>
      <c r="B1505" s="28" t="s">
        <v>469</v>
      </c>
      <c r="C1505" s="6" t="s">
        <v>1681</v>
      </c>
      <c r="D1505" s="1" t="s">
        <v>454</v>
      </c>
      <c r="E1505" s="1">
        <v>2172</v>
      </c>
      <c r="F1505" s="28">
        <v>106</v>
      </c>
      <c r="G1505" s="9" t="s">
        <v>2768</v>
      </c>
      <c r="H1505" s="1">
        <v>109</v>
      </c>
      <c r="I1505" s="1">
        <v>108</v>
      </c>
      <c r="J1505" t="str">
        <f t="shared" si="23"/>
        <v>http://www.badatelna.eu/reprodukce/?fondId=1073&amp;zaznamId=1108958&amp;reproId=3779847</v>
      </c>
      <c r="K1505">
        <f>IF(LEN(TRIM(E1505))=0,"",VLOOKUP(E1505,Sheet2!$B$1:$E$19,2,FALSE))</f>
        <v>1073</v>
      </c>
      <c r="L1505">
        <f>IF(LEN(TRIM(E1505))=0,"",VLOOKUP(E1505,Sheet2!$B$1:$E$19,3,FALSE))</f>
        <v>1108958</v>
      </c>
      <c r="M1505">
        <f>IF(LEN(TRIM(E1505))=0,"",VLOOKUP(E1505,Sheet2!$B$1:$E$19,4,FALSE))+(F1505-1)</f>
        <v>3779847</v>
      </c>
    </row>
    <row r="1506" spans="1:13" s="1" customFormat="1" ht="15" customHeight="1" x14ac:dyDescent="0.25">
      <c r="A1506" s="28" t="s">
        <v>152</v>
      </c>
      <c r="B1506" s="28" t="s">
        <v>54</v>
      </c>
      <c r="C1506" s="1">
        <v>1862</v>
      </c>
      <c r="D1506" s="1" t="s">
        <v>2919</v>
      </c>
      <c r="E1506" s="1">
        <v>999</v>
      </c>
      <c r="F1506" s="28">
        <v>80</v>
      </c>
      <c r="G1506" s="1">
        <v>1</v>
      </c>
      <c r="H1506" s="1">
        <v>103</v>
      </c>
      <c r="I1506" s="1">
        <v>162</v>
      </c>
      <c r="J1506" t="str">
        <f t="shared" si="23"/>
        <v>http://www.badatelna.eu/reprodukce/?fondId=241&amp;zaznamId=1133739&amp;reproId=3885809</v>
      </c>
      <c r="K1506">
        <f>IF(LEN(TRIM(E1506))=0,"",VLOOKUP(E1506,Sheet2!$B$1:$E$19,2,FALSE))</f>
        <v>241</v>
      </c>
      <c r="L1506">
        <f>IF(LEN(TRIM(E1506))=0,"",VLOOKUP(E1506,Sheet2!$B$1:$E$19,3,FALSE))</f>
        <v>1133739</v>
      </c>
      <c r="M1506">
        <f>IF(LEN(TRIM(E1506))=0,"",VLOOKUP(E1506,Sheet2!$B$1:$E$19,4,FALSE))+(F1506-1)</f>
        <v>3885809</v>
      </c>
    </row>
    <row r="1507" spans="1:13" s="1" customFormat="1" ht="15" customHeight="1" x14ac:dyDescent="0.25">
      <c r="A1507" s="28" t="s">
        <v>152</v>
      </c>
      <c r="B1507" s="28" t="s">
        <v>13</v>
      </c>
      <c r="C1507" s="6" t="s">
        <v>2914</v>
      </c>
      <c r="D1507" s="1" t="s">
        <v>454</v>
      </c>
      <c r="E1507" s="1">
        <v>2173</v>
      </c>
      <c r="F1507" s="28">
        <v>212</v>
      </c>
      <c r="G1507" s="9" t="s">
        <v>2911</v>
      </c>
      <c r="H1507" s="1" t="s">
        <v>3073</v>
      </c>
      <c r="I1507" s="1" t="s">
        <v>3073</v>
      </c>
      <c r="J1507" t="str">
        <f t="shared" si="23"/>
        <v>http://www.badatelna.eu/reprodukce/?fondId=1073&amp;zaznamId=1108959&amp;reproId=3780205</v>
      </c>
      <c r="K1507">
        <f>IF(LEN(TRIM(E1507))=0,"",VLOOKUP(E1507,Sheet2!$B$1:$E$19,2,FALSE))</f>
        <v>1073</v>
      </c>
      <c r="L1507">
        <f>IF(LEN(TRIM(E1507))=0,"",VLOOKUP(E1507,Sheet2!$B$1:$E$19,3,FALSE))</f>
        <v>1108959</v>
      </c>
      <c r="M1507">
        <f>IF(LEN(TRIM(E1507))=0,"",VLOOKUP(E1507,Sheet2!$B$1:$E$19,4,FALSE))+(F1507-1)</f>
        <v>3780205</v>
      </c>
    </row>
    <row r="1508" spans="1:13" s="1" customFormat="1" ht="15" customHeight="1" x14ac:dyDescent="0.25">
      <c r="A1508" s="28" t="s">
        <v>152</v>
      </c>
      <c r="B1508" s="28" t="s">
        <v>13</v>
      </c>
      <c r="C1508" s="6" t="s">
        <v>2108</v>
      </c>
      <c r="D1508" s="1" t="s">
        <v>454</v>
      </c>
      <c r="E1508" s="1">
        <v>2173</v>
      </c>
      <c r="F1508" s="28">
        <v>183</v>
      </c>
      <c r="G1508" s="9">
        <v>12</v>
      </c>
      <c r="H1508" s="1">
        <v>189</v>
      </c>
      <c r="I1508" s="1">
        <v>421</v>
      </c>
      <c r="J1508" t="str">
        <f t="shared" si="23"/>
        <v>http://www.badatelna.eu/reprodukce/?fondId=1073&amp;zaznamId=1108959&amp;reproId=3780176</v>
      </c>
      <c r="K1508">
        <f>IF(LEN(TRIM(E1508))=0,"",VLOOKUP(E1508,Sheet2!$B$1:$E$19,2,FALSE))</f>
        <v>1073</v>
      </c>
      <c r="L1508">
        <f>IF(LEN(TRIM(E1508))=0,"",VLOOKUP(E1508,Sheet2!$B$1:$E$19,3,FALSE))</f>
        <v>1108959</v>
      </c>
      <c r="M1508">
        <f>IF(LEN(TRIM(E1508))=0,"",VLOOKUP(E1508,Sheet2!$B$1:$E$19,4,FALSE))+(F1508-1)</f>
        <v>3780176</v>
      </c>
    </row>
    <row r="1509" spans="1:13" s="1" customFormat="1" ht="15" customHeight="1" x14ac:dyDescent="0.25">
      <c r="A1509" s="28" t="s">
        <v>937</v>
      </c>
      <c r="B1509" s="28" t="s">
        <v>314</v>
      </c>
      <c r="C1509" s="6" t="s">
        <v>1908</v>
      </c>
      <c r="D1509" s="1" t="s">
        <v>454</v>
      </c>
      <c r="E1509" s="1">
        <v>2172</v>
      </c>
      <c r="F1509" s="28">
        <v>209</v>
      </c>
      <c r="G1509" s="9">
        <v>193</v>
      </c>
      <c r="H1509" s="1" t="s">
        <v>3073</v>
      </c>
      <c r="I1509" s="1" t="s">
        <v>3073</v>
      </c>
      <c r="J1509" t="str">
        <f t="shared" si="23"/>
        <v>http://www.badatelna.eu/reprodukce/?fondId=1073&amp;zaznamId=1108958&amp;reproId=3779950</v>
      </c>
      <c r="K1509">
        <f>IF(LEN(TRIM(E1509))=0,"",VLOOKUP(E1509,Sheet2!$B$1:$E$19,2,FALSE))</f>
        <v>1073</v>
      </c>
      <c r="L1509">
        <f>IF(LEN(TRIM(E1509))=0,"",VLOOKUP(E1509,Sheet2!$B$1:$E$19,3,FALSE))</f>
        <v>1108958</v>
      </c>
      <c r="M1509">
        <f>IF(LEN(TRIM(E1509))=0,"",VLOOKUP(E1509,Sheet2!$B$1:$E$19,4,FALSE))+(F1509-1)</f>
        <v>3779950</v>
      </c>
    </row>
    <row r="1510" spans="1:13" s="1" customFormat="1" ht="15" customHeight="1" x14ac:dyDescent="0.25">
      <c r="A1510" s="28" t="s">
        <v>397</v>
      </c>
      <c r="B1510" s="29" t="s">
        <v>13</v>
      </c>
      <c r="C1510" s="6" t="s">
        <v>2593</v>
      </c>
      <c r="D1510" s="1" t="s">
        <v>454</v>
      </c>
      <c r="E1510" s="1">
        <v>2173</v>
      </c>
      <c r="F1510" s="28">
        <v>216</v>
      </c>
      <c r="G1510" s="9">
        <v>41</v>
      </c>
      <c r="H1510" s="1" t="s">
        <v>3073</v>
      </c>
      <c r="I1510" s="1" t="s">
        <v>3073</v>
      </c>
      <c r="J1510" t="str">
        <f t="shared" si="23"/>
        <v>http://www.badatelna.eu/reprodukce/?fondId=1073&amp;zaznamId=1108959&amp;reproId=3780209</v>
      </c>
      <c r="K1510">
        <f>IF(LEN(TRIM(E1510))=0,"",VLOOKUP(E1510,Sheet2!$B$1:$E$19,2,FALSE))</f>
        <v>1073</v>
      </c>
      <c r="L1510">
        <f>IF(LEN(TRIM(E1510))=0,"",VLOOKUP(E1510,Sheet2!$B$1:$E$19,3,FALSE))</f>
        <v>1108959</v>
      </c>
      <c r="M1510">
        <f>IF(LEN(TRIM(E1510))=0,"",VLOOKUP(E1510,Sheet2!$B$1:$E$19,4,FALSE))+(F1510-1)</f>
        <v>3780209</v>
      </c>
    </row>
    <row r="1511" spans="1:13" s="1" customFormat="1" ht="15" customHeight="1" x14ac:dyDescent="0.25">
      <c r="A1511" s="28" t="s">
        <v>38</v>
      </c>
      <c r="B1511" s="28" t="s">
        <v>357</v>
      </c>
      <c r="C1511" s="6" t="s">
        <v>1765</v>
      </c>
      <c r="D1511" s="1" t="s">
        <v>454</v>
      </c>
      <c r="E1511" s="1">
        <v>2172</v>
      </c>
      <c r="F1511" s="28">
        <v>144</v>
      </c>
      <c r="G1511" s="9">
        <v>141</v>
      </c>
      <c r="H1511" s="1">
        <v>145</v>
      </c>
      <c r="I1511" s="1">
        <v>142</v>
      </c>
      <c r="J1511" t="str">
        <f t="shared" si="23"/>
        <v>http://www.badatelna.eu/reprodukce/?fondId=1073&amp;zaznamId=1108958&amp;reproId=3779885</v>
      </c>
      <c r="K1511">
        <f>IF(LEN(TRIM(E1511))=0,"",VLOOKUP(E1511,Sheet2!$B$1:$E$19,2,FALSE))</f>
        <v>1073</v>
      </c>
      <c r="L1511">
        <f>IF(LEN(TRIM(E1511))=0,"",VLOOKUP(E1511,Sheet2!$B$1:$E$19,3,FALSE))</f>
        <v>1108958</v>
      </c>
      <c r="M1511">
        <f>IF(LEN(TRIM(E1511))=0,"",VLOOKUP(E1511,Sheet2!$B$1:$E$19,4,FALSE))+(F1511-1)</f>
        <v>3779885</v>
      </c>
    </row>
    <row r="1512" spans="1:13" s="1" customFormat="1" ht="15" customHeight="1" x14ac:dyDescent="0.25">
      <c r="A1512" s="28" t="s">
        <v>38</v>
      </c>
      <c r="B1512" s="28" t="s">
        <v>280</v>
      </c>
      <c r="C1512" s="6" t="s">
        <v>2110</v>
      </c>
      <c r="D1512" s="1" t="s">
        <v>454</v>
      </c>
      <c r="E1512" s="1">
        <v>2173</v>
      </c>
      <c r="F1512" s="28">
        <v>177</v>
      </c>
      <c r="G1512" s="9">
        <v>1</v>
      </c>
      <c r="H1512" s="1">
        <v>189</v>
      </c>
      <c r="I1512" s="1">
        <v>421</v>
      </c>
      <c r="J1512" t="str">
        <f t="shared" si="23"/>
        <v>http://www.badatelna.eu/reprodukce/?fondId=1073&amp;zaznamId=1108959&amp;reproId=3780170</v>
      </c>
      <c r="K1512">
        <f>IF(LEN(TRIM(E1512))=0,"",VLOOKUP(E1512,Sheet2!$B$1:$E$19,2,FALSE))</f>
        <v>1073</v>
      </c>
      <c r="L1512">
        <f>IF(LEN(TRIM(E1512))=0,"",VLOOKUP(E1512,Sheet2!$B$1:$E$19,3,FALSE))</f>
        <v>1108959</v>
      </c>
      <c r="M1512">
        <f>IF(LEN(TRIM(E1512))=0,"",VLOOKUP(E1512,Sheet2!$B$1:$E$19,4,FALSE))+(F1512-1)</f>
        <v>3780170</v>
      </c>
    </row>
    <row r="1513" spans="1:13" s="1" customFormat="1" ht="15" customHeight="1" x14ac:dyDescent="0.25">
      <c r="A1513" s="28" t="s">
        <v>38</v>
      </c>
      <c r="B1513" s="28" t="s">
        <v>2982</v>
      </c>
      <c r="C1513" s="1">
        <v>1861</v>
      </c>
      <c r="D1513" s="1" t="s">
        <v>2919</v>
      </c>
      <c r="E1513" s="1">
        <v>998</v>
      </c>
      <c r="F1513" s="28">
        <v>60</v>
      </c>
      <c r="G1513" s="1">
        <v>57</v>
      </c>
      <c r="H1513" s="1">
        <v>72</v>
      </c>
      <c r="I1513" s="1">
        <v>69</v>
      </c>
      <c r="J1513" t="str">
        <f t="shared" si="23"/>
        <v>http://www.badatelna.eu/reprodukce/?fondId=241&amp;zaznamId=1133738&amp;reproId=3885706</v>
      </c>
      <c r="K1513">
        <f>IF(LEN(TRIM(E1513))=0,"",VLOOKUP(E1513,Sheet2!$B$1:$E$19,2,FALSE))</f>
        <v>241</v>
      </c>
      <c r="L1513">
        <f>IF(LEN(TRIM(E1513))=0,"",VLOOKUP(E1513,Sheet2!$B$1:$E$19,3,FALSE))</f>
        <v>1133738</v>
      </c>
      <c r="M1513">
        <f>IF(LEN(TRIM(E1513))=0,"",VLOOKUP(E1513,Sheet2!$B$1:$E$19,4,FALSE))+(F1513-1)</f>
        <v>3885706</v>
      </c>
    </row>
    <row r="1514" spans="1:13" s="1" customFormat="1" ht="15" customHeight="1" x14ac:dyDescent="0.25">
      <c r="A1514" s="28" t="s">
        <v>38</v>
      </c>
      <c r="B1514" s="28" t="s">
        <v>84</v>
      </c>
      <c r="C1514" s="1">
        <v>1866</v>
      </c>
      <c r="D1514" s="1" t="s">
        <v>2919</v>
      </c>
      <c r="E1514" s="1">
        <v>999</v>
      </c>
      <c r="F1514" s="28">
        <v>90</v>
      </c>
      <c r="G1514" s="1">
        <v>11</v>
      </c>
      <c r="H1514" s="1">
        <v>103</v>
      </c>
      <c r="I1514" s="1">
        <v>162</v>
      </c>
      <c r="J1514" t="str">
        <f t="shared" si="23"/>
        <v>http://www.badatelna.eu/reprodukce/?fondId=241&amp;zaznamId=1133739&amp;reproId=3885819</v>
      </c>
      <c r="K1514">
        <f>IF(LEN(TRIM(E1514))=0,"",VLOOKUP(E1514,Sheet2!$B$1:$E$19,2,FALSE))</f>
        <v>241</v>
      </c>
      <c r="L1514">
        <f>IF(LEN(TRIM(E1514))=0,"",VLOOKUP(E1514,Sheet2!$B$1:$E$19,3,FALSE))</f>
        <v>1133739</v>
      </c>
      <c r="M1514">
        <f>IF(LEN(TRIM(E1514))=0,"",VLOOKUP(E1514,Sheet2!$B$1:$E$19,4,FALSE))+(F1514-1)</f>
        <v>3885819</v>
      </c>
    </row>
    <row r="1515" spans="1:13" s="1" customFormat="1" ht="15" customHeight="1" x14ac:dyDescent="0.25">
      <c r="A1515" s="28" t="s">
        <v>38</v>
      </c>
      <c r="B1515" s="28" t="s">
        <v>84</v>
      </c>
      <c r="C1515" s="6" t="s">
        <v>2886</v>
      </c>
      <c r="D1515" s="1" t="s">
        <v>454</v>
      </c>
      <c r="E1515" s="1">
        <v>2173</v>
      </c>
      <c r="F1515" s="28">
        <v>211</v>
      </c>
      <c r="G1515" s="9" t="s">
        <v>2881</v>
      </c>
      <c r="H1515" s="1" t="s">
        <v>3073</v>
      </c>
      <c r="I1515" s="1" t="s">
        <v>3073</v>
      </c>
      <c r="J1515" t="str">
        <f t="shared" si="23"/>
        <v>http://www.badatelna.eu/reprodukce/?fondId=1073&amp;zaznamId=1108959&amp;reproId=3780204</v>
      </c>
      <c r="K1515">
        <f>IF(LEN(TRIM(E1515))=0,"",VLOOKUP(E1515,Sheet2!$B$1:$E$19,2,FALSE))</f>
        <v>1073</v>
      </c>
      <c r="L1515">
        <f>IF(LEN(TRIM(E1515))=0,"",VLOOKUP(E1515,Sheet2!$B$1:$E$19,3,FALSE))</f>
        <v>1108959</v>
      </c>
      <c r="M1515">
        <f>IF(LEN(TRIM(E1515))=0,"",VLOOKUP(E1515,Sheet2!$B$1:$E$19,4,FALSE))+(F1515-1)</f>
        <v>3780204</v>
      </c>
    </row>
    <row r="1516" spans="1:13" s="1" customFormat="1" ht="15" customHeight="1" x14ac:dyDescent="0.25">
      <c r="A1516" s="27" t="s">
        <v>38</v>
      </c>
      <c r="B1516" s="27" t="s">
        <v>434</v>
      </c>
      <c r="C1516" s="5" t="s">
        <v>1239</v>
      </c>
      <c r="D1516" s="3" t="s">
        <v>454</v>
      </c>
      <c r="E1516" s="3">
        <v>2170</v>
      </c>
      <c r="F1516" s="31">
        <v>18</v>
      </c>
      <c r="G1516" s="10">
        <v>14</v>
      </c>
      <c r="H1516" s="3">
        <v>64</v>
      </c>
      <c r="I1516" s="3">
        <v>60</v>
      </c>
      <c r="J1516" t="str">
        <f t="shared" si="23"/>
        <v>http://www.badatelna.eu/reprodukce/?fondId=1073&amp;zaznamId=1108956&amp;reproId=3779610</v>
      </c>
      <c r="K1516">
        <f>IF(LEN(TRIM(E1516))=0,"",VLOOKUP(E1516,Sheet2!$B$1:$E$19,2,FALSE))</f>
        <v>1073</v>
      </c>
      <c r="L1516">
        <f>IF(LEN(TRIM(E1516))=0,"",VLOOKUP(E1516,Sheet2!$B$1:$E$19,3,FALSE))</f>
        <v>1108956</v>
      </c>
      <c r="M1516">
        <f>IF(LEN(TRIM(E1516))=0,"",VLOOKUP(E1516,Sheet2!$B$1:$E$19,4,FALSE))+(F1516-1)</f>
        <v>3779610</v>
      </c>
    </row>
    <row r="1517" spans="1:13" s="1" customFormat="1" ht="15" customHeight="1" x14ac:dyDescent="0.25">
      <c r="A1517" s="28" t="s">
        <v>38</v>
      </c>
      <c r="B1517" s="28" t="s">
        <v>443</v>
      </c>
      <c r="C1517" s="1">
        <v>1852</v>
      </c>
      <c r="D1517" s="1" t="s">
        <v>2919</v>
      </c>
      <c r="E1517" s="1">
        <v>998</v>
      </c>
      <c r="F1517" s="28">
        <v>35</v>
      </c>
      <c r="G1517" s="1">
        <v>33</v>
      </c>
      <c r="H1517" s="1">
        <v>72</v>
      </c>
      <c r="I1517" s="1">
        <v>69</v>
      </c>
      <c r="J1517" t="str">
        <f t="shared" si="23"/>
        <v>http://www.badatelna.eu/reprodukce/?fondId=241&amp;zaznamId=1133738&amp;reproId=3885681</v>
      </c>
      <c r="K1517">
        <f>IF(LEN(TRIM(E1517))=0,"",VLOOKUP(E1517,Sheet2!$B$1:$E$19,2,FALSE))</f>
        <v>241</v>
      </c>
      <c r="L1517">
        <f>IF(LEN(TRIM(E1517))=0,"",VLOOKUP(E1517,Sheet2!$B$1:$E$19,3,FALSE))</f>
        <v>1133738</v>
      </c>
      <c r="M1517">
        <f>IF(LEN(TRIM(E1517))=0,"",VLOOKUP(E1517,Sheet2!$B$1:$E$19,4,FALSE))+(F1517-1)</f>
        <v>3885681</v>
      </c>
    </row>
    <row r="1518" spans="1:13" s="1" customFormat="1" ht="15" customHeight="1" x14ac:dyDescent="0.25">
      <c r="A1518" s="28" t="s">
        <v>38</v>
      </c>
      <c r="B1518" s="28" t="s">
        <v>443</v>
      </c>
      <c r="C1518" s="6" t="s">
        <v>2717</v>
      </c>
      <c r="D1518" s="1" t="s">
        <v>454</v>
      </c>
      <c r="E1518" s="1">
        <v>2173</v>
      </c>
      <c r="F1518" s="28">
        <v>225</v>
      </c>
      <c r="G1518" s="9">
        <v>56</v>
      </c>
      <c r="H1518" s="1" t="s">
        <v>3073</v>
      </c>
      <c r="I1518" s="1" t="s">
        <v>3073</v>
      </c>
      <c r="J1518" t="str">
        <f t="shared" si="23"/>
        <v>http://www.badatelna.eu/reprodukce/?fondId=1073&amp;zaznamId=1108959&amp;reproId=3780218</v>
      </c>
      <c r="K1518">
        <f>IF(LEN(TRIM(E1518))=0,"",VLOOKUP(E1518,Sheet2!$B$1:$E$19,2,FALSE))</f>
        <v>1073</v>
      </c>
      <c r="L1518">
        <f>IF(LEN(TRIM(E1518))=0,"",VLOOKUP(E1518,Sheet2!$B$1:$E$19,3,FALSE))</f>
        <v>1108959</v>
      </c>
      <c r="M1518">
        <f>IF(LEN(TRIM(E1518))=0,"",VLOOKUP(E1518,Sheet2!$B$1:$E$19,4,FALSE))+(F1518-1)</f>
        <v>3780218</v>
      </c>
    </row>
    <row r="1519" spans="1:13" s="1" customFormat="1" ht="15" customHeight="1" x14ac:dyDescent="0.25">
      <c r="A1519" s="28" t="s">
        <v>38</v>
      </c>
      <c r="B1519" s="28" t="s">
        <v>117</v>
      </c>
      <c r="C1519" s="6" t="s">
        <v>2310</v>
      </c>
      <c r="D1519" s="1" t="s">
        <v>454</v>
      </c>
      <c r="E1519" s="1">
        <v>2173</v>
      </c>
      <c r="F1519" s="31">
        <v>199</v>
      </c>
      <c r="G1519" s="9">
        <v>7</v>
      </c>
      <c r="H1519" s="1" t="s">
        <v>3073</v>
      </c>
      <c r="I1519" s="1" t="s">
        <v>3073</v>
      </c>
      <c r="J1519" t="str">
        <f t="shared" si="23"/>
        <v>http://www.badatelna.eu/reprodukce/?fondId=1073&amp;zaznamId=1108959&amp;reproId=3780192</v>
      </c>
      <c r="K1519">
        <f>IF(LEN(TRIM(E1519))=0,"",VLOOKUP(E1519,Sheet2!$B$1:$E$19,2,FALSE))</f>
        <v>1073</v>
      </c>
      <c r="L1519">
        <f>IF(LEN(TRIM(E1519))=0,"",VLOOKUP(E1519,Sheet2!$B$1:$E$19,3,FALSE))</f>
        <v>1108959</v>
      </c>
      <c r="M1519">
        <f>IF(LEN(TRIM(E1519))=0,"",VLOOKUP(E1519,Sheet2!$B$1:$E$19,4,FALSE))+(F1519-1)</f>
        <v>3780192</v>
      </c>
    </row>
    <row r="1520" spans="1:13" s="1" customFormat="1" ht="15" customHeight="1" x14ac:dyDescent="0.25">
      <c r="A1520" s="28" t="s">
        <v>38</v>
      </c>
      <c r="B1520" s="28" t="s">
        <v>529</v>
      </c>
      <c r="C1520" s="1">
        <v>1854</v>
      </c>
      <c r="D1520" s="1" t="s">
        <v>2919</v>
      </c>
      <c r="E1520" s="1">
        <v>998</v>
      </c>
      <c r="F1520" s="28">
        <v>41</v>
      </c>
      <c r="G1520" s="1">
        <v>39</v>
      </c>
      <c r="H1520" s="1">
        <v>72</v>
      </c>
      <c r="I1520" s="1">
        <v>69</v>
      </c>
      <c r="J1520" t="str">
        <f t="shared" si="23"/>
        <v>http://www.badatelna.eu/reprodukce/?fondId=241&amp;zaznamId=1133738&amp;reproId=3885687</v>
      </c>
      <c r="K1520">
        <f>IF(LEN(TRIM(E1520))=0,"",VLOOKUP(E1520,Sheet2!$B$1:$E$19,2,FALSE))</f>
        <v>241</v>
      </c>
      <c r="L1520">
        <f>IF(LEN(TRIM(E1520))=0,"",VLOOKUP(E1520,Sheet2!$B$1:$E$19,3,FALSE))</f>
        <v>1133738</v>
      </c>
      <c r="M1520">
        <f>IF(LEN(TRIM(E1520))=0,"",VLOOKUP(E1520,Sheet2!$B$1:$E$19,4,FALSE))+(F1520-1)</f>
        <v>3885687</v>
      </c>
    </row>
    <row r="1521" spans="1:17" s="1" customFormat="1" ht="15" customHeight="1" x14ac:dyDescent="0.25">
      <c r="A1521" s="28" t="s">
        <v>38</v>
      </c>
      <c r="B1521" s="28" t="s">
        <v>529</v>
      </c>
      <c r="C1521" s="1">
        <v>1860</v>
      </c>
      <c r="D1521" s="1" t="s">
        <v>2919</v>
      </c>
      <c r="E1521" s="1">
        <v>998</v>
      </c>
      <c r="F1521" s="28">
        <v>57</v>
      </c>
      <c r="G1521" s="1">
        <v>54</v>
      </c>
      <c r="H1521" s="1">
        <v>72</v>
      </c>
      <c r="I1521" s="1">
        <v>69</v>
      </c>
      <c r="J1521" t="str">
        <f t="shared" si="23"/>
        <v>http://www.badatelna.eu/reprodukce/?fondId=241&amp;zaznamId=1133738&amp;reproId=3885703</v>
      </c>
      <c r="K1521">
        <f>IF(LEN(TRIM(E1521))=0,"",VLOOKUP(E1521,Sheet2!$B$1:$E$19,2,FALSE))</f>
        <v>241</v>
      </c>
      <c r="L1521">
        <f>IF(LEN(TRIM(E1521))=0,"",VLOOKUP(E1521,Sheet2!$B$1:$E$19,3,FALSE))</f>
        <v>1133738</v>
      </c>
      <c r="M1521">
        <f>IF(LEN(TRIM(E1521))=0,"",VLOOKUP(E1521,Sheet2!$B$1:$E$19,4,FALSE))+(F1521-1)</f>
        <v>3885703</v>
      </c>
    </row>
    <row r="1522" spans="1:17" s="1" customFormat="1" ht="15" customHeight="1" x14ac:dyDescent="0.25">
      <c r="A1522" s="27" t="s">
        <v>38</v>
      </c>
      <c r="B1522" s="27" t="s">
        <v>529</v>
      </c>
      <c r="C1522" s="5" t="s">
        <v>1238</v>
      </c>
      <c r="D1522" s="3" t="s">
        <v>454</v>
      </c>
      <c r="E1522" s="3">
        <v>2170</v>
      </c>
      <c r="F1522" s="28">
        <v>22</v>
      </c>
      <c r="G1522" s="10">
        <v>18</v>
      </c>
      <c r="H1522" s="3">
        <v>64</v>
      </c>
      <c r="I1522" s="3">
        <v>60</v>
      </c>
      <c r="J1522" t="str">
        <f t="shared" si="23"/>
        <v>http://www.badatelna.eu/reprodukce/?fondId=1073&amp;zaznamId=1108956&amp;reproId=3779614</v>
      </c>
      <c r="K1522">
        <f>IF(LEN(TRIM(E1522))=0,"",VLOOKUP(E1522,Sheet2!$B$1:$E$19,2,FALSE))</f>
        <v>1073</v>
      </c>
      <c r="L1522">
        <f>IF(LEN(TRIM(E1522))=0,"",VLOOKUP(E1522,Sheet2!$B$1:$E$19,3,FALSE))</f>
        <v>1108956</v>
      </c>
      <c r="M1522">
        <f>IF(LEN(TRIM(E1522))=0,"",VLOOKUP(E1522,Sheet2!$B$1:$E$19,4,FALSE))+(F1522-1)</f>
        <v>3779614</v>
      </c>
    </row>
    <row r="1523" spans="1:17" s="1" customFormat="1" ht="15" customHeight="1" x14ac:dyDescent="0.25">
      <c r="A1523" s="28" t="s">
        <v>38</v>
      </c>
      <c r="B1523" s="28" t="s">
        <v>10</v>
      </c>
      <c r="C1523" s="6" t="s">
        <v>1643</v>
      </c>
      <c r="D1523" s="1" t="s">
        <v>454</v>
      </c>
      <c r="E1523" s="1">
        <v>2172</v>
      </c>
      <c r="F1523" s="28">
        <v>93</v>
      </c>
      <c r="G1523" s="9">
        <v>92</v>
      </c>
      <c r="H1523" s="1">
        <v>96</v>
      </c>
      <c r="I1523" s="1">
        <v>95</v>
      </c>
      <c r="J1523" t="str">
        <f t="shared" si="23"/>
        <v>http://www.badatelna.eu/reprodukce/?fondId=1073&amp;zaznamId=1108958&amp;reproId=3779834</v>
      </c>
      <c r="K1523">
        <f>IF(LEN(TRIM(E1523))=0,"",VLOOKUP(E1523,Sheet2!$B$1:$E$19,2,FALSE))</f>
        <v>1073</v>
      </c>
      <c r="L1523">
        <f>IF(LEN(TRIM(E1523))=0,"",VLOOKUP(E1523,Sheet2!$B$1:$E$19,3,FALSE))</f>
        <v>1108958</v>
      </c>
      <c r="M1523">
        <f>IF(LEN(TRIM(E1523))=0,"",VLOOKUP(E1523,Sheet2!$B$1:$E$19,4,FALSE))+(F1523-1)</f>
        <v>3779834</v>
      </c>
      <c r="N1523"/>
      <c r="O1523"/>
      <c r="P1523"/>
      <c r="Q1523"/>
    </row>
    <row r="1524" spans="1:17" s="1" customFormat="1" ht="15" customHeight="1" x14ac:dyDescent="0.25">
      <c r="A1524" s="28" t="s">
        <v>38</v>
      </c>
      <c r="B1524" s="28" t="s">
        <v>462</v>
      </c>
      <c r="C1524" s="1">
        <v>1861</v>
      </c>
      <c r="D1524" s="1" t="s">
        <v>2919</v>
      </c>
      <c r="E1524" s="1">
        <v>998</v>
      </c>
      <c r="F1524" s="28">
        <v>60</v>
      </c>
      <c r="G1524" s="1">
        <v>57</v>
      </c>
      <c r="H1524" s="1">
        <v>72</v>
      </c>
      <c r="I1524" s="1">
        <v>69</v>
      </c>
      <c r="J1524" t="str">
        <f t="shared" si="23"/>
        <v>http://www.badatelna.eu/reprodukce/?fondId=241&amp;zaznamId=1133738&amp;reproId=3885706</v>
      </c>
      <c r="K1524">
        <f>IF(LEN(TRIM(E1524))=0,"",VLOOKUP(E1524,Sheet2!$B$1:$E$19,2,FALSE))</f>
        <v>241</v>
      </c>
      <c r="L1524">
        <f>IF(LEN(TRIM(E1524))=0,"",VLOOKUP(E1524,Sheet2!$B$1:$E$19,3,FALSE))</f>
        <v>1133738</v>
      </c>
      <c r="M1524">
        <f>IF(LEN(TRIM(E1524))=0,"",VLOOKUP(E1524,Sheet2!$B$1:$E$19,4,FALSE))+(F1524-1)</f>
        <v>3885706</v>
      </c>
    </row>
    <row r="1525" spans="1:17" s="1" customFormat="1" ht="15" customHeight="1" x14ac:dyDescent="0.25">
      <c r="A1525" s="28" t="s">
        <v>38</v>
      </c>
      <c r="B1525" s="28" t="s">
        <v>28</v>
      </c>
      <c r="C1525" s="1">
        <v>1857</v>
      </c>
      <c r="D1525" s="1" t="s">
        <v>2919</v>
      </c>
      <c r="E1525" s="1">
        <v>998</v>
      </c>
      <c r="F1525" s="28">
        <v>51</v>
      </c>
      <c r="G1525" s="1">
        <v>49</v>
      </c>
      <c r="H1525" s="1">
        <v>72</v>
      </c>
      <c r="I1525" s="1">
        <v>69</v>
      </c>
      <c r="J1525" t="str">
        <f t="shared" si="23"/>
        <v>http://www.badatelna.eu/reprodukce/?fondId=241&amp;zaznamId=1133738&amp;reproId=3885697</v>
      </c>
      <c r="K1525">
        <f>IF(LEN(TRIM(E1525))=0,"",VLOOKUP(E1525,Sheet2!$B$1:$E$19,2,FALSE))</f>
        <v>241</v>
      </c>
      <c r="L1525">
        <f>IF(LEN(TRIM(E1525))=0,"",VLOOKUP(E1525,Sheet2!$B$1:$E$19,3,FALSE))</f>
        <v>1133738</v>
      </c>
      <c r="M1525">
        <f>IF(LEN(TRIM(E1525))=0,"",VLOOKUP(E1525,Sheet2!$B$1:$E$19,4,FALSE))+(F1525-1)</f>
        <v>3885697</v>
      </c>
      <c r="N1525"/>
      <c r="O1525"/>
      <c r="P1525"/>
      <c r="Q1525"/>
    </row>
    <row r="1526" spans="1:17" s="1" customFormat="1" ht="15" customHeight="1" x14ac:dyDescent="0.25">
      <c r="A1526" s="28" t="s">
        <v>38</v>
      </c>
      <c r="B1526" s="28" t="s">
        <v>39</v>
      </c>
      <c r="C1526" s="6" t="s">
        <v>2910</v>
      </c>
      <c r="D1526" s="1" t="s">
        <v>454</v>
      </c>
      <c r="E1526" s="1">
        <v>2173</v>
      </c>
      <c r="F1526" s="28">
        <v>212</v>
      </c>
      <c r="G1526" s="9" t="s">
        <v>2911</v>
      </c>
      <c r="H1526" s="1" t="s">
        <v>3073</v>
      </c>
      <c r="I1526" s="1" t="s">
        <v>3073</v>
      </c>
      <c r="J1526" t="str">
        <f t="shared" si="23"/>
        <v>http://www.badatelna.eu/reprodukce/?fondId=1073&amp;zaznamId=1108959&amp;reproId=3780205</v>
      </c>
      <c r="K1526">
        <f>IF(LEN(TRIM(E1526))=0,"",VLOOKUP(E1526,Sheet2!$B$1:$E$19,2,FALSE))</f>
        <v>1073</v>
      </c>
      <c r="L1526">
        <f>IF(LEN(TRIM(E1526))=0,"",VLOOKUP(E1526,Sheet2!$B$1:$E$19,3,FALSE))</f>
        <v>1108959</v>
      </c>
      <c r="M1526">
        <f>IF(LEN(TRIM(E1526))=0,"",VLOOKUP(E1526,Sheet2!$B$1:$E$19,4,FALSE))+(F1526-1)</f>
        <v>3780205</v>
      </c>
    </row>
    <row r="1527" spans="1:17" s="1" customFormat="1" ht="15" customHeight="1" x14ac:dyDescent="0.25">
      <c r="A1527" s="28" t="s">
        <v>38</v>
      </c>
      <c r="B1527" s="28" t="s">
        <v>39</v>
      </c>
      <c r="C1527" s="6" t="s">
        <v>2229</v>
      </c>
      <c r="D1527" s="1" t="s">
        <v>454</v>
      </c>
      <c r="E1527" s="1">
        <v>2173</v>
      </c>
      <c r="F1527" s="28">
        <v>196</v>
      </c>
      <c r="G1527" s="9">
        <v>2</v>
      </c>
      <c r="H1527" s="1" t="s">
        <v>3073</v>
      </c>
      <c r="I1527" s="1" t="s">
        <v>3073</v>
      </c>
      <c r="J1527" t="str">
        <f t="shared" si="23"/>
        <v>http://www.badatelna.eu/reprodukce/?fondId=1073&amp;zaznamId=1108959&amp;reproId=3780189</v>
      </c>
      <c r="K1527">
        <f>IF(LEN(TRIM(E1527))=0,"",VLOOKUP(E1527,Sheet2!$B$1:$E$19,2,FALSE))</f>
        <v>1073</v>
      </c>
      <c r="L1527">
        <f>IF(LEN(TRIM(E1527))=0,"",VLOOKUP(E1527,Sheet2!$B$1:$E$19,3,FALSE))</f>
        <v>1108959</v>
      </c>
      <c r="M1527">
        <f>IF(LEN(TRIM(E1527))=0,"",VLOOKUP(E1527,Sheet2!$B$1:$E$19,4,FALSE))+(F1527-1)</f>
        <v>3780189</v>
      </c>
    </row>
    <row r="1528" spans="1:17" s="1" customFormat="1" ht="15" customHeight="1" x14ac:dyDescent="0.25">
      <c r="A1528" s="28" t="s">
        <v>38</v>
      </c>
      <c r="B1528" s="28" t="s">
        <v>48</v>
      </c>
      <c r="C1528" s="6" t="s">
        <v>2492</v>
      </c>
      <c r="D1528" s="1" t="s">
        <v>454</v>
      </c>
      <c r="E1528" s="1">
        <v>2173</v>
      </c>
      <c r="F1528" s="28">
        <v>205</v>
      </c>
      <c r="G1528" s="1">
        <v>20</v>
      </c>
      <c r="H1528" s="1" t="s">
        <v>3073</v>
      </c>
      <c r="I1528" s="1" t="s">
        <v>3073</v>
      </c>
      <c r="J1528" t="str">
        <f t="shared" si="23"/>
        <v>http://www.badatelna.eu/reprodukce/?fondId=1073&amp;zaznamId=1108959&amp;reproId=3780198</v>
      </c>
      <c r="K1528">
        <f>IF(LEN(TRIM(E1528))=0,"",VLOOKUP(E1528,Sheet2!$B$1:$E$19,2,FALSE))</f>
        <v>1073</v>
      </c>
      <c r="L1528">
        <f>IF(LEN(TRIM(E1528))=0,"",VLOOKUP(E1528,Sheet2!$B$1:$E$19,3,FALSE))</f>
        <v>1108959</v>
      </c>
      <c r="M1528">
        <f>IF(LEN(TRIM(E1528))=0,"",VLOOKUP(E1528,Sheet2!$B$1:$E$19,4,FALSE))+(F1528-1)</f>
        <v>3780198</v>
      </c>
    </row>
    <row r="1529" spans="1:17" s="1" customFormat="1" ht="15" customHeight="1" x14ac:dyDescent="0.25">
      <c r="A1529" s="28" t="s">
        <v>38</v>
      </c>
      <c r="B1529" s="28" t="s">
        <v>259</v>
      </c>
      <c r="C1529" s="6" t="s">
        <v>2111</v>
      </c>
      <c r="D1529" s="1" t="s">
        <v>454</v>
      </c>
      <c r="E1529" s="1">
        <v>2173</v>
      </c>
      <c r="F1529" s="28">
        <v>179</v>
      </c>
      <c r="G1529" s="9">
        <v>4</v>
      </c>
      <c r="H1529" s="1">
        <v>189</v>
      </c>
      <c r="I1529" s="1">
        <v>421</v>
      </c>
      <c r="J1529" t="str">
        <f t="shared" si="23"/>
        <v>http://www.badatelna.eu/reprodukce/?fondId=1073&amp;zaznamId=1108959&amp;reproId=3780172</v>
      </c>
      <c r="K1529">
        <f>IF(LEN(TRIM(E1529))=0,"",VLOOKUP(E1529,Sheet2!$B$1:$E$19,2,FALSE))</f>
        <v>1073</v>
      </c>
      <c r="L1529">
        <f>IF(LEN(TRIM(E1529))=0,"",VLOOKUP(E1529,Sheet2!$B$1:$E$19,3,FALSE))</f>
        <v>1108959</v>
      </c>
      <c r="M1529">
        <f>IF(LEN(TRIM(E1529))=0,"",VLOOKUP(E1529,Sheet2!$B$1:$E$19,4,FALSE))+(F1529-1)</f>
        <v>3780172</v>
      </c>
      <c r="N1529"/>
      <c r="O1529"/>
      <c r="P1529"/>
      <c r="Q1529"/>
    </row>
    <row r="1530" spans="1:17" s="1" customFormat="1" ht="15" customHeight="1" x14ac:dyDescent="0.25">
      <c r="A1530" s="28" t="s">
        <v>38</v>
      </c>
      <c r="B1530" s="28" t="s">
        <v>311</v>
      </c>
      <c r="C1530" s="6" t="s">
        <v>2109</v>
      </c>
      <c r="D1530" s="1" t="s">
        <v>454</v>
      </c>
      <c r="E1530" s="1">
        <v>2173</v>
      </c>
      <c r="F1530" s="28">
        <v>177</v>
      </c>
      <c r="G1530" s="9">
        <v>1</v>
      </c>
      <c r="H1530" s="1">
        <v>189</v>
      </c>
      <c r="I1530" s="1">
        <v>421</v>
      </c>
      <c r="J1530" t="str">
        <f t="shared" si="23"/>
        <v>http://www.badatelna.eu/reprodukce/?fondId=1073&amp;zaznamId=1108959&amp;reproId=3780170</v>
      </c>
      <c r="K1530">
        <f>IF(LEN(TRIM(E1530))=0,"",VLOOKUP(E1530,Sheet2!$B$1:$E$19,2,FALSE))</f>
        <v>1073</v>
      </c>
      <c r="L1530">
        <f>IF(LEN(TRIM(E1530))=0,"",VLOOKUP(E1530,Sheet2!$B$1:$E$19,3,FALSE))</f>
        <v>1108959</v>
      </c>
      <c r="M1530">
        <f>IF(LEN(TRIM(E1530))=0,"",VLOOKUP(E1530,Sheet2!$B$1:$E$19,4,FALSE))+(F1530-1)</f>
        <v>3780170</v>
      </c>
    </row>
    <row r="1531" spans="1:17" s="1" customFormat="1" ht="15" customHeight="1" x14ac:dyDescent="0.25">
      <c r="A1531" s="28" t="s">
        <v>2981</v>
      </c>
      <c r="B1531" s="28" t="s">
        <v>552</v>
      </c>
      <c r="C1531" s="1">
        <v>1858</v>
      </c>
      <c r="D1531" s="1" t="s">
        <v>2919</v>
      </c>
      <c r="E1531" s="1">
        <v>998</v>
      </c>
      <c r="F1531" s="28">
        <v>54</v>
      </c>
      <c r="G1531" s="1">
        <v>52</v>
      </c>
      <c r="H1531" s="1">
        <v>72</v>
      </c>
      <c r="I1531" s="1">
        <v>69</v>
      </c>
      <c r="J1531" t="str">
        <f t="shared" si="23"/>
        <v>http://www.badatelna.eu/reprodukce/?fondId=241&amp;zaznamId=1133738&amp;reproId=3885700</v>
      </c>
      <c r="K1531">
        <f>IF(LEN(TRIM(E1531))=0,"",VLOOKUP(E1531,Sheet2!$B$1:$E$19,2,FALSE))</f>
        <v>241</v>
      </c>
      <c r="L1531">
        <f>IF(LEN(TRIM(E1531))=0,"",VLOOKUP(E1531,Sheet2!$B$1:$E$19,3,FALSE))</f>
        <v>1133738</v>
      </c>
      <c r="M1531">
        <f>IF(LEN(TRIM(E1531))=0,"",VLOOKUP(E1531,Sheet2!$B$1:$E$19,4,FALSE))+(F1531-1)</f>
        <v>3885700</v>
      </c>
    </row>
    <row r="1532" spans="1:17" s="1" customFormat="1" ht="15" customHeight="1" x14ac:dyDescent="0.25">
      <c r="A1532" s="28" t="s">
        <v>144</v>
      </c>
      <c r="B1532" s="28" t="s">
        <v>13</v>
      </c>
      <c r="C1532" s="6" t="s">
        <v>2376</v>
      </c>
      <c r="D1532" s="1" t="s">
        <v>454</v>
      </c>
      <c r="E1532" s="1">
        <v>2173</v>
      </c>
      <c r="F1532" s="28">
        <v>201</v>
      </c>
      <c r="G1532" s="9">
        <v>11</v>
      </c>
      <c r="H1532" s="1" t="s">
        <v>3073</v>
      </c>
      <c r="I1532" s="1" t="s">
        <v>3073</v>
      </c>
      <c r="J1532" t="str">
        <f t="shared" si="23"/>
        <v>http://www.badatelna.eu/reprodukce/?fondId=1073&amp;zaznamId=1108959&amp;reproId=3780194</v>
      </c>
      <c r="K1532">
        <f>IF(LEN(TRIM(E1532))=0,"",VLOOKUP(E1532,Sheet2!$B$1:$E$19,2,FALSE))</f>
        <v>1073</v>
      </c>
      <c r="L1532">
        <f>IF(LEN(TRIM(E1532))=0,"",VLOOKUP(E1532,Sheet2!$B$1:$E$19,3,FALSE))</f>
        <v>1108959</v>
      </c>
      <c r="M1532">
        <f>IF(LEN(TRIM(E1532))=0,"",VLOOKUP(E1532,Sheet2!$B$1:$E$19,4,FALSE))+(F1532-1)</f>
        <v>3780194</v>
      </c>
    </row>
    <row r="1533" spans="1:17" s="1" customFormat="1" ht="15" customHeight="1" x14ac:dyDescent="0.25">
      <c r="A1533" s="28" t="s">
        <v>938</v>
      </c>
      <c r="B1533" s="28" t="s">
        <v>666</v>
      </c>
      <c r="C1533" s="6" t="s">
        <v>1766</v>
      </c>
      <c r="D1533" s="1" t="s">
        <v>454</v>
      </c>
      <c r="E1533" s="1">
        <v>2172</v>
      </c>
      <c r="F1533" s="28">
        <v>143</v>
      </c>
      <c r="G1533" s="9">
        <v>140</v>
      </c>
      <c r="H1533" s="1">
        <v>145</v>
      </c>
      <c r="I1533" s="1">
        <v>142</v>
      </c>
      <c r="J1533" t="str">
        <f t="shared" si="23"/>
        <v>http://www.badatelna.eu/reprodukce/?fondId=1073&amp;zaznamId=1108958&amp;reproId=3779884</v>
      </c>
      <c r="K1533">
        <f>IF(LEN(TRIM(E1533))=0,"",VLOOKUP(E1533,Sheet2!$B$1:$E$19,2,FALSE))</f>
        <v>1073</v>
      </c>
      <c r="L1533">
        <f>IF(LEN(TRIM(E1533))=0,"",VLOOKUP(E1533,Sheet2!$B$1:$E$19,3,FALSE))</f>
        <v>1108958</v>
      </c>
      <c r="M1533">
        <f>IF(LEN(TRIM(E1533))=0,"",VLOOKUP(E1533,Sheet2!$B$1:$E$19,4,FALSE))+(F1533-1)</f>
        <v>3779884</v>
      </c>
    </row>
    <row r="1534" spans="1:17" s="1" customFormat="1" ht="15" customHeight="1" x14ac:dyDescent="0.25">
      <c r="A1534" s="28" t="s">
        <v>154</v>
      </c>
      <c r="B1534" s="28" t="s">
        <v>155</v>
      </c>
      <c r="C1534" s="6" t="s">
        <v>2377</v>
      </c>
      <c r="D1534" s="1" t="s">
        <v>454</v>
      </c>
      <c r="E1534" s="1">
        <v>2173</v>
      </c>
      <c r="F1534" s="28">
        <v>201</v>
      </c>
      <c r="G1534" s="9">
        <v>12</v>
      </c>
      <c r="H1534" s="1" t="s">
        <v>3073</v>
      </c>
      <c r="I1534" s="1" t="s">
        <v>3073</v>
      </c>
      <c r="J1534" t="str">
        <f t="shared" si="23"/>
        <v>http://www.badatelna.eu/reprodukce/?fondId=1073&amp;zaznamId=1108959&amp;reproId=3780194</v>
      </c>
      <c r="K1534">
        <f>IF(LEN(TRIM(E1534))=0,"",VLOOKUP(E1534,Sheet2!$B$1:$E$19,2,FALSE))</f>
        <v>1073</v>
      </c>
      <c r="L1534">
        <f>IF(LEN(TRIM(E1534))=0,"",VLOOKUP(E1534,Sheet2!$B$1:$E$19,3,FALSE))</f>
        <v>1108959</v>
      </c>
      <c r="M1534">
        <f>IF(LEN(TRIM(E1534))=0,"",VLOOKUP(E1534,Sheet2!$B$1:$E$19,4,FALSE))+(F1534-1)</f>
        <v>3780194</v>
      </c>
    </row>
    <row r="1535" spans="1:17" s="1" customFormat="1" ht="15" customHeight="1" x14ac:dyDescent="0.25">
      <c r="A1535" s="28" t="s">
        <v>154</v>
      </c>
      <c r="B1535" s="28" t="s">
        <v>10</v>
      </c>
      <c r="C1535" s="6" t="s">
        <v>1571</v>
      </c>
      <c r="D1535" s="1" t="s">
        <v>454</v>
      </c>
      <c r="E1535" s="1">
        <v>2172</v>
      </c>
      <c r="F1535" s="28">
        <v>21</v>
      </c>
      <c r="G1535" s="9">
        <v>20</v>
      </c>
      <c r="H1535" s="1">
        <v>24</v>
      </c>
      <c r="I1535" s="1">
        <v>23</v>
      </c>
      <c r="J1535" t="str">
        <f t="shared" si="23"/>
        <v>http://www.badatelna.eu/reprodukce/?fondId=1073&amp;zaznamId=1108958&amp;reproId=3779762</v>
      </c>
      <c r="K1535">
        <f>IF(LEN(TRIM(E1535))=0,"",VLOOKUP(E1535,Sheet2!$B$1:$E$19,2,FALSE))</f>
        <v>1073</v>
      </c>
      <c r="L1535">
        <f>IF(LEN(TRIM(E1535))=0,"",VLOOKUP(E1535,Sheet2!$B$1:$E$19,3,FALSE))</f>
        <v>1108958</v>
      </c>
      <c r="M1535">
        <f>IF(LEN(TRIM(E1535))=0,"",VLOOKUP(E1535,Sheet2!$B$1:$E$19,4,FALSE))+(F1535-1)</f>
        <v>3779762</v>
      </c>
    </row>
    <row r="1536" spans="1:17" s="1" customFormat="1" ht="15" customHeight="1" x14ac:dyDescent="0.25">
      <c r="A1536" s="27" t="s">
        <v>154</v>
      </c>
      <c r="B1536" s="27" t="s">
        <v>314</v>
      </c>
      <c r="C1536" s="5" t="s">
        <v>1240</v>
      </c>
      <c r="D1536" s="3" t="s">
        <v>454</v>
      </c>
      <c r="E1536" s="3">
        <v>2170</v>
      </c>
      <c r="F1536" s="28">
        <v>33</v>
      </c>
      <c r="G1536" s="10">
        <v>29</v>
      </c>
      <c r="H1536" s="3">
        <v>64</v>
      </c>
      <c r="I1536" s="3">
        <v>60</v>
      </c>
      <c r="J1536" t="str">
        <f t="shared" si="23"/>
        <v>http://www.badatelna.eu/reprodukce/?fondId=1073&amp;zaznamId=1108956&amp;reproId=3779625</v>
      </c>
      <c r="K1536">
        <f>IF(LEN(TRIM(E1536))=0,"",VLOOKUP(E1536,Sheet2!$B$1:$E$19,2,FALSE))</f>
        <v>1073</v>
      </c>
      <c r="L1536">
        <f>IF(LEN(TRIM(E1536))=0,"",VLOOKUP(E1536,Sheet2!$B$1:$E$19,3,FALSE))</f>
        <v>1108956</v>
      </c>
      <c r="M1536">
        <f>IF(LEN(TRIM(E1536))=0,"",VLOOKUP(E1536,Sheet2!$B$1:$E$19,4,FALSE))+(F1536-1)</f>
        <v>3779625</v>
      </c>
    </row>
    <row r="1537" spans="1:17" s="1" customFormat="1" ht="15" customHeight="1" x14ac:dyDescent="0.25">
      <c r="A1537" s="27" t="s">
        <v>154</v>
      </c>
      <c r="B1537" s="27" t="s">
        <v>565</v>
      </c>
      <c r="C1537" s="5" t="s">
        <v>1241</v>
      </c>
      <c r="D1537" s="3" t="s">
        <v>454</v>
      </c>
      <c r="E1537" s="3">
        <v>2170</v>
      </c>
      <c r="F1537" s="28">
        <v>36</v>
      </c>
      <c r="G1537" s="10">
        <v>32</v>
      </c>
      <c r="H1537" s="3">
        <v>64</v>
      </c>
      <c r="I1537" s="3">
        <v>60</v>
      </c>
      <c r="J1537" t="str">
        <f t="shared" si="23"/>
        <v>http://www.badatelna.eu/reprodukce/?fondId=1073&amp;zaznamId=1108956&amp;reproId=3779628</v>
      </c>
      <c r="K1537">
        <f>IF(LEN(TRIM(E1537))=0,"",VLOOKUP(E1537,Sheet2!$B$1:$E$19,2,FALSE))</f>
        <v>1073</v>
      </c>
      <c r="L1537">
        <f>IF(LEN(TRIM(E1537))=0,"",VLOOKUP(E1537,Sheet2!$B$1:$E$19,3,FALSE))</f>
        <v>1108956</v>
      </c>
      <c r="M1537">
        <f>IF(LEN(TRIM(E1537))=0,"",VLOOKUP(E1537,Sheet2!$B$1:$E$19,4,FALSE))+(F1537-1)</f>
        <v>3779628</v>
      </c>
    </row>
    <row r="1538" spans="1:17" s="1" customFormat="1" ht="15" customHeight="1" x14ac:dyDescent="0.25">
      <c r="A1538" s="27" t="s">
        <v>154</v>
      </c>
      <c r="B1538" s="27" t="s">
        <v>306</v>
      </c>
      <c r="C1538" s="5" t="s">
        <v>1242</v>
      </c>
      <c r="D1538" s="3" t="s">
        <v>454</v>
      </c>
      <c r="E1538" s="3">
        <v>2170</v>
      </c>
      <c r="F1538" s="28">
        <v>27</v>
      </c>
      <c r="G1538" s="10">
        <v>23</v>
      </c>
      <c r="H1538" s="3">
        <v>64</v>
      </c>
      <c r="I1538" s="3">
        <v>60</v>
      </c>
      <c r="J1538" t="str">
        <f t="shared" si="23"/>
        <v>http://www.badatelna.eu/reprodukce/?fondId=1073&amp;zaznamId=1108956&amp;reproId=3779619</v>
      </c>
      <c r="K1538">
        <f>IF(LEN(TRIM(E1538))=0,"",VLOOKUP(E1538,Sheet2!$B$1:$E$19,2,FALSE))</f>
        <v>1073</v>
      </c>
      <c r="L1538">
        <f>IF(LEN(TRIM(E1538))=0,"",VLOOKUP(E1538,Sheet2!$B$1:$E$19,3,FALSE))</f>
        <v>1108956</v>
      </c>
      <c r="M1538">
        <f>IF(LEN(TRIM(E1538))=0,"",VLOOKUP(E1538,Sheet2!$B$1:$E$19,4,FALSE))+(F1538-1)</f>
        <v>3779619</v>
      </c>
      <c r="N1538"/>
      <c r="O1538"/>
      <c r="P1538"/>
      <c r="Q1538"/>
    </row>
    <row r="1539" spans="1:17" s="1" customFormat="1" ht="15" customHeight="1" x14ac:dyDescent="0.25">
      <c r="A1539" s="28" t="s">
        <v>236</v>
      </c>
      <c r="B1539" s="28" t="s">
        <v>237</v>
      </c>
      <c r="C1539" s="6" t="s">
        <v>2543</v>
      </c>
      <c r="D1539" s="1" t="s">
        <v>454</v>
      </c>
      <c r="E1539" s="1">
        <v>2173</v>
      </c>
      <c r="F1539" s="28">
        <v>207</v>
      </c>
      <c r="G1539" s="1">
        <v>24</v>
      </c>
      <c r="H1539" s="1" t="s">
        <v>3073</v>
      </c>
      <c r="I1539" s="1" t="s">
        <v>3073</v>
      </c>
      <c r="J1539" t="str">
        <f t="shared" ref="J1539:J1602" si="24">IF(LEN(TRIM(E1539))=0,"","http://www.badatelna.eu/reprodukce/?fondId="&amp;K1539&amp;"&amp;zaznamId="&amp;L1539&amp;"&amp;reproId="&amp;M1539)</f>
        <v>http://www.badatelna.eu/reprodukce/?fondId=1073&amp;zaznamId=1108959&amp;reproId=3780200</v>
      </c>
      <c r="K1539">
        <f>IF(LEN(TRIM(E1539))=0,"",VLOOKUP(E1539,Sheet2!$B$1:$E$19,2,FALSE))</f>
        <v>1073</v>
      </c>
      <c r="L1539">
        <f>IF(LEN(TRIM(E1539))=0,"",VLOOKUP(E1539,Sheet2!$B$1:$E$19,3,FALSE))</f>
        <v>1108959</v>
      </c>
      <c r="M1539">
        <f>IF(LEN(TRIM(E1539))=0,"",VLOOKUP(E1539,Sheet2!$B$1:$E$19,4,FALSE))+(F1539-1)</f>
        <v>3780200</v>
      </c>
      <c r="N1539"/>
      <c r="O1539"/>
      <c r="P1539"/>
      <c r="Q1539"/>
    </row>
    <row r="1540" spans="1:17" s="1" customFormat="1" ht="15" customHeight="1" x14ac:dyDescent="0.25">
      <c r="A1540" s="28" t="s">
        <v>223</v>
      </c>
      <c r="B1540" s="28" t="s">
        <v>44</v>
      </c>
      <c r="C1540" s="6" t="s">
        <v>2517</v>
      </c>
      <c r="D1540" s="1" t="s">
        <v>454</v>
      </c>
      <c r="E1540" s="1">
        <v>2173</v>
      </c>
      <c r="F1540" s="28">
        <v>206</v>
      </c>
      <c r="G1540" s="1">
        <v>22</v>
      </c>
      <c r="H1540" s="1" t="s">
        <v>3073</v>
      </c>
      <c r="I1540" s="1" t="s">
        <v>3073</v>
      </c>
      <c r="J1540" t="str">
        <f t="shared" si="24"/>
        <v>http://www.badatelna.eu/reprodukce/?fondId=1073&amp;zaznamId=1108959&amp;reproId=3780199</v>
      </c>
      <c r="K1540">
        <f>IF(LEN(TRIM(E1540))=0,"",VLOOKUP(E1540,Sheet2!$B$1:$E$19,2,FALSE))</f>
        <v>1073</v>
      </c>
      <c r="L1540">
        <f>IF(LEN(TRIM(E1540))=0,"",VLOOKUP(E1540,Sheet2!$B$1:$E$19,3,FALSE))</f>
        <v>1108959</v>
      </c>
      <c r="M1540">
        <f>IF(LEN(TRIM(E1540))=0,"",VLOOKUP(E1540,Sheet2!$B$1:$E$19,4,FALSE))+(F1540-1)</f>
        <v>3780199</v>
      </c>
      <c r="N1540"/>
      <c r="O1540"/>
      <c r="P1540"/>
      <c r="Q1540"/>
    </row>
    <row r="1541" spans="1:17" s="1" customFormat="1" ht="15" customHeight="1" x14ac:dyDescent="0.25">
      <c r="A1541" s="28" t="s">
        <v>2978</v>
      </c>
      <c r="B1541" s="28" t="s">
        <v>33</v>
      </c>
      <c r="C1541" s="1">
        <v>1850</v>
      </c>
      <c r="D1541" s="1" t="s">
        <v>2919</v>
      </c>
      <c r="E1541" s="1">
        <v>998</v>
      </c>
      <c r="F1541" s="28">
        <v>31</v>
      </c>
      <c r="G1541" s="1">
        <v>29</v>
      </c>
      <c r="H1541" s="1">
        <v>72</v>
      </c>
      <c r="I1541" s="1">
        <v>69</v>
      </c>
      <c r="J1541" t="str">
        <f t="shared" si="24"/>
        <v>http://www.badatelna.eu/reprodukce/?fondId=241&amp;zaznamId=1133738&amp;reproId=3885677</v>
      </c>
      <c r="K1541">
        <f>IF(LEN(TRIM(E1541))=0,"",VLOOKUP(E1541,Sheet2!$B$1:$E$19,2,FALSE))</f>
        <v>241</v>
      </c>
      <c r="L1541">
        <f>IF(LEN(TRIM(E1541))=0,"",VLOOKUP(E1541,Sheet2!$B$1:$E$19,3,FALSE))</f>
        <v>1133738</v>
      </c>
      <c r="M1541">
        <f>IF(LEN(TRIM(E1541))=0,"",VLOOKUP(E1541,Sheet2!$B$1:$E$19,4,FALSE))+(F1541-1)</f>
        <v>3885677</v>
      </c>
    </row>
    <row r="1542" spans="1:17" s="1" customFormat="1" ht="15" customHeight="1" x14ac:dyDescent="0.25">
      <c r="A1542" s="28" t="s">
        <v>318</v>
      </c>
      <c r="B1542" s="28" t="s">
        <v>213</v>
      </c>
      <c r="C1542" s="6" t="s">
        <v>2112</v>
      </c>
      <c r="D1542" s="1" t="s">
        <v>454</v>
      </c>
      <c r="E1542" s="1">
        <v>2173</v>
      </c>
      <c r="F1542" s="28">
        <v>180</v>
      </c>
      <c r="G1542" s="9">
        <v>7</v>
      </c>
      <c r="H1542" s="1">
        <v>190</v>
      </c>
      <c r="I1542" s="1">
        <v>422</v>
      </c>
      <c r="J1542" t="str">
        <f t="shared" si="24"/>
        <v>http://www.badatelna.eu/reprodukce/?fondId=1073&amp;zaznamId=1108959&amp;reproId=3780173</v>
      </c>
      <c r="K1542">
        <f>IF(LEN(TRIM(E1542))=0,"",VLOOKUP(E1542,Sheet2!$B$1:$E$19,2,FALSE))</f>
        <v>1073</v>
      </c>
      <c r="L1542">
        <f>IF(LEN(TRIM(E1542))=0,"",VLOOKUP(E1542,Sheet2!$B$1:$E$19,3,FALSE))</f>
        <v>1108959</v>
      </c>
      <c r="M1542">
        <f>IF(LEN(TRIM(E1542))=0,"",VLOOKUP(E1542,Sheet2!$B$1:$E$19,4,FALSE))+(F1542-1)</f>
        <v>3780173</v>
      </c>
      <c r="N1542"/>
      <c r="O1542"/>
      <c r="P1542"/>
      <c r="Q1542"/>
    </row>
    <row r="1543" spans="1:17" s="1" customFormat="1" ht="15" customHeight="1" x14ac:dyDescent="0.25">
      <c r="A1543" s="28" t="s">
        <v>939</v>
      </c>
      <c r="B1543" s="28" t="s">
        <v>940</v>
      </c>
      <c r="C1543" s="1">
        <v>1883</v>
      </c>
      <c r="D1543" s="1" t="s">
        <v>454</v>
      </c>
      <c r="E1543" s="1">
        <v>2172</v>
      </c>
      <c r="F1543" s="28">
        <v>33</v>
      </c>
      <c r="G1543" s="9">
        <v>32</v>
      </c>
      <c r="H1543" s="1">
        <v>36</v>
      </c>
      <c r="I1543" s="1">
        <v>35</v>
      </c>
      <c r="J1543" t="str">
        <f t="shared" si="24"/>
        <v>http://www.badatelna.eu/reprodukce/?fondId=1073&amp;zaznamId=1108958&amp;reproId=3779774</v>
      </c>
      <c r="K1543">
        <f>IF(LEN(TRIM(E1543))=0,"",VLOOKUP(E1543,Sheet2!$B$1:$E$19,2,FALSE))</f>
        <v>1073</v>
      </c>
      <c r="L1543">
        <f>IF(LEN(TRIM(E1543))=0,"",VLOOKUP(E1543,Sheet2!$B$1:$E$19,3,FALSE))</f>
        <v>1108958</v>
      </c>
      <c r="M1543">
        <f>IF(LEN(TRIM(E1543))=0,"",VLOOKUP(E1543,Sheet2!$B$1:$E$19,4,FALSE))+(F1543-1)</f>
        <v>3779774</v>
      </c>
    </row>
    <row r="1544" spans="1:17" s="1" customFormat="1" ht="15" customHeight="1" x14ac:dyDescent="0.25">
      <c r="A1544" s="28" t="s">
        <v>939</v>
      </c>
      <c r="B1544" s="28" t="s">
        <v>39</v>
      </c>
      <c r="C1544" s="6" t="s">
        <v>1587</v>
      </c>
      <c r="D1544" s="1" t="s">
        <v>454</v>
      </c>
      <c r="E1544" s="1">
        <v>2172</v>
      </c>
      <c r="F1544" s="28">
        <v>64</v>
      </c>
      <c r="G1544" s="9">
        <v>63</v>
      </c>
      <c r="H1544" s="1" t="s">
        <v>3073</v>
      </c>
      <c r="I1544" s="1" t="s">
        <v>3073</v>
      </c>
      <c r="J1544" t="str">
        <f t="shared" si="24"/>
        <v>http://www.badatelna.eu/reprodukce/?fondId=1073&amp;zaznamId=1108958&amp;reproId=3779805</v>
      </c>
      <c r="K1544">
        <f>IF(LEN(TRIM(E1544))=0,"",VLOOKUP(E1544,Sheet2!$B$1:$E$19,2,FALSE))</f>
        <v>1073</v>
      </c>
      <c r="L1544">
        <f>IF(LEN(TRIM(E1544))=0,"",VLOOKUP(E1544,Sheet2!$B$1:$E$19,3,FALSE))</f>
        <v>1108958</v>
      </c>
      <c r="M1544">
        <f>IF(LEN(TRIM(E1544))=0,"",VLOOKUP(E1544,Sheet2!$B$1:$E$19,4,FALSE))+(F1544-1)</f>
        <v>3779805</v>
      </c>
    </row>
    <row r="1545" spans="1:17" s="1" customFormat="1" ht="15" customHeight="1" x14ac:dyDescent="0.25">
      <c r="A1545" s="28"/>
      <c r="B1545" s="28"/>
      <c r="C1545" s="38" t="s">
        <v>3126</v>
      </c>
      <c r="F1545" s="28"/>
      <c r="G1545" s="9"/>
      <c r="J1545" t="str">
        <f t="shared" si="24"/>
        <v/>
      </c>
      <c r="K1545" t="str">
        <f>IF(LEN(TRIM(E1545))=0,"",VLOOKUP(E1545,Sheet2!$B$1:$E$19,2,FALSE))</f>
        <v/>
      </c>
      <c r="L1545" t="str">
        <f>IF(LEN(TRIM(E1545))=0,"",VLOOKUP(E1545,Sheet2!$B$1:$E$19,3,FALSE))</f>
        <v/>
      </c>
      <c r="M1545" t="e">
        <f>IF(LEN(TRIM(E1545))=0,"",VLOOKUP(E1545,Sheet2!$B$1:$E$19,4,FALSE))+(F1545-1)</f>
        <v>#VALUE!</v>
      </c>
    </row>
    <row r="1546" spans="1:17" s="1" customFormat="1" ht="15" customHeight="1" x14ac:dyDescent="0.25">
      <c r="A1546" s="29" t="s">
        <v>3127</v>
      </c>
      <c r="B1546" s="28" t="s">
        <v>49</v>
      </c>
      <c r="C1546" s="6" t="s">
        <v>2641</v>
      </c>
      <c r="D1546" s="1" t="s">
        <v>454</v>
      </c>
      <c r="E1546" s="1">
        <v>2173</v>
      </c>
      <c r="F1546" s="28">
        <v>221</v>
      </c>
      <c r="G1546" s="9">
        <v>48</v>
      </c>
      <c r="H1546" s="1" t="s">
        <v>3073</v>
      </c>
      <c r="I1546" s="1" t="s">
        <v>3073</v>
      </c>
      <c r="J1546" t="str">
        <f t="shared" si="24"/>
        <v>http://www.badatelna.eu/reprodukce/?fondId=1073&amp;zaznamId=1108959&amp;reproId=3780214</v>
      </c>
      <c r="K1546">
        <f>IF(LEN(TRIM(E1546))=0,"",VLOOKUP(E1546,Sheet2!$B$1:$E$19,2,FALSE))</f>
        <v>1073</v>
      </c>
      <c r="L1546">
        <f>IF(LEN(TRIM(E1546))=0,"",VLOOKUP(E1546,Sheet2!$B$1:$E$19,3,FALSE))</f>
        <v>1108959</v>
      </c>
      <c r="M1546">
        <f>IF(LEN(TRIM(E1546))=0,"",VLOOKUP(E1546,Sheet2!$B$1:$E$19,4,FALSE))+(F1546-1)</f>
        <v>3780214</v>
      </c>
      <c r="N1546"/>
      <c r="O1546"/>
      <c r="P1546"/>
      <c r="Q1546"/>
    </row>
    <row r="1547" spans="1:17" s="1" customFormat="1" ht="15" customHeight="1" x14ac:dyDescent="0.25">
      <c r="A1547" s="28" t="s">
        <v>941</v>
      </c>
      <c r="B1547" s="28" t="s">
        <v>942</v>
      </c>
      <c r="C1547" s="6" t="s">
        <v>1537</v>
      </c>
      <c r="D1547" s="1" t="s">
        <v>454</v>
      </c>
      <c r="E1547" s="1">
        <v>2172</v>
      </c>
      <c r="F1547" s="28">
        <v>15</v>
      </c>
      <c r="G1547" s="9">
        <v>14</v>
      </c>
      <c r="H1547" s="1" t="s">
        <v>3073</v>
      </c>
      <c r="I1547" s="1" t="s">
        <v>3073</v>
      </c>
      <c r="J1547" t="str">
        <f t="shared" si="24"/>
        <v>http://www.badatelna.eu/reprodukce/?fondId=1073&amp;zaznamId=1108958&amp;reproId=3779756</v>
      </c>
      <c r="K1547">
        <f>IF(LEN(TRIM(E1547))=0,"",VLOOKUP(E1547,Sheet2!$B$1:$E$19,2,FALSE))</f>
        <v>1073</v>
      </c>
      <c r="L1547">
        <f>IF(LEN(TRIM(E1547))=0,"",VLOOKUP(E1547,Sheet2!$B$1:$E$19,3,FALSE))</f>
        <v>1108958</v>
      </c>
      <c r="M1547">
        <f>IF(LEN(TRIM(E1547))=0,"",VLOOKUP(E1547,Sheet2!$B$1:$E$19,4,FALSE))+(F1547-1)</f>
        <v>3779756</v>
      </c>
    </row>
    <row r="1548" spans="1:17" s="1" customFormat="1" ht="15" customHeight="1" x14ac:dyDescent="0.25">
      <c r="A1548" s="28" t="s">
        <v>941</v>
      </c>
      <c r="B1548" s="28" t="s">
        <v>943</v>
      </c>
      <c r="C1548" s="6" t="s">
        <v>1572</v>
      </c>
      <c r="D1548" s="1" t="s">
        <v>454</v>
      </c>
      <c r="E1548" s="1">
        <v>2172</v>
      </c>
      <c r="F1548" s="28">
        <v>21</v>
      </c>
      <c r="G1548" s="9" t="s">
        <v>2756</v>
      </c>
      <c r="H1548" s="1">
        <v>24</v>
      </c>
      <c r="I1548" s="1">
        <v>23</v>
      </c>
      <c r="J1548" t="str">
        <f t="shared" si="24"/>
        <v>http://www.badatelna.eu/reprodukce/?fondId=1073&amp;zaznamId=1108958&amp;reproId=3779762</v>
      </c>
      <c r="K1548">
        <f>IF(LEN(TRIM(E1548))=0,"",VLOOKUP(E1548,Sheet2!$B$1:$E$19,2,FALSE))</f>
        <v>1073</v>
      </c>
      <c r="L1548">
        <f>IF(LEN(TRIM(E1548))=0,"",VLOOKUP(E1548,Sheet2!$B$1:$E$19,3,FALSE))</f>
        <v>1108958</v>
      </c>
      <c r="M1548">
        <f>IF(LEN(TRIM(E1548))=0,"",VLOOKUP(E1548,Sheet2!$B$1:$E$19,4,FALSE))+(F1548-1)</f>
        <v>3779762</v>
      </c>
      <c r="N1548"/>
      <c r="O1548"/>
      <c r="P1548"/>
      <c r="Q1548"/>
    </row>
    <row r="1549" spans="1:17" s="1" customFormat="1" ht="15" customHeight="1" x14ac:dyDescent="0.25">
      <c r="A1549" s="28" t="s">
        <v>944</v>
      </c>
      <c r="B1549" s="28" t="s">
        <v>359</v>
      </c>
      <c r="C1549" s="6" t="s">
        <v>1946</v>
      </c>
      <c r="D1549" s="1" t="s">
        <v>454</v>
      </c>
      <c r="E1549" s="1">
        <v>2172</v>
      </c>
      <c r="F1549" s="28">
        <v>226</v>
      </c>
      <c r="G1549" s="9">
        <v>207</v>
      </c>
      <c r="H1549" s="1" t="s">
        <v>3073</v>
      </c>
      <c r="I1549" s="1" t="s">
        <v>3073</v>
      </c>
      <c r="J1549" t="str">
        <f t="shared" si="24"/>
        <v>http://www.badatelna.eu/reprodukce/?fondId=1073&amp;zaznamId=1108958&amp;reproId=3779967</v>
      </c>
      <c r="K1549">
        <f>IF(LEN(TRIM(E1549))=0,"",VLOOKUP(E1549,Sheet2!$B$1:$E$19,2,FALSE))</f>
        <v>1073</v>
      </c>
      <c r="L1549">
        <f>IF(LEN(TRIM(E1549))=0,"",VLOOKUP(E1549,Sheet2!$B$1:$E$19,3,FALSE))</f>
        <v>1108958</v>
      </c>
      <c r="M1549">
        <f>IF(LEN(TRIM(E1549))=0,"",VLOOKUP(E1549,Sheet2!$B$1:$E$19,4,FALSE))+(F1549-1)</f>
        <v>3779967</v>
      </c>
    </row>
    <row r="1550" spans="1:17" s="1" customFormat="1" ht="15" customHeight="1" x14ac:dyDescent="0.25">
      <c r="A1550" s="28" t="s">
        <v>945</v>
      </c>
      <c r="B1550" s="28" t="s">
        <v>552</v>
      </c>
      <c r="C1550" s="6" t="s">
        <v>1814</v>
      </c>
      <c r="D1550" s="1" t="s">
        <v>454</v>
      </c>
      <c r="E1550" s="1">
        <v>2172</v>
      </c>
      <c r="F1550" s="28">
        <v>166</v>
      </c>
      <c r="G1550" s="9">
        <v>159</v>
      </c>
      <c r="H1550" s="1" t="s">
        <v>3073</v>
      </c>
      <c r="I1550" s="1" t="s">
        <v>3073</v>
      </c>
      <c r="J1550" t="str">
        <f t="shared" si="24"/>
        <v>http://www.badatelna.eu/reprodukce/?fondId=1073&amp;zaznamId=1108958&amp;reproId=3779907</v>
      </c>
      <c r="K1550">
        <f>IF(LEN(TRIM(E1550))=0,"",VLOOKUP(E1550,Sheet2!$B$1:$E$19,2,FALSE))</f>
        <v>1073</v>
      </c>
      <c r="L1550">
        <f>IF(LEN(TRIM(E1550))=0,"",VLOOKUP(E1550,Sheet2!$B$1:$E$19,3,FALSE))</f>
        <v>1108958</v>
      </c>
      <c r="M1550">
        <f>IF(LEN(TRIM(E1550))=0,"",VLOOKUP(E1550,Sheet2!$B$1:$E$19,4,FALSE))+(F1550-1)</f>
        <v>3779907</v>
      </c>
      <c r="N1550"/>
      <c r="O1550"/>
      <c r="P1550"/>
      <c r="Q1550"/>
    </row>
    <row r="1551" spans="1:17" s="1" customFormat="1" ht="15" customHeight="1" x14ac:dyDescent="0.25">
      <c r="A1551" s="28" t="s">
        <v>945</v>
      </c>
      <c r="B1551" s="28" t="s">
        <v>946</v>
      </c>
      <c r="C1551" s="6" t="s">
        <v>1871</v>
      </c>
      <c r="D1551" s="1" t="s">
        <v>454</v>
      </c>
      <c r="E1551" s="1">
        <v>2172</v>
      </c>
      <c r="F1551" s="28">
        <v>190</v>
      </c>
      <c r="G1551" s="9">
        <v>180</v>
      </c>
      <c r="H1551" s="1" t="s">
        <v>3073</v>
      </c>
      <c r="I1551" s="1" t="s">
        <v>3073</v>
      </c>
      <c r="J1551" t="str">
        <f t="shared" si="24"/>
        <v>http://www.badatelna.eu/reprodukce/?fondId=1073&amp;zaznamId=1108958&amp;reproId=3779931</v>
      </c>
      <c r="K1551">
        <f>IF(LEN(TRIM(E1551))=0,"",VLOOKUP(E1551,Sheet2!$B$1:$E$19,2,FALSE))</f>
        <v>1073</v>
      </c>
      <c r="L1551">
        <f>IF(LEN(TRIM(E1551))=0,"",VLOOKUP(E1551,Sheet2!$B$1:$E$19,3,FALSE))</f>
        <v>1108958</v>
      </c>
      <c r="M1551">
        <f>IF(LEN(TRIM(E1551))=0,"",VLOOKUP(E1551,Sheet2!$B$1:$E$19,4,FALSE))+(F1551-1)</f>
        <v>3779931</v>
      </c>
      <c r="N1551"/>
      <c r="O1551"/>
      <c r="P1551"/>
      <c r="Q1551"/>
    </row>
    <row r="1552" spans="1:17" s="1" customFormat="1" ht="15" customHeight="1" x14ac:dyDescent="0.25">
      <c r="A1552" s="28" t="s">
        <v>945</v>
      </c>
      <c r="B1552" s="28" t="s">
        <v>947</v>
      </c>
      <c r="C1552" s="15">
        <v>6484</v>
      </c>
      <c r="D1552" s="1" t="s">
        <v>454</v>
      </c>
      <c r="E1552" s="1">
        <v>2172</v>
      </c>
      <c r="F1552" s="28">
        <v>190</v>
      </c>
      <c r="G1552" s="9">
        <v>180</v>
      </c>
      <c r="H1552" s="1" t="s">
        <v>3073</v>
      </c>
      <c r="I1552" s="1" t="s">
        <v>3073</v>
      </c>
      <c r="J1552" t="str">
        <f t="shared" si="24"/>
        <v>http://www.badatelna.eu/reprodukce/?fondId=1073&amp;zaznamId=1108958&amp;reproId=3779931</v>
      </c>
      <c r="K1552">
        <f>IF(LEN(TRIM(E1552))=0,"",VLOOKUP(E1552,Sheet2!$B$1:$E$19,2,FALSE))</f>
        <v>1073</v>
      </c>
      <c r="L1552">
        <f>IF(LEN(TRIM(E1552))=0,"",VLOOKUP(E1552,Sheet2!$B$1:$E$19,3,FALSE))</f>
        <v>1108958</v>
      </c>
      <c r="M1552">
        <f>IF(LEN(TRIM(E1552))=0,"",VLOOKUP(E1552,Sheet2!$B$1:$E$19,4,FALSE))+(F1552-1)</f>
        <v>3779931</v>
      </c>
      <c r="N1552"/>
      <c r="O1552"/>
      <c r="P1552"/>
      <c r="Q1552"/>
    </row>
    <row r="1553" spans="1:17" s="1" customFormat="1" ht="15" customHeight="1" x14ac:dyDescent="0.25">
      <c r="A1553" s="28" t="s">
        <v>945</v>
      </c>
      <c r="B1553" s="28" t="s">
        <v>678</v>
      </c>
      <c r="C1553" s="6" t="s">
        <v>1961</v>
      </c>
      <c r="D1553" s="1" t="s">
        <v>454</v>
      </c>
      <c r="E1553" s="1">
        <v>2172</v>
      </c>
      <c r="F1553" s="28">
        <v>235</v>
      </c>
      <c r="G1553" s="9">
        <v>215</v>
      </c>
      <c r="H1553" s="1" t="s">
        <v>3073</v>
      </c>
      <c r="I1553" s="1" t="s">
        <v>3073</v>
      </c>
      <c r="J1553" t="str">
        <f t="shared" si="24"/>
        <v>http://www.badatelna.eu/reprodukce/?fondId=1073&amp;zaznamId=1108958&amp;reproId=3779976</v>
      </c>
      <c r="K1553">
        <f>IF(LEN(TRIM(E1553))=0,"",VLOOKUP(E1553,Sheet2!$B$1:$E$19,2,FALSE))</f>
        <v>1073</v>
      </c>
      <c r="L1553">
        <f>IF(LEN(TRIM(E1553))=0,"",VLOOKUP(E1553,Sheet2!$B$1:$E$19,3,FALSE))</f>
        <v>1108958</v>
      </c>
      <c r="M1553">
        <f>IF(LEN(TRIM(E1553))=0,"",VLOOKUP(E1553,Sheet2!$B$1:$E$19,4,FALSE))+(F1553-1)</f>
        <v>3779976</v>
      </c>
    </row>
    <row r="1554" spans="1:17" s="1" customFormat="1" ht="15" customHeight="1" x14ac:dyDescent="0.25">
      <c r="A1554" s="28" t="s">
        <v>188</v>
      </c>
      <c r="B1554" s="28" t="s">
        <v>466</v>
      </c>
      <c r="C1554" s="1">
        <v>1864</v>
      </c>
      <c r="D1554" s="1" t="s">
        <v>2919</v>
      </c>
      <c r="E1554" s="1">
        <v>999</v>
      </c>
      <c r="F1554" s="28">
        <v>85</v>
      </c>
      <c r="G1554" s="1">
        <v>6</v>
      </c>
      <c r="H1554" s="1">
        <v>104</v>
      </c>
      <c r="I1554" s="1">
        <v>163</v>
      </c>
      <c r="J1554" t="str">
        <f t="shared" si="24"/>
        <v>http://www.badatelna.eu/reprodukce/?fondId=241&amp;zaznamId=1133739&amp;reproId=3885814</v>
      </c>
      <c r="K1554">
        <f>IF(LEN(TRIM(E1554))=0,"",VLOOKUP(E1554,Sheet2!$B$1:$E$19,2,FALSE))</f>
        <v>241</v>
      </c>
      <c r="L1554">
        <f>IF(LEN(TRIM(E1554))=0,"",VLOOKUP(E1554,Sheet2!$B$1:$E$19,3,FALSE))</f>
        <v>1133739</v>
      </c>
      <c r="M1554">
        <f>IF(LEN(TRIM(E1554))=0,"",VLOOKUP(E1554,Sheet2!$B$1:$E$19,4,FALSE))+(F1554-1)</f>
        <v>3885814</v>
      </c>
      <c r="N1554"/>
      <c r="O1554"/>
      <c r="P1554"/>
      <c r="Q1554"/>
    </row>
    <row r="1555" spans="1:17" s="1" customFormat="1" ht="15" customHeight="1" x14ac:dyDescent="0.25">
      <c r="A1555" s="28" t="s">
        <v>188</v>
      </c>
      <c r="B1555" s="29" t="s">
        <v>49</v>
      </c>
      <c r="C1555" s="1">
        <v>1856</v>
      </c>
      <c r="D1555" s="1" t="s">
        <v>2919</v>
      </c>
      <c r="E1555" s="1">
        <v>998</v>
      </c>
      <c r="F1555" s="28">
        <v>50</v>
      </c>
      <c r="G1555" s="1">
        <v>48</v>
      </c>
      <c r="H1555" s="1">
        <v>73</v>
      </c>
      <c r="I1555" s="1">
        <v>70</v>
      </c>
      <c r="J1555" t="str">
        <f t="shared" si="24"/>
        <v>http://www.badatelna.eu/reprodukce/?fondId=241&amp;zaznamId=1133738&amp;reproId=3885696</v>
      </c>
      <c r="K1555">
        <f>IF(LEN(TRIM(E1555))=0,"",VLOOKUP(E1555,Sheet2!$B$1:$E$19,2,FALSE))</f>
        <v>241</v>
      </c>
      <c r="L1555">
        <f>IF(LEN(TRIM(E1555))=0,"",VLOOKUP(E1555,Sheet2!$B$1:$E$19,3,FALSE))</f>
        <v>1133738</v>
      </c>
      <c r="M1555">
        <f>IF(LEN(TRIM(E1555))=0,"",VLOOKUP(E1555,Sheet2!$B$1:$E$19,4,FALSE))+(F1555-1)</f>
        <v>3885696</v>
      </c>
    </row>
    <row r="1556" spans="1:17" s="1" customFormat="1" ht="15" customHeight="1" x14ac:dyDescent="0.25">
      <c r="A1556" s="28" t="s">
        <v>188</v>
      </c>
      <c r="B1556" s="28" t="s">
        <v>49</v>
      </c>
      <c r="C1556" s="6" t="s">
        <v>2424</v>
      </c>
      <c r="D1556" s="1" t="s">
        <v>454</v>
      </c>
      <c r="E1556" s="1">
        <v>2173</v>
      </c>
      <c r="F1556" s="28">
        <v>203</v>
      </c>
      <c r="G1556" s="1">
        <v>16</v>
      </c>
      <c r="H1556" s="1" t="s">
        <v>3073</v>
      </c>
      <c r="I1556" s="1" t="s">
        <v>3073</v>
      </c>
      <c r="J1556" t="str">
        <f t="shared" si="24"/>
        <v>http://www.badatelna.eu/reprodukce/?fondId=1073&amp;zaznamId=1108959&amp;reproId=3780196</v>
      </c>
      <c r="K1556">
        <f>IF(LEN(TRIM(E1556))=0,"",VLOOKUP(E1556,Sheet2!$B$1:$E$19,2,FALSE))</f>
        <v>1073</v>
      </c>
      <c r="L1556">
        <f>IF(LEN(TRIM(E1556))=0,"",VLOOKUP(E1556,Sheet2!$B$1:$E$19,3,FALSE))</f>
        <v>1108959</v>
      </c>
      <c r="M1556">
        <f>IF(LEN(TRIM(E1556))=0,"",VLOOKUP(E1556,Sheet2!$B$1:$E$19,4,FALSE))+(F1556-1)</f>
        <v>3780196</v>
      </c>
      <c r="N1556"/>
      <c r="O1556"/>
      <c r="P1556"/>
      <c r="Q1556"/>
    </row>
    <row r="1557" spans="1:17" s="1" customFormat="1" ht="15" customHeight="1" x14ac:dyDescent="0.25">
      <c r="A1557" s="29" t="s">
        <v>2917</v>
      </c>
      <c r="B1557" s="28" t="s">
        <v>16</v>
      </c>
      <c r="C1557" s="6" t="s">
        <v>2628</v>
      </c>
      <c r="D1557" s="1" t="s">
        <v>454</v>
      </c>
      <c r="E1557" s="1">
        <v>2173</v>
      </c>
      <c r="F1557" s="28">
        <v>220</v>
      </c>
      <c r="G1557" s="9">
        <v>47</v>
      </c>
      <c r="H1557" s="1" t="s">
        <v>3073</v>
      </c>
      <c r="I1557" s="1" t="s">
        <v>3073</v>
      </c>
      <c r="J1557" t="str">
        <f t="shared" si="24"/>
        <v>http://www.badatelna.eu/reprodukce/?fondId=1073&amp;zaznamId=1108959&amp;reproId=3780213</v>
      </c>
      <c r="K1557">
        <f>IF(LEN(TRIM(E1557))=0,"",VLOOKUP(E1557,Sheet2!$B$1:$E$19,2,FALSE))</f>
        <v>1073</v>
      </c>
      <c r="L1557">
        <f>IF(LEN(TRIM(E1557))=0,"",VLOOKUP(E1557,Sheet2!$B$1:$E$19,3,FALSE))</f>
        <v>1108959</v>
      </c>
      <c r="M1557">
        <f>IF(LEN(TRIM(E1557))=0,"",VLOOKUP(E1557,Sheet2!$B$1:$E$19,4,FALSE))+(F1557-1)</f>
        <v>3780213</v>
      </c>
      <c r="N1557"/>
      <c r="O1557"/>
      <c r="P1557"/>
      <c r="Q1557"/>
    </row>
    <row r="1558" spans="1:17" s="1" customFormat="1" ht="15" customHeight="1" x14ac:dyDescent="0.25">
      <c r="A1558" s="28" t="s">
        <v>317</v>
      </c>
      <c r="B1558" s="28" t="s">
        <v>56</v>
      </c>
      <c r="C1558" s="6" t="s">
        <v>2642</v>
      </c>
      <c r="D1558" s="1" t="s">
        <v>454</v>
      </c>
      <c r="E1558" s="1">
        <v>2173</v>
      </c>
      <c r="F1558" s="28">
        <v>221</v>
      </c>
      <c r="G1558" s="9">
        <v>48</v>
      </c>
      <c r="H1558" s="1" t="s">
        <v>3073</v>
      </c>
      <c r="I1558" s="1" t="s">
        <v>3073</v>
      </c>
      <c r="J1558" t="str">
        <f t="shared" si="24"/>
        <v>http://www.badatelna.eu/reprodukce/?fondId=1073&amp;zaznamId=1108959&amp;reproId=3780214</v>
      </c>
      <c r="K1558">
        <f>IF(LEN(TRIM(E1558))=0,"",VLOOKUP(E1558,Sheet2!$B$1:$E$19,2,FALSE))</f>
        <v>1073</v>
      </c>
      <c r="L1558">
        <f>IF(LEN(TRIM(E1558))=0,"",VLOOKUP(E1558,Sheet2!$B$1:$E$19,3,FALSE))</f>
        <v>1108959</v>
      </c>
      <c r="M1558">
        <f>IF(LEN(TRIM(E1558))=0,"",VLOOKUP(E1558,Sheet2!$B$1:$E$19,4,FALSE))+(F1558-1)</f>
        <v>3780214</v>
      </c>
      <c r="N1558"/>
      <c r="O1558"/>
      <c r="P1558"/>
      <c r="Q1558"/>
    </row>
    <row r="1559" spans="1:17" s="1" customFormat="1" ht="15" customHeight="1" x14ac:dyDescent="0.25">
      <c r="A1559" s="29" t="s">
        <v>317</v>
      </c>
      <c r="B1559" s="28" t="s">
        <v>0</v>
      </c>
      <c r="C1559" s="6" t="s">
        <v>2235</v>
      </c>
      <c r="D1559" s="1" t="s">
        <v>454</v>
      </c>
      <c r="E1559" s="1">
        <v>2173</v>
      </c>
      <c r="F1559" s="28">
        <v>196</v>
      </c>
      <c r="G1559" s="9">
        <v>1</v>
      </c>
      <c r="H1559" s="1" t="s">
        <v>3073</v>
      </c>
      <c r="I1559" s="1" t="s">
        <v>3073</v>
      </c>
      <c r="J1559" t="str">
        <f t="shared" si="24"/>
        <v>http://www.badatelna.eu/reprodukce/?fondId=1073&amp;zaznamId=1108959&amp;reproId=3780189</v>
      </c>
      <c r="K1559">
        <f>IF(LEN(TRIM(E1559))=0,"",VLOOKUP(E1559,Sheet2!$B$1:$E$19,2,FALSE))</f>
        <v>1073</v>
      </c>
      <c r="L1559">
        <f>IF(LEN(TRIM(E1559))=0,"",VLOOKUP(E1559,Sheet2!$B$1:$E$19,3,FALSE))</f>
        <v>1108959</v>
      </c>
      <c r="M1559">
        <f>IF(LEN(TRIM(E1559))=0,"",VLOOKUP(E1559,Sheet2!$B$1:$E$19,4,FALSE))+(F1559-1)</f>
        <v>3780189</v>
      </c>
    </row>
    <row r="1560" spans="1:17" s="1" customFormat="1" ht="15" customHeight="1" x14ac:dyDescent="0.25">
      <c r="A1560" s="28" t="s">
        <v>317</v>
      </c>
      <c r="B1560" s="28" t="s">
        <v>2933</v>
      </c>
      <c r="C1560" s="1">
        <v>1847</v>
      </c>
      <c r="D1560" s="1" t="s">
        <v>2919</v>
      </c>
      <c r="E1560" s="1">
        <v>998</v>
      </c>
      <c r="F1560" s="28">
        <v>4</v>
      </c>
      <c r="G1560" s="1">
        <v>2</v>
      </c>
      <c r="H1560" s="1">
        <v>73</v>
      </c>
      <c r="I1560" s="1">
        <v>70</v>
      </c>
      <c r="J1560" t="str">
        <f t="shared" si="24"/>
        <v>http://www.badatelna.eu/reprodukce/?fondId=241&amp;zaznamId=1133738&amp;reproId=3885650</v>
      </c>
      <c r="K1560">
        <f>IF(LEN(TRIM(E1560))=0,"",VLOOKUP(E1560,Sheet2!$B$1:$E$19,2,FALSE))</f>
        <v>241</v>
      </c>
      <c r="L1560">
        <f>IF(LEN(TRIM(E1560))=0,"",VLOOKUP(E1560,Sheet2!$B$1:$E$19,3,FALSE))</f>
        <v>1133738</v>
      </c>
      <c r="M1560">
        <f>IF(LEN(TRIM(E1560))=0,"",VLOOKUP(E1560,Sheet2!$B$1:$E$19,4,FALSE))+(F1560-1)</f>
        <v>3885650</v>
      </c>
    </row>
    <row r="1561" spans="1:17" s="1" customFormat="1" ht="15" customHeight="1" x14ac:dyDescent="0.25">
      <c r="A1561" s="28" t="s">
        <v>317</v>
      </c>
      <c r="B1561" s="28" t="s">
        <v>948</v>
      </c>
      <c r="C1561" s="6" t="s">
        <v>1594</v>
      </c>
      <c r="D1561" s="1" t="s">
        <v>454</v>
      </c>
      <c r="E1561" s="1">
        <v>2172</v>
      </c>
      <c r="F1561" s="28">
        <v>65</v>
      </c>
      <c r="G1561" s="9">
        <v>64</v>
      </c>
      <c r="H1561" s="1" t="s">
        <v>3073</v>
      </c>
      <c r="I1561" s="1" t="s">
        <v>3073</v>
      </c>
      <c r="J1561" t="str">
        <f t="shared" si="24"/>
        <v>http://www.badatelna.eu/reprodukce/?fondId=1073&amp;zaznamId=1108958&amp;reproId=3779806</v>
      </c>
      <c r="K1561">
        <f>IF(LEN(TRIM(E1561))=0,"",VLOOKUP(E1561,Sheet2!$B$1:$E$19,2,FALSE))</f>
        <v>1073</v>
      </c>
      <c r="L1561">
        <f>IF(LEN(TRIM(E1561))=0,"",VLOOKUP(E1561,Sheet2!$B$1:$E$19,3,FALSE))</f>
        <v>1108958</v>
      </c>
      <c r="M1561">
        <f>IF(LEN(TRIM(E1561))=0,"",VLOOKUP(E1561,Sheet2!$B$1:$E$19,4,FALSE))+(F1561-1)</f>
        <v>3779806</v>
      </c>
      <c r="N1561"/>
      <c r="O1561"/>
      <c r="P1561"/>
      <c r="Q1561"/>
    </row>
    <row r="1562" spans="1:17" s="1" customFormat="1" ht="15" customHeight="1" x14ac:dyDescent="0.25">
      <c r="A1562" s="28" t="s">
        <v>317</v>
      </c>
      <c r="B1562" s="28" t="s">
        <v>16</v>
      </c>
      <c r="C1562" s="6" t="s">
        <v>2588</v>
      </c>
      <c r="D1562" s="1" t="s">
        <v>454</v>
      </c>
      <c r="E1562" s="1">
        <v>2173</v>
      </c>
      <c r="F1562" s="28">
        <v>215</v>
      </c>
      <c r="G1562" s="9">
        <v>40</v>
      </c>
      <c r="H1562" s="1" t="s">
        <v>3073</v>
      </c>
      <c r="I1562" s="1" t="s">
        <v>3073</v>
      </c>
      <c r="J1562" t="str">
        <f t="shared" si="24"/>
        <v>http://www.badatelna.eu/reprodukce/?fondId=1073&amp;zaznamId=1108959&amp;reproId=3780208</v>
      </c>
      <c r="K1562">
        <f>IF(LEN(TRIM(E1562))=0,"",VLOOKUP(E1562,Sheet2!$B$1:$E$19,2,FALSE))</f>
        <v>1073</v>
      </c>
      <c r="L1562">
        <f>IF(LEN(TRIM(E1562))=0,"",VLOOKUP(E1562,Sheet2!$B$1:$E$19,3,FALSE))</f>
        <v>1108959</v>
      </c>
      <c r="M1562">
        <f>IF(LEN(TRIM(E1562))=0,"",VLOOKUP(E1562,Sheet2!$B$1:$E$19,4,FALSE))+(F1562-1)</f>
        <v>3780208</v>
      </c>
    </row>
    <row r="1563" spans="1:17" s="1" customFormat="1" ht="15" customHeight="1" x14ac:dyDescent="0.25">
      <c r="A1563" s="28" t="s">
        <v>317</v>
      </c>
      <c r="B1563" s="28" t="s">
        <v>49</v>
      </c>
      <c r="C1563" s="6" t="s">
        <v>2743</v>
      </c>
      <c r="D1563" s="1" t="s">
        <v>454</v>
      </c>
      <c r="E1563" s="1">
        <v>2173</v>
      </c>
      <c r="F1563" s="28">
        <v>229</v>
      </c>
      <c r="G1563" s="9">
        <v>62</v>
      </c>
      <c r="H1563" s="1" t="s">
        <v>3073</v>
      </c>
      <c r="I1563" s="1" t="s">
        <v>3073</v>
      </c>
      <c r="J1563" t="str">
        <f t="shared" si="24"/>
        <v>http://www.badatelna.eu/reprodukce/?fondId=1073&amp;zaznamId=1108959&amp;reproId=3780222</v>
      </c>
      <c r="K1563">
        <f>IF(LEN(TRIM(E1563))=0,"",VLOOKUP(E1563,Sheet2!$B$1:$E$19,2,FALSE))</f>
        <v>1073</v>
      </c>
      <c r="L1563">
        <f>IF(LEN(TRIM(E1563))=0,"",VLOOKUP(E1563,Sheet2!$B$1:$E$19,3,FALSE))</f>
        <v>1108959</v>
      </c>
      <c r="M1563">
        <f>IF(LEN(TRIM(E1563))=0,"",VLOOKUP(E1563,Sheet2!$B$1:$E$19,4,FALSE))+(F1563-1)</f>
        <v>3780222</v>
      </c>
    </row>
    <row r="1564" spans="1:17" s="1" customFormat="1" ht="15" customHeight="1" x14ac:dyDescent="0.25">
      <c r="A1564" s="27" t="s">
        <v>317</v>
      </c>
      <c r="B1564" s="27" t="s">
        <v>490</v>
      </c>
      <c r="C1564" s="5" t="s">
        <v>1244</v>
      </c>
      <c r="D1564" s="3" t="s">
        <v>454</v>
      </c>
      <c r="E1564" s="3">
        <v>2170</v>
      </c>
      <c r="F1564" s="28">
        <v>11</v>
      </c>
      <c r="G1564" s="10">
        <v>7</v>
      </c>
      <c r="H1564" s="3">
        <v>65</v>
      </c>
      <c r="I1564" s="3">
        <v>61</v>
      </c>
      <c r="J1564" t="str">
        <f t="shared" si="24"/>
        <v>http://www.badatelna.eu/reprodukce/?fondId=1073&amp;zaznamId=1108956&amp;reproId=3779603</v>
      </c>
      <c r="K1564">
        <f>IF(LEN(TRIM(E1564))=0,"",VLOOKUP(E1564,Sheet2!$B$1:$E$19,2,FALSE))</f>
        <v>1073</v>
      </c>
      <c r="L1564">
        <f>IF(LEN(TRIM(E1564))=0,"",VLOOKUP(E1564,Sheet2!$B$1:$E$19,3,FALSE))</f>
        <v>1108956</v>
      </c>
      <c r="M1564">
        <f>IF(LEN(TRIM(E1564))=0,"",VLOOKUP(E1564,Sheet2!$B$1:$E$19,4,FALSE))+(F1564-1)</f>
        <v>3779603</v>
      </c>
      <c r="N1564"/>
      <c r="O1564"/>
      <c r="P1564"/>
      <c r="Q1564"/>
    </row>
    <row r="1565" spans="1:17" s="1" customFormat="1" ht="15" customHeight="1" x14ac:dyDescent="0.25">
      <c r="A1565" s="28" t="s">
        <v>317</v>
      </c>
      <c r="B1565" s="28" t="s">
        <v>39</v>
      </c>
      <c r="C1565" s="6" t="s">
        <v>2113</v>
      </c>
      <c r="D1565" s="1" t="s">
        <v>454</v>
      </c>
      <c r="E1565" s="1">
        <v>2173</v>
      </c>
      <c r="F1565" s="28">
        <v>181</v>
      </c>
      <c r="G1565" s="9">
        <v>8</v>
      </c>
      <c r="H1565" s="1">
        <v>190</v>
      </c>
      <c r="I1565" s="1">
        <v>422</v>
      </c>
      <c r="J1565" t="str">
        <f t="shared" si="24"/>
        <v>http://www.badatelna.eu/reprodukce/?fondId=1073&amp;zaznamId=1108959&amp;reproId=3780174</v>
      </c>
      <c r="K1565">
        <f>IF(LEN(TRIM(E1565))=0,"",VLOOKUP(E1565,Sheet2!$B$1:$E$19,2,FALSE))</f>
        <v>1073</v>
      </c>
      <c r="L1565">
        <f>IF(LEN(TRIM(E1565))=0,"",VLOOKUP(E1565,Sheet2!$B$1:$E$19,3,FALSE))</f>
        <v>1108959</v>
      </c>
      <c r="M1565">
        <f>IF(LEN(TRIM(E1565))=0,"",VLOOKUP(E1565,Sheet2!$B$1:$E$19,4,FALSE))+(F1565-1)</f>
        <v>3780174</v>
      </c>
    </row>
    <row r="1566" spans="1:17" s="1" customFormat="1" ht="15" customHeight="1" x14ac:dyDescent="0.25">
      <c r="A1566" s="29" t="s">
        <v>317</v>
      </c>
      <c r="B1566" s="28" t="s">
        <v>7</v>
      </c>
      <c r="C1566" s="6" t="s">
        <v>2236</v>
      </c>
      <c r="D1566" s="1" t="s">
        <v>454</v>
      </c>
      <c r="E1566" s="1">
        <v>2173</v>
      </c>
      <c r="F1566" s="28">
        <v>196</v>
      </c>
      <c r="G1566" s="9">
        <v>1</v>
      </c>
      <c r="H1566" s="1" t="s">
        <v>3073</v>
      </c>
      <c r="I1566" s="1" t="s">
        <v>3073</v>
      </c>
      <c r="J1566" t="str">
        <f t="shared" si="24"/>
        <v>http://www.badatelna.eu/reprodukce/?fondId=1073&amp;zaznamId=1108959&amp;reproId=3780189</v>
      </c>
      <c r="K1566">
        <f>IF(LEN(TRIM(E1566))=0,"",VLOOKUP(E1566,Sheet2!$B$1:$E$19,2,FALSE))</f>
        <v>1073</v>
      </c>
      <c r="L1566">
        <f>IF(LEN(TRIM(E1566))=0,"",VLOOKUP(E1566,Sheet2!$B$1:$E$19,3,FALSE))</f>
        <v>1108959</v>
      </c>
      <c r="M1566">
        <f>IF(LEN(TRIM(E1566))=0,"",VLOOKUP(E1566,Sheet2!$B$1:$E$19,4,FALSE))+(F1566-1)</f>
        <v>3780189</v>
      </c>
    </row>
    <row r="1567" spans="1:17" s="1" customFormat="1" ht="15" customHeight="1" x14ac:dyDescent="0.25">
      <c r="A1567" s="28" t="s">
        <v>317</v>
      </c>
      <c r="B1567" s="28" t="s">
        <v>254</v>
      </c>
      <c r="C1567" s="6" t="s">
        <v>2114</v>
      </c>
      <c r="D1567" s="1" t="s">
        <v>454</v>
      </c>
      <c r="E1567" s="1">
        <v>2173</v>
      </c>
      <c r="F1567" s="28">
        <v>180</v>
      </c>
      <c r="G1567" s="9">
        <v>6</v>
      </c>
      <c r="H1567" s="1">
        <v>190</v>
      </c>
      <c r="I1567" s="1">
        <v>422</v>
      </c>
      <c r="J1567" t="str">
        <f t="shared" si="24"/>
        <v>http://www.badatelna.eu/reprodukce/?fondId=1073&amp;zaznamId=1108959&amp;reproId=3780173</v>
      </c>
      <c r="K1567">
        <f>IF(LEN(TRIM(E1567))=0,"",VLOOKUP(E1567,Sheet2!$B$1:$E$19,2,FALSE))</f>
        <v>1073</v>
      </c>
      <c r="L1567">
        <f>IF(LEN(TRIM(E1567))=0,"",VLOOKUP(E1567,Sheet2!$B$1:$E$19,3,FALSE))</f>
        <v>1108959</v>
      </c>
      <c r="M1567">
        <f>IF(LEN(TRIM(E1567))=0,"",VLOOKUP(E1567,Sheet2!$B$1:$E$19,4,FALSE))+(F1567-1)</f>
        <v>3780173</v>
      </c>
    </row>
    <row r="1568" spans="1:17" s="1" customFormat="1" ht="15" customHeight="1" x14ac:dyDescent="0.25">
      <c r="A1568" s="28" t="s">
        <v>325</v>
      </c>
      <c r="B1568" s="28" t="s">
        <v>326</v>
      </c>
      <c r="C1568" s="6" t="s">
        <v>2115</v>
      </c>
      <c r="D1568" s="1" t="s">
        <v>454</v>
      </c>
      <c r="E1568" s="1">
        <v>2173</v>
      </c>
      <c r="F1568" s="28">
        <v>183</v>
      </c>
      <c r="G1568" s="9">
        <v>12</v>
      </c>
      <c r="H1568" s="1">
        <v>190</v>
      </c>
      <c r="I1568" s="1">
        <v>422</v>
      </c>
      <c r="J1568" t="str">
        <f t="shared" si="24"/>
        <v>http://www.badatelna.eu/reprodukce/?fondId=1073&amp;zaznamId=1108959&amp;reproId=3780176</v>
      </c>
      <c r="K1568">
        <f>IF(LEN(TRIM(E1568))=0,"",VLOOKUP(E1568,Sheet2!$B$1:$E$19,2,FALSE))</f>
        <v>1073</v>
      </c>
      <c r="L1568">
        <f>IF(LEN(TRIM(E1568))=0,"",VLOOKUP(E1568,Sheet2!$B$1:$E$19,3,FALSE))</f>
        <v>1108959</v>
      </c>
      <c r="M1568">
        <f>IF(LEN(TRIM(E1568))=0,"",VLOOKUP(E1568,Sheet2!$B$1:$E$19,4,FALSE))+(F1568-1)</f>
        <v>3780176</v>
      </c>
    </row>
    <row r="1569" spans="1:17" s="1" customFormat="1" ht="15" customHeight="1" x14ac:dyDescent="0.25">
      <c r="A1569" s="29" t="s">
        <v>2808</v>
      </c>
      <c r="B1569" s="28" t="s">
        <v>33</v>
      </c>
      <c r="C1569" s="6" t="s">
        <v>2353</v>
      </c>
      <c r="D1569" s="1" t="s">
        <v>454</v>
      </c>
      <c r="E1569" s="1">
        <v>2173</v>
      </c>
      <c r="F1569" s="28">
        <v>200</v>
      </c>
      <c r="G1569" s="9">
        <v>10</v>
      </c>
      <c r="H1569" s="1" t="s">
        <v>3073</v>
      </c>
      <c r="I1569" s="1" t="s">
        <v>3073</v>
      </c>
      <c r="J1569" t="str">
        <f t="shared" si="24"/>
        <v>http://www.badatelna.eu/reprodukce/?fondId=1073&amp;zaznamId=1108959&amp;reproId=3780193</v>
      </c>
      <c r="K1569">
        <f>IF(LEN(TRIM(E1569))=0,"",VLOOKUP(E1569,Sheet2!$B$1:$E$19,2,FALSE))</f>
        <v>1073</v>
      </c>
      <c r="L1569">
        <f>IF(LEN(TRIM(E1569))=0,"",VLOOKUP(E1569,Sheet2!$B$1:$E$19,3,FALSE))</f>
        <v>1108959</v>
      </c>
      <c r="M1569">
        <f>IF(LEN(TRIM(E1569))=0,"",VLOOKUP(E1569,Sheet2!$B$1:$E$19,4,FALSE))+(F1569-1)</f>
        <v>3780193</v>
      </c>
      <c r="N1569"/>
      <c r="O1569"/>
      <c r="P1569"/>
      <c r="Q1569"/>
    </row>
    <row r="1570" spans="1:17" s="1" customFormat="1" ht="15" customHeight="1" x14ac:dyDescent="0.25">
      <c r="A1570" s="27" t="s">
        <v>566</v>
      </c>
      <c r="B1570" s="27" t="s">
        <v>25</v>
      </c>
      <c r="C1570" s="5" t="s">
        <v>1245</v>
      </c>
      <c r="D1570" s="3" t="s">
        <v>454</v>
      </c>
      <c r="E1570" s="3">
        <v>2170</v>
      </c>
      <c r="F1570" s="28">
        <v>10</v>
      </c>
      <c r="G1570" s="10">
        <v>6</v>
      </c>
      <c r="H1570" s="3">
        <v>65</v>
      </c>
      <c r="I1570" s="3">
        <v>61</v>
      </c>
      <c r="J1570" t="str">
        <f t="shared" si="24"/>
        <v>http://www.badatelna.eu/reprodukce/?fondId=1073&amp;zaznamId=1108956&amp;reproId=3779602</v>
      </c>
      <c r="K1570">
        <f>IF(LEN(TRIM(E1570))=0,"",VLOOKUP(E1570,Sheet2!$B$1:$E$19,2,FALSE))</f>
        <v>1073</v>
      </c>
      <c r="L1570">
        <f>IF(LEN(TRIM(E1570))=0,"",VLOOKUP(E1570,Sheet2!$B$1:$E$19,3,FALSE))</f>
        <v>1108956</v>
      </c>
      <c r="M1570">
        <f>IF(LEN(TRIM(E1570))=0,"",VLOOKUP(E1570,Sheet2!$B$1:$E$19,4,FALSE))+(F1570-1)</f>
        <v>3779602</v>
      </c>
      <c r="N1570"/>
      <c r="O1570"/>
      <c r="P1570"/>
      <c r="Q1570"/>
    </row>
    <row r="1571" spans="1:17" s="1" customFormat="1" ht="15" customHeight="1" x14ac:dyDescent="0.25">
      <c r="A1571" s="27" t="s">
        <v>567</v>
      </c>
      <c r="B1571" s="27" t="s">
        <v>568</v>
      </c>
      <c r="C1571" s="5" t="s">
        <v>1247</v>
      </c>
      <c r="D1571" s="3" t="s">
        <v>454</v>
      </c>
      <c r="E1571" s="3">
        <v>2170</v>
      </c>
      <c r="F1571" s="28">
        <v>51</v>
      </c>
      <c r="G1571" s="10">
        <v>47</v>
      </c>
      <c r="H1571" s="3">
        <v>65</v>
      </c>
      <c r="I1571" s="3">
        <v>61</v>
      </c>
      <c r="J1571" t="str">
        <f t="shared" si="24"/>
        <v>http://www.badatelna.eu/reprodukce/?fondId=1073&amp;zaznamId=1108956&amp;reproId=3779643</v>
      </c>
      <c r="K1571">
        <f>IF(LEN(TRIM(E1571))=0,"",VLOOKUP(E1571,Sheet2!$B$1:$E$19,2,FALSE))</f>
        <v>1073</v>
      </c>
      <c r="L1571">
        <f>IF(LEN(TRIM(E1571))=0,"",VLOOKUP(E1571,Sheet2!$B$1:$E$19,3,FALSE))</f>
        <v>1108956</v>
      </c>
      <c r="M1571">
        <f>IF(LEN(TRIM(E1571))=0,"",VLOOKUP(E1571,Sheet2!$B$1:$E$19,4,FALSE))+(F1571-1)</f>
        <v>3779643</v>
      </c>
    </row>
    <row r="1572" spans="1:17" s="1" customFormat="1" ht="15" customHeight="1" x14ac:dyDescent="0.25">
      <c r="A1572" s="27" t="s">
        <v>567</v>
      </c>
      <c r="B1572" s="27" t="s">
        <v>25</v>
      </c>
      <c r="C1572" s="5" t="s">
        <v>1246</v>
      </c>
      <c r="D1572" s="3" t="s">
        <v>454</v>
      </c>
      <c r="E1572" s="3">
        <v>2170</v>
      </c>
      <c r="F1572" s="28">
        <v>30</v>
      </c>
      <c r="G1572" s="10">
        <v>26</v>
      </c>
      <c r="H1572" s="3">
        <v>65</v>
      </c>
      <c r="I1572" s="3">
        <v>61</v>
      </c>
      <c r="J1572" t="str">
        <f t="shared" si="24"/>
        <v>http://www.badatelna.eu/reprodukce/?fondId=1073&amp;zaznamId=1108956&amp;reproId=3779622</v>
      </c>
      <c r="K1572">
        <f>IF(LEN(TRIM(E1572))=0,"",VLOOKUP(E1572,Sheet2!$B$1:$E$19,2,FALSE))</f>
        <v>1073</v>
      </c>
      <c r="L1572">
        <f>IF(LEN(TRIM(E1572))=0,"",VLOOKUP(E1572,Sheet2!$B$1:$E$19,3,FALSE))</f>
        <v>1108956</v>
      </c>
      <c r="M1572">
        <f>IF(LEN(TRIM(E1572))=0,"",VLOOKUP(E1572,Sheet2!$B$1:$E$19,4,FALSE))+(F1572-1)</f>
        <v>3779622</v>
      </c>
      <c r="N1572"/>
      <c r="O1572"/>
      <c r="P1572"/>
      <c r="Q1572"/>
    </row>
    <row r="1573" spans="1:17" s="1" customFormat="1" ht="15" customHeight="1" x14ac:dyDescent="0.25">
      <c r="A1573" s="28" t="s">
        <v>567</v>
      </c>
      <c r="B1573" s="28" t="s">
        <v>601</v>
      </c>
      <c r="C1573" s="1">
        <v>1893</v>
      </c>
      <c r="D1573" s="1" t="s">
        <v>454</v>
      </c>
      <c r="E1573" s="1">
        <v>2172</v>
      </c>
      <c r="F1573" s="28">
        <v>86</v>
      </c>
      <c r="G1573" s="9">
        <v>85</v>
      </c>
      <c r="H1573" s="1">
        <v>89</v>
      </c>
      <c r="I1573" s="1">
        <v>88</v>
      </c>
      <c r="J1573" t="str">
        <f t="shared" si="24"/>
        <v>http://www.badatelna.eu/reprodukce/?fondId=1073&amp;zaznamId=1108958&amp;reproId=3779827</v>
      </c>
      <c r="K1573">
        <f>IF(LEN(TRIM(E1573))=0,"",VLOOKUP(E1573,Sheet2!$B$1:$E$19,2,FALSE))</f>
        <v>1073</v>
      </c>
      <c r="L1573">
        <f>IF(LEN(TRIM(E1573))=0,"",VLOOKUP(E1573,Sheet2!$B$1:$E$19,3,FALSE))</f>
        <v>1108958</v>
      </c>
      <c r="M1573">
        <f>IF(LEN(TRIM(E1573))=0,"",VLOOKUP(E1573,Sheet2!$B$1:$E$19,4,FALSE))+(F1573-1)</f>
        <v>3779827</v>
      </c>
    </row>
    <row r="1574" spans="1:17" s="1" customFormat="1" ht="15" customHeight="1" x14ac:dyDescent="0.25">
      <c r="A1574" s="28" t="s">
        <v>949</v>
      </c>
      <c r="B1574" s="28" t="s">
        <v>950</v>
      </c>
      <c r="C1574" s="6" t="s">
        <v>1660</v>
      </c>
      <c r="D1574" s="1" t="s">
        <v>454</v>
      </c>
      <c r="E1574" s="1">
        <v>2172</v>
      </c>
      <c r="F1574" s="28">
        <v>101</v>
      </c>
      <c r="G1574" s="9">
        <v>100</v>
      </c>
      <c r="H1574" s="1">
        <v>104</v>
      </c>
      <c r="I1574" s="1">
        <v>103</v>
      </c>
      <c r="J1574" t="str">
        <f t="shared" si="24"/>
        <v>http://www.badatelna.eu/reprodukce/?fondId=1073&amp;zaznamId=1108958&amp;reproId=3779842</v>
      </c>
      <c r="K1574">
        <f>IF(LEN(TRIM(E1574))=0,"",VLOOKUP(E1574,Sheet2!$B$1:$E$19,2,FALSE))</f>
        <v>1073</v>
      </c>
      <c r="L1574">
        <f>IF(LEN(TRIM(E1574))=0,"",VLOOKUP(E1574,Sheet2!$B$1:$E$19,3,FALSE))</f>
        <v>1108958</v>
      </c>
      <c r="M1574">
        <f>IF(LEN(TRIM(E1574))=0,"",VLOOKUP(E1574,Sheet2!$B$1:$E$19,4,FALSE))+(F1574-1)</f>
        <v>3779842</v>
      </c>
    </row>
    <row r="1575" spans="1:17" s="1" customFormat="1" ht="15" customHeight="1" x14ac:dyDescent="0.25">
      <c r="A1575" s="27" t="s">
        <v>569</v>
      </c>
      <c r="B1575" s="27" t="s">
        <v>290</v>
      </c>
      <c r="C1575" s="5" t="s">
        <v>1248</v>
      </c>
      <c r="D1575" s="3" t="s">
        <v>454</v>
      </c>
      <c r="E1575" s="3">
        <v>2170</v>
      </c>
      <c r="F1575" s="28">
        <v>57</v>
      </c>
      <c r="G1575" s="10">
        <v>53</v>
      </c>
      <c r="H1575" s="3">
        <v>65</v>
      </c>
      <c r="I1575" s="3">
        <v>61</v>
      </c>
      <c r="J1575" t="str">
        <f t="shared" si="24"/>
        <v>http://www.badatelna.eu/reprodukce/?fondId=1073&amp;zaznamId=1108956&amp;reproId=3779649</v>
      </c>
      <c r="K1575">
        <f>IF(LEN(TRIM(E1575))=0,"",VLOOKUP(E1575,Sheet2!$B$1:$E$19,2,FALSE))</f>
        <v>1073</v>
      </c>
      <c r="L1575">
        <f>IF(LEN(TRIM(E1575))=0,"",VLOOKUP(E1575,Sheet2!$B$1:$E$19,3,FALSE))</f>
        <v>1108956</v>
      </c>
      <c r="M1575">
        <f>IF(LEN(TRIM(E1575))=0,"",VLOOKUP(E1575,Sheet2!$B$1:$E$19,4,FALSE))+(F1575-1)</f>
        <v>3779649</v>
      </c>
    </row>
    <row r="1576" spans="1:17" s="1" customFormat="1" ht="15" customHeight="1" x14ac:dyDescent="0.25">
      <c r="A1576" s="27" t="s">
        <v>569</v>
      </c>
      <c r="B1576" s="27" t="s">
        <v>290</v>
      </c>
      <c r="C1576" s="5" t="s">
        <v>1249</v>
      </c>
      <c r="D1576" s="3" t="s">
        <v>454</v>
      </c>
      <c r="E1576" s="3">
        <v>2170</v>
      </c>
      <c r="F1576" s="28">
        <v>36</v>
      </c>
      <c r="G1576" s="10">
        <v>32</v>
      </c>
      <c r="H1576" s="3">
        <v>65</v>
      </c>
      <c r="I1576" s="3">
        <v>61</v>
      </c>
      <c r="J1576" t="str">
        <f t="shared" si="24"/>
        <v>http://www.badatelna.eu/reprodukce/?fondId=1073&amp;zaznamId=1108956&amp;reproId=3779628</v>
      </c>
      <c r="K1576">
        <f>IF(LEN(TRIM(E1576))=0,"",VLOOKUP(E1576,Sheet2!$B$1:$E$19,2,FALSE))</f>
        <v>1073</v>
      </c>
      <c r="L1576">
        <f>IF(LEN(TRIM(E1576))=0,"",VLOOKUP(E1576,Sheet2!$B$1:$E$19,3,FALSE))</f>
        <v>1108956</v>
      </c>
      <c r="M1576">
        <f>IF(LEN(TRIM(E1576))=0,"",VLOOKUP(E1576,Sheet2!$B$1:$E$19,4,FALSE))+(F1576-1)</f>
        <v>3779628</v>
      </c>
    </row>
    <row r="1577" spans="1:17" s="1" customFormat="1" ht="15" customHeight="1" x14ac:dyDescent="0.25">
      <c r="A1577" s="28" t="s">
        <v>569</v>
      </c>
      <c r="B1577" s="28" t="s">
        <v>10</v>
      </c>
      <c r="C1577" s="6" t="s">
        <v>1660</v>
      </c>
      <c r="D1577" s="1" t="s">
        <v>454</v>
      </c>
      <c r="E1577" s="1">
        <v>2172</v>
      </c>
      <c r="F1577" s="28">
        <v>101</v>
      </c>
      <c r="G1577" s="9">
        <v>100</v>
      </c>
      <c r="H1577" s="1">
        <v>103</v>
      </c>
      <c r="I1577" s="1">
        <v>102</v>
      </c>
      <c r="J1577" t="str">
        <f t="shared" si="24"/>
        <v>http://www.badatelna.eu/reprodukce/?fondId=1073&amp;zaznamId=1108958&amp;reproId=3779842</v>
      </c>
      <c r="K1577">
        <f>IF(LEN(TRIM(E1577))=0,"",VLOOKUP(E1577,Sheet2!$B$1:$E$19,2,FALSE))</f>
        <v>1073</v>
      </c>
      <c r="L1577">
        <f>IF(LEN(TRIM(E1577))=0,"",VLOOKUP(E1577,Sheet2!$B$1:$E$19,3,FALSE))</f>
        <v>1108958</v>
      </c>
      <c r="M1577">
        <f>IF(LEN(TRIM(E1577))=0,"",VLOOKUP(E1577,Sheet2!$B$1:$E$19,4,FALSE))+(F1577-1)</f>
        <v>3779842</v>
      </c>
      <c r="N1577"/>
      <c r="O1577"/>
      <c r="P1577"/>
      <c r="Q1577"/>
    </row>
    <row r="1578" spans="1:17" s="1" customFormat="1" ht="15" customHeight="1" x14ac:dyDescent="0.25">
      <c r="A1578" s="28" t="s">
        <v>951</v>
      </c>
      <c r="B1578" s="28" t="s">
        <v>631</v>
      </c>
      <c r="C1578" s="6" t="s">
        <v>1505</v>
      </c>
      <c r="D1578" s="1" t="s">
        <v>454</v>
      </c>
      <c r="E1578" s="1">
        <v>2172</v>
      </c>
      <c r="F1578" s="28">
        <v>5</v>
      </c>
      <c r="G1578" s="9">
        <v>2</v>
      </c>
      <c r="H1578" s="1">
        <v>9</v>
      </c>
      <c r="I1578" s="1">
        <v>2</v>
      </c>
      <c r="J1578" t="str">
        <f t="shared" si="24"/>
        <v>http://www.badatelna.eu/reprodukce/?fondId=1073&amp;zaznamId=1108958&amp;reproId=3779746</v>
      </c>
      <c r="K1578">
        <f>IF(LEN(TRIM(E1578))=0,"",VLOOKUP(E1578,Sheet2!$B$1:$E$19,2,FALSE))</f>
        <v>1073</v>
      </c>
      <c r="L1578">
        <f>IF(LEN(TRIM(E1578))=0,"",VLOOKUP(E1578,Sheet2!$B$1:$E$19,3,FALSE))</f>
        <v>1108958</v>
      </c>
      <c r="M1578">
        <f>IF(LEN(TRIM(E1578))=0,"",VLOOKUP(E1578,Sheet2!$B$1:$E$19,4,FALSE))+(F1578-1)</f>
        <v>3779746</v>
      </c>
    </row>
    <row r="1579" spans="1:17" s="1" customFormat="1" ht="15" customHeight="1" x14ac:dyDescent="0.25">
      <c r="A1579" s="28" t="s">
        <v>951</v>
      </c>
      <c r="B1579" s="28" t="s">
        <v>135</v>
      </c>
      <c r="C1579" s="6" t="s">
        <v>1494</v>
      </c>
      <c r="D1579" s="1" t="s">
        <v>454</v>
      </c>
      <c r="E1579" s="1">
        <v>2172</v>
      </c>
      <c r="F1579" s="28">
        <v>6</v>
      </c>
      <c r="G1579" s="9">
        <v>3</v>
      </c>
      <c r="H1579" s="1">
        <v>9</v>
      </c>
      <c r="I1579" s="1">
        <v>2</v>
      </c>
      <c r="J1579" t="str">
        <f t="shared" si="24"/>
        <v>http://www.badatelna.eu/reprodukce/?fondId=1073&amp;zaznamId=1108958&amp;reproId=3779747</v>
      </c>
      <c r="K1579">
        <f>IF(LEN(TRIM(E1579))=0,"",VLOOKUP(E1579,Sheet2!$B$1:$E$19,2,FALSE))</f>
        <v>1073</v>
      </c>
      <c r="L1579">
        <f>IF(LEN(TRIM(E1579))=0,"",VLOOKUP(E1579,Sheet2!$B$1:$E$19,3,FALSE))</f>
        <v>1108958</v>
      </c>
      <c r="M1579">
        <f>IF(LEN(TRIM(E1579))=0,"",VLOOKUP(E1579,Sheet2!$B$1:$E$19,4,FALSE))+(F1579-1)</f>
        <v>3779747</v>
      </c>
      <c r="N1579"/>
      <c r="O1579"/>
      <c r="P1579"/>
      <c r="Q1579"/>
    </row>
    <row r="1580" spans="1:17" s="1" customFormat="1" ht="15" customHeight="1" x14ac:dyDescent="0.25">
      <c r="A1580" s="28" t="s">
        <v>951</v>
      </c>
      <c r="B1580" s="28" t="s">
        <v>306</v>
      </c>
      <c r="C1580" s="6" t="s">
        <v>1595</v>
      </c>
      <c r="D1580" s="1" t="s">
        <v>454</v>
      </c>
      <c r="E1580" s="1">
        <v>2172</v>
      </c>
      <c r="F1580" s="28">
        <v>65</v>
      </c>
      <c r="G1580" s="9">
        <v>64</v>
      </c>
      <c r="H1580" s="1" t="s">
        <v>3073</v>
      </c>
      <c r="I1580" s="1" t="s">
        <v>3073</v>
      </c>
      <c r="J1580" t="str">
        <f t="shared" si="24"/>
        <v>http://www.badatelna.eu/reprodukce/?fondId=1073&amp;zaznamId=1108958&amp;reproId=3779806</v>
      </c>
      <c r="K1580">
        <f>IF(LEN(TRIM(E1580))=0,"",VLOOKUP(E1580,Sheet2!$B$1:$E$19,2,FALSE))</f>
        <v>1073</v>
      </c>
      <c r="L1580">
        <f>IF(LEN(TRIM(E1580))=0,"",VLOOKUP(E1580,Sheet2!$B$1:$E$19,3,FALSE))</f>
        <v>1108958</v>
      </c>
      <c r="M1580">
        <f>IF(LEN(TRIM(E1580))=0,"",VLOOKUP(E1580,Sheet2!$B$1:$E$19,4,FALSE))+(F1580-1)</f>
        <v>3779806</v>
      </c>
    </row>
    <row r="1581" spans="1:17" s="1" customFormat="1" ht="15" customHeight="1" x14ac:dyDescent="0.25">
      <c r="A1581" s="29" t="s">
        <v>2751</v>
      </c>
      <c r="B1581" s="28" t="s">
        <v>16</v>
      </c>
      <c r="C1581" s="6" t="s">
        <v>2243</v>
      </c>
      <c r="D1581" s="1" t="s">
        <v>454</v>
      </c>
      <c r="E1581" s="1">
        <v>2173</v>
      </c>
      <c r="F1581" s="28">
        <v>196</v>
      </c>
      <c r="G1581" s="9">
        <v>1</v>
      </c>
      <c r="H1581" s="1" t="s">
        <v>3073</v>
      </c>
      <c r="I1581" s="1" t="s">
        <v>3073</v>
      </c>
      <c r="J1581" t="str">
        <f t="shared" si="24"/>
        <v>http://www.badatelna.eu/reprodukce/?fondId=1073&amp;zaznamId=1108959&amp;reproId=3780189</v>
      </c>
      <c r="K1581">
        <f>IF(LEN(TRIM(E1581))=0,"",VLOOKUP(E1581,Sheet2!$B$1:$E$19,2,FALSE))</f>
        <v>1073</v>
      </c>
      <c r="L1581">
        <f>IF(LEN(TRIM(E1581))=0,"",VLOOKUP(E1581,Sheet2!$B$1:$E$19,3,FALSE))</f>
        <v>1108959</v>
      </c>
      <c r="M1581">
        <f>IF(LEN(TRIM(E1581))=0,"",VLOOKUP(E1581,Sheet2!$B$1:$E$19,4,FALSE))+(F1581-1)</f>
        <v>3780189</v>
      </c>
    </row>
    <row r="1582" spans="1:17" s="1" customFormat="1" ht="15" customHeight="1" x14ac:dyDescent="0.25">
      <c r="A1582" s="28" t="s">
        <v>2983</v>
      </c>
      <c r="B1582" s="28" t="s">
        <v>25</v>
      </c>
      <c r="C1582" s="1">
        <v>1863</v>
      </c>
      <c r="D1582" s="1" t="s">
        <v>2919</v>
      </c>
      <c r="E1582" s="1">
        <v>999</v>
      </c>
      <c r="F1582" s="28">
        <v>85</v>
      </c>
      <c r="G1582" s="1">
        <v>6</v>
      </c>
      <c r="H1582" s="1">
        <v>104</v>
      </c>
      <c r="I1582" s="1">
        <v>163</v>
      </c>
      <c r="J1582" t="str">
        <f t="shared" si="24"/>
        <v>http://www.badatelna.eu/reprodukce/?fondId=241&amp;zaznamId=1133739&amp;reproId=3885814</v>
      </c>
      <c r="K1582">
        <f>IF(LEN(TRIM(E1582))=0,"",VLOOKUP(E1582,Sheet2!$B$1:$E$19,2,FALSE))</f>
        <v>241</v>
      </c>
      <c r="L1582">
        <f>IF(LEN(TRIM(E1582))=0,"",VLOOKUP(E1582,Sheet2!$B$1:$E$19,3,FALSE))</f>
        <v>1133739</v>
      </c>
      <c r="M1582">
        <f>IF(LEN(TRIM(E1582))=0,"",VLOOKUP(E1582,Sheet2!$B$1:$E$19,4,FALSE))+(F1582-1)</f>
        <v>3885814</v>
      </c>
    </row>
    <row r="1583" spans="1:17" s="1" customFormat="1" ht="15" customHeight="1" x14ac:dyDescent="0.25">
      <c r="A1583" s="28" t="s">
        <v>2983</v>
      </c>
      <c r="B1583" s="29" t="s">
        <v>2984</v>
      </c>
      <c r="C1583" s="1">
        <v>1853</v>
      </c>
      <c r="D1583" s="1" t="s">
        <v>2919</v>
      </c>
      <c r="E1583" s="1">
        <v>998</v>
      </c>
      <c r="F1583" s="28">
        <v>39</v>
      </c>
      <c r="G1583" s="1">
        <v>37</v>
      </c>
      <c r="H1583" s="1">
        <v>73</v>
      </c>
      <c r="I1583" s="1">
        <v>70</v>
      </c>
      <c r="J1583" t="str">
        <f t="shared" si="24"/>
        <v>http://www.badatelna.eu/reprodukce/?fondId=241&amp;zaznamId=1133738&amp;reproId=3885685</v>
      </c>
      <c r="K1583">
        <f>IF(LEN(TRIM(E1583))=0,"",VLOOKUP(E1583,Sheet2!$B$1:$E$19,2,FALSE))</f>
        <v>241</v>
      </c>
      <c r="L1583">
        <f>IF(LEN(TRIM(E1583))=0,"",VLOOKUP(E1583,Sheet2!$B$1:$E$19,3,FALSE))</f>
        <v>1133738</v>
      </c>
      <c r="M1583">
        <f>IF(LEN(TRIM(E1583))=0,"",VLOOKUP(E1583,Sheet2!$B$1:$E$19,4,FALSE))+(F1583-1)</f>
        <v>3885685</v>
      </c>
    </row>
    <row r="1584" spans="1:17" s="1" customFormat="1" ht="15" customHeight="1" x14ac:dyDescent="0.25">
      <c r="A1584" s="28" t="s">
        <v>952</v>
      </c>
      <c r="B1584" s="28" t="s">
        <v>13</v>
      </c>
      <c r="C1584" s="6" t="s">
        <v>1506</v>
      </c>
      <c r="D1584" s="1" t="s">
        <v>454</v>
      </c>
      <c r="E1584" s="1">
        <v>2172</v>
      </c>
      <c r="F1584" s="28">
        <v>7</v>
      </c>
      <c r="G1584" s="9">
        <v>4</v>
      </c>
      <c r="H1584" s="1">
        <v>9</v>
      </c>
      <c r="I1584" s="1">
        <v>2</v>
      </c>
      <c r="J1584" t="str">
        <f t="shared" si="24"/>
        <v>http://www.badatelna.eu/reprodukce/?fondId=1073&amp;zaznamId=1108958&amp;reproId=3779748</v>
      </c>
      <c r="K1584">
        <f>IF(LEN(TRIM(E1584))=0,"",VLOOKUP(E1584,Sheet2!$B$1:$E$19,2,FALSE))</f>
        <v>1073</v>
      </c>
      <c r="L1584">
        <f>IF(LEN(TRIM(E1584))=0,"",VLOOKUP(E1584,Sheet2!$B$1:$E$19,3,FALSE))</f>
        <v>1108958</v>
      </c>
      <c r="M1584">
        <f>IF(LEN(TRIM(E1584))=0,"",VLOOKUP(E1584,Sheet2!$B$1:$E$19,4,FALSE))+(F1584-1)</f>
        <v>3779748</v>
      </c>
    </row>
    <row r="1585" spans="1:17" s="1" customFormat="1" ht="15" customHeight="1" x14ac:dyDescent="0.25">
      <c r="A1585" s="28" t="s">
        <v>419</v>
      </c>
      <c r="B1585" s="28" t="s">
        <v>22</v>
      </c>
      <c r="C1585" s="6" t="s">
        <v>2679</v>
      </c>
      <c r="D1585" s="1" t="s">
        <v>454</v>
      </c>
      <c r="E1585" s="1">
        <v>2173</v>
      </c>
      <c r="F1585" s="28">
        <v>223</v>
      </c>
      <c r="G1585" s="9">
        <v>51</v>
      </c>
      <c r="H1585" s="1" t="s">
        <v>3073</v>
      </c>
      <c r="I1585" s="1" t="s">
        <v>3073</v>
      </c>
      <c r="J1585" t="str">
        <f t="shared" si="24"/>
        <v>http://www.badatelna.eu/reprodukce/?fondId=1073&amp;zaznamId=1108959&amp;reproId=3780216</v>
      </c>
      <c r="K1585">
        <f>IF(LEN(TRIM(E1585))=0,"",VLOOKUP(E1585,Sheet2!$B$1:$E$19,2,FALSE))</f>
        <v>1073</v>
      </c>
      <c r="L1585">
        <f>IF(LEN(TRIM(E1585))=0,"",VLOOKUP(E1585,Sheet2!$B$1:$E$19,3,FALSE))</f>
        <v>1108959</v>
      </c>
      <c r="M1585">
        <f>IF(LEN(TRIM(E1585))=0,"",VLOOKUP(E1585,Sheet2!$B$1:$E$19,4,FALSE))+(F1585-1)</f>
        <v>3780216</v>
      </c>
      <c r="N1585"/>
      <c r="O1585"/>
      <c r="P1585"/>
      <c r="Q1585"/>
    </row>
    <row r="1586" spans="1:17" s="1" customFormat="1" ht="15" customHeight="1" x14ac:dyDescent="0.25">
      <c r="A1586" s="28" t="s">
        <v>321</v>
      </c>
      <c r="B1586" s="28" t="s">
        <v>322</v>
      </c>
      <c r="C1586" s="6" t="s">
        <v>2116</v>
      </c>
      <c r="D1586" s="1" t="s">
        <v>454</v>
      </c>
      <c r="E1586" s="1">
        <v>2173</v>
      </c>
      <c r="F1586" s="28">
        <v>181</v>
      </c>
      <c r="G1586" s="9">
        <v>9</v>
      </c>
      <c r="H1586" s="1">
        <v>190</v>
      </c>
      <c r="I1586" s="1">
        <v>422</v>
      </c>
      <c r="J1586" t="str">
        <f t="shared" si="24"/>
        <v>http://www.badatelna.eu/reprodukce/?fondId=1073&amp;zaznamId=1108959&amp;reproId=3780174</v>
      </c>
      <c r="K1586">
        <f>IF(LEN(TRIM(E1586))=0,"",VLOOKUP(E1586,Sheet2!$B$1:$E$19,2,FALSE))</f>
        <v>1073</v>
      </c>
      <c r="L1586">
        <f>IF(LEN(TRIM(E1586))=0,"",VLOOKUP(E1586,Sheet2!$B$1:$E$19,3,FALSE))</f>
        <v>1108959</v>
      </c>
      <c r="M1586">
        <f>IF(LEN(TRIM(E1586))=0,"",VLOOKUP(E1586,Sheet2!$B$1:$E$19,4,FALSE))+(F1586-1)</f>
        <v>3780174</v>
      </c>
    </row>
    <row r="1587" spans="1:17" s="1" customFormat="1" ht="15" customHeight="1" x14ac:dyDescent="0.25">
      <c r="A1587" s="28" t="s">
        <v>319</v>
      </c>
      <c r="B1587" s="28" t="s">
        <v>320</v>
      </c>
      <c r="C1587" s="6" t="s">
        <v>2117</v>
      </c>
      <c r="D1587" s="1" t="s">
        <v>454</v>
      </c>
      <c r="E1587" s="1">
        <v>2173</v>
      </c>
      <c r="F1587" s="28">
        <v>181</v>
      </c>
      <c r="G1587" s="9">
        <v>9</v>
      </c>
      <c r="H1587" s="1">
        <v>190</v>
      </c>
      <c r="I1587" s="1">
        <v>422</v>
      </c>
      <c r="J1587" t="str">
        <f t="shared" si="24"/>
        <v>http://www.badatelna.eu/reprodukce/?fondId=1073&amp;zaznamId=1108959&amp;reproId=3780174</v>
      </c>
      <c r="K1587">
        <f>IF(LEN(TRIM(E1587))=0,"",VLOOKUP(E1587,Sheet2!$B$1:$E$19,2,FALSE))</f>
        <v>1073</v>
      </c>
      <c r="L1587">
        <f>IF(LEN(TRIM(E1587))=0,"",VLOOKUP(E1587,Sheet2!$B$1:$E$19,3,FALSE))</f>
        <v>1108959</v>
      </c>
      <c r="M1587">
        <f>IF(LEN(TRIM(E1587))=0,"",VLOOKUP(E1587,Sheet2!$B$1:$E$19,4,FALSE))+(F1587-1)</f>
        <v>3780174</v>
      </c>
    </row>
    <row r="1588" spans="1:17" s="1" customFormat="1" ht="15" customHeight="1" x14ac:dyDescent="0.25">
      <c r="A1588" s="28" t="s">
        <v>323</v>
      </c>
      <c r="B1588" s="28" t="s">
        <v>39</v>
      </c>
      <c r="C1588" s="6" t="s">
        <v>2118</v>
      </c>
      <c r="D1588" s="1" t="s">
        <v>454</v>
      </c>
      <c r="E1588" s="1">
        <v>2173</v>
      </c>
      <c r="F1588" s="28">
        <v>182</v>
      </c>
      <c r="G1588" s="9">
        <v>10</v>
      </c>
      <c r="H1588" s="1">
        <v>190</v>
      </c>
      <c r="I1588" s="1">
        <v>422</v>
      </c>
      <c r="J1588" t="str">
        <f t="shared" si="24"/>
        <v>http://www.badatelna.eu/reprodukce/?fondId=1073&amp;zaznamId=1108959&amp;reproId=3780175</v>
      </c>
      <c r="K1588">
        <f>IF(LEN(TRIM(E1588))=0,"",VLOOKUP(E1588,Sheet2!$B$1:$E$19,2,FALSE))</f>
        <v>1073</v>
      </c>
      <c r="L1588">
        <f>IF(LEN(TRIM(E1588))=0,"",VLOOKUP(E1588,Sheet2!$B$1:$E$19,3,FALSE))</f>
        <v>1108959</v>
      </c>
      <c r="M1588">
        <f>IF(LEN(TRIM(E1588))=0,"",VLOOKUP(E1588,Sheet2!$B$1:$E$19,4,FALSE))+(F1588-1)</f>
        <v>3780175</v>
      </c>
    </row>
    <row r="1589" spans="1:17" s="1" customFormat="1" ht="15" customHeight="1" x14ac:dyDescent="0.25">
      <c r="A1589" s="29" t="s">
        <v>2784</v>
      </c>
      <c r="B1589" s="28" t="s">
        <v>685</v>
      </c>
      <c r="C1589" s="6" t="s">
        <v>1955</v>
      </c>
      <c r="D1589" s="1" t="s">
        <v>454</v>
      </c>
      <c r="E1589" s="1">
        <v>2172</v>
      </c>
      <c r="F1589" s="28">
        <v>231</v>
      </c>
      <c r="G1589" s="9">
        <v>211</v>
      </c>
      <c r="H1589" s="1" t="s">
        <v>3073</v>
      </c>
      <c r="I1589" s="1" t="s">
        <v>3073</v>
      </c>
      <c r="J1589" t="str">
        <f t="shared" si="24"/>
        <v>http://www.badatelna.eu/reprodukce/?fondId=1073&amp;zaznamId=1108958&amp;reproId=3779972</v>
      </c>
      <c r="K1589">
        <f>IF(LEN(TRIM(E1589))=0,"",VLOOKUP(E1589,Sheet2!$B$1:$E$19,2,FALSE))</f>
        <v>1073</v>
      </c>
      <c r="L1589">
        <f>IF(LEN(TRIM(E1589))=0,"",VLOOKUP(E1589,Sheet2!$B$1:$E$19,3,FALSE))</f>
        <v>1108958</v>
      </c>
      <c r="M1589">
        <f>IF(LEN(TRIM(E1589))=0,"",VLOOKUP(E1589,Sheet2!$B$1:$E$19,4,FALSE))+(F1589-1)</f>
        <v>3779972</v>
      </c>
    </row>
    <row r="1590" spans="1:17" s="1" customFormat="1" ht="15" customHeight="1" x14ac:dyDescent="0.25">
      <c r="A1590" s="28" t="s">
        <v>324</v>
      </c>
      <c r="B1590" s="28" t="s">
        <v>91</v>
      </c>
      <c r="C1590" s="6" t="s">
        <v>2119</v>
      </c>
      <c r="D1590" s="1" t="s">
        <v>454</v>
      </c>
      <c r="E1590" s="1">
        <v>2173</v>
      </c>
      <c r="F1590" s="28">
        <v>183</v>
      </c>
      <c r="G1590" s="9">
        <v>12</v>
      </c>
      <c r="H1590" s="1">
        <v>190</v>
      </c>
      <c r="I1590" s="1">
        <v>422</v>
      </c>
      <c r="J1590" t="str">
        <f t="shared" si="24"/>
        <v>http://www.badatelna.eu/reprodukce/?fondId=1073&amp;zaznamId=1108959&amp;reproId=3780176</v>
      </c>
      <c r="K1590">
        <f>IF(LEN(TRIM(E1590))=0,"",VLOOKUP(E1590,Sheet2!$B$1:$E$19,2,FALSE))</f>
        <v>1073</v>
      </c>
      <c r="L1590">
        <f>IF(LEN(TRIM(E1590))=0,"",VLOOKUP(E1590,Sheet2!$B$1:$E$19,3,FALSE))</f>
        <v>1108959</v>
      </c>
      <c r="M1590">
        <f>IF(LEN(TRIM(E1590))=0,"",VLOOKUP(E1590,Sheet2!$B$1:$E$19,4,FALSE))+(F1590-1)</f>
        <v>3780176</v>
      </c>
    </row>
    <row r="1591" spans="1:17" s="1" customFormat="1" ht="15" customHeight="1" x14ac:dyDescent="0.25">
      <c r="A1591" s="29" t="s">
        <v>2833</v>
      </c>
      <c r="B1591" s="28" t="s">
        <v>49</v>
      </c>
      <c r="C1591" s="6" t="s">
        <v>2564</v>
      </c>
      <c r="D1591" s="1" t="s">
        <v>454</v>
      </c>
      <c r="E1591" s="1">
        <v>2173</v>
      </c>
      <c r="F1591" s="28">
        <v>208</v>
      </c>
      <c r="G1591" s="1">
        <v>26</v>
      </c>
      <c r="H1591" s="1" t="s">
        <v>3073</v>
      </c>
      <c r="I1591" s="1" t="s">
        <v>3073</v>
      </c>
      <c r="J1591" t="str">
        <f t="shared" si="24"/>
        <v>http://www.badatelna.eu/reprodukce/?fondId=1073&amp;zaznamId=1108959&amp;reproId=3780201</v>
      </c>
      <c r="K1591">
        <f>IF(LEN(TRIM(E1591))=0,"",VLOOKUP(E1591,Sheet2!$B$1:$E$19,2,FALSE))</f>
        <v>1073</v>
      </c>
      <c r="L1591">
        <f>IF(LEN(TRIM(E1591))=0,"",VLOOKUP(E1591,Sheet2!$B$1:$E$19,3,FALSE))</f>
        <v>1108959</v>
      </c>
      <c r="M1591">
        <f>IF(LEN(TRIM(E1591))=0,"",VLOOKUP(E1591,Sheet2!$B$1:$E$19,4,FALSE))+(F1591-1)</f>
        <v>3780201</v>
      </c>
    </row>
    <row r="1592" spans="1:17" s="1" customFormat="1" ht="15" customHeight="1" x14ac:dyDescent="0.25">
      <c r="A1592" s="29" t="s">
        <v>2833</v>
      </c>
      <c r="B1592" s="28" t="s">
        <v>213</v>
      </c>
      <c r="C1592" s="6" t="s">
        <v>2563</v>
      </c>
      <c r="D1592" s="1" t="s">
        <v>454</v>
      </c>
      <c r="E1592" s="1">
        <v>2173</v>
      </c>
      <c r="F1592" s="28">
        <v>208</v>
      </c>
      <c r="G1592" s="1">
        <v>26</v>
      </c>
      <c r="H1592" s="1" t="s">
        <v>3073</v>
      </c>
      <c r="I1592" s="1" t="s">
        <v>3073</v>
      </c>
      <c r="J1592" t="str">
        <f t="shared" si="24"/>
        <v>http://www.badatelna.eu/reprodukce/?fondId=1073&amp;zaznamId=1108959&amp;reproId=3780201</v>
      </c>
      <c r="K1592">
        <f>IF(LEN(TRIM(E1592))=0,"",VLOOKUP(E1592,Sheet2!$B$1:$E$19,2,FALSE))</f>
        <v>1073</v>
      </c>
      <c r="L1592">
        <f>IF(LEN(TRIM(E1592))=0,"",VLOOKUP(E1592,Sheet2!$B$1:$E$19,3,FALSE))</f>
        <v>1108959</v>
      </c>
      <c r="M1592">
        <f>IF(LEN(TRIM(E1592))=0,"",VLOOKUP(E1592,Sheet2!$B$1:$E$19,4,FALSE))+(F1592-1)</f>
        <v>3780201</v>
      </c>
    </row>
    <row r="1593" spans="1:17" s="1" customFormat="1" ht="15" customHeight="1" x14ac:dyDescent="0.25">
      <c r="A1593" s="28" t="s">
        <v>36</v>
      </c>
      <c r="B1593" s="28" t="s">
        <v>35</v>
      </c>
      <c r="C1593" s="6" t="s">
        <v>2237</v>
      </c>
      <c r="D1593" s="1" t="s">
        <v>454</v>
      </c>
      <c r="E1593" s="1">
        <v>2173</v>
      </c>
      <c r="F1593" s="28">
        <v>196</v>
      </c>
      <c r="G1593" s="9">
        <v>2</v>
      </c>
      <c r="H1593" s="1" t="s">
        <v>3073</v>
      </c>
      <c r="I1593" s="1" t="s">
        <v>3073</v>
      </c>
      <c r="J1593" t="str">
        <f t="shared" si="24"/>
        <v>http://www.badatelna.eu/reprodukce/?fondId=1073&amp;zaznamId=1108959&amp;reproId=3780189</v>
      </c>
      <c r="K1593">
        <f>IF(LEN(TRIM(E1593))=0,"",VLOOKUP(E1593,Sheet2!$B$1:$E$19,2,FALSE))</f>
        <v>1073</v>
      </c>
      <c r="L1593">
        <f>IF(LEN(TRIM(E1593))=0,"",VLOOKUP(E1593,Sheet2!$B$1:$E$19,3,FALSE))</f>
        <v>1108959</v>
      </c>
      <c r="M1593">
        <f>IF(LEN(TRIM(E1593))=0,"",VLOOKUP(E1593,Sheet2!$B$1:$E$19,4,FALSE))+(F1593-1)</f>
        <v>3780189</v>
      </c>
    </row>
    <row r="1594" spans="1:17" s="1" customFormat="1" ht="15" customHeight="1" x14ac:dyDescent="0.25">
      <c r="A1594" s="28" t="s">
        <v>11</v>
      </c>
      <c r="B1594" s="29" t="s">
        <v>2750</v>
      </c>
      <c r="C1594" s="6" t="s">
        <v>2238</v>
      </c>
      <c r="D1594" s="1" t="s">
        <v>454</v>
      </c>
      <c r="E1594" s="1">
        <v>2173</v>
      </c>
      <c r="F1594" s="28">
        <v>196</v>
      </c>
      <c r="G1594" s="9">
        <v>1</v>
      </c>
      <c r="H1594" s="1" t="s">
        <v>3073</v>
      </c>
      <c r="I1594" s="1" t="s">
        <v>3073</v>
      </c>
      <c r="J1594" t="str">
        <f t="shared" si="24"/>
        <v>http://www.badatelna.eu/reprodukce/?fondId=1073&amp;zaznamId=1108959&amp;reproId=3780189</v>
      </c>
      <c r="K1594">
        <f>IF(LEN(TRIM(E1594))=0,"",VLOOKUP(E1594,Sheet2!$B$1:$E$19,2,FALSE))</f>
        <v>1073</v>
      </c>
      <c r="L1594">
        <f>IF(LEN(TRIM(E1594))=0,"",VLOOKUP(E1594,Sheet2!$B$1:$E$19,3,FALSE))</f>
        <v>1108959</v>
      </c>
      <c r="M1594">
        <f>IF(LEN(TRIM(E1594))=0,"",VLOOKUP(E1594,Sheet2!$B$1:$E$19,4,FALSE))+(F1594-1)</f>
        <v>3780189</v>
      </c>
      <c r="N1594"/>
      <c r="O1594"/>
      <c r="P1594"/>
      <c r="Q1594"/>
    </row>
    <row r="1595" spans="1:17" s="1" customFormat="1" ht="15" customHeight="1" x14ac:dyDescent="0.25">
      <c r="A1595" s="28" t="s">
        <v>570</v>
      </c>
      <c r="B1595" s="28" t="s">
        <v>571</v>
      </c>
      <c r="C1595" s="1">
        <v>1863</v>
      </c>
      <c r="D1595" s="1" t="s">
        <v>2919</v>
      </c>
      <c r="E1595" s="1">
        <v>999</v>
      </c>
      <c r="F1595" s="28">
        <v>84</v>
      </c>
      <c r="G1595" s="1">
        <v>5</v>
      </c>
      <c r="H1595" s="1">
        <v>104</v>
      </c>
      <c r="I1595" s="1">
        <v>163</v>
      </c>
      <c r="J1595" t="str">
        <f t="shared" si="24"/>
        <v>http://www.badatelna.eu/reprodukce/?fondId=241&amp;zaznamId=1133739&amp;reproId=3885813</v>
      </c>
      <c r="K1595">
        <f>IF(LEN(TRIM(E1595))=0,"",VLOOKUP(E1595,Sheet2!$B$1:$E$19,2,FALSE))</f>
        <v>241</v>
      </c>
      <c r="L1595">
        <f>IF(LEN(TRIM(E1595))=0,"",VLOOKUP(E1595,Sheet2!$B$1:$E$19,3,FALSE))</f>
        <v>1133739</v>
      </c>
      <c r="M1595">
        <f>IF(LEN(TRIM(E1595))=0,"",VLOOKUP(E1595,Sheet2!$B$1:$E$19,4,FALSE))+(F1595-1)</f>
        <v>3885813</v>
      </c>
    </row>
    <row r="1596" spans="1:17" s="1" customFormat="1" ht="15" customHeight="1" x14ac:dyDescent="0.25">
      <c r="A1596" s="27" t="s">
        <v>570</v>
      </c>
      <c r="B1596" s="27" t="s">
        <v>571</v>
      </c>
      <c r="C1596" s="5" t="s">
        <v>1250</v>
      </c>
      <c r="D1596" s="3" t="s">
        <v>454</v>
      </c>
      <c r="E1596" s="3">
        <v>2170</v>
      </c>
      <c r="F1596" s="28">
        <v>9</v>
      </c>
      <c r="G1596" s="10">
        <v>5</v>
      </c>
      <c r="H1596" s="3">
        <v>65</v>
      </c>
      <c r="I1596" s="3">
        <v>61</v>
      </c>
      <c r="J1596" t="str">
        <f t="shared" si="24"/>
        <v>http://www.badatelna.eu/reprodukce/?fondId=1073&amp;zaznamId=1108956&amp;reproId=3779601</v>
      </c>
      <c r="K1596">
        <f>IF(LEN(TRIM(E1596))=0,"",VLOOKUP(E1596,Sheet2!$B$1:$E$19,2,FALSE))</f>
        <v>1073</v>
      </c>
      <c r="L1596">
        <f>IF(LEN(TRIM(E1596))=0,"",VLOOKUP(E1596,Sheet2!$B$1:$E$19,3,FALSE))</f>
        <v>1108956</v>
      </c>
      <c r="M1596">
        <f>IF(LEN(TRIM(E1596))=0,"",VLOOKUP(E1596,Sheet2!$B$1:$E$19,4,FALSE))+(F1596-1)</f>
        <v>3779601</v>
      </c>
      <c r="N1596"/>
      <c r="O1596"/>
      <c r="P1596"/>
      <c r="Q1596"/>
    </row>
    <row r="1597" spans="1:17" s="1" customFormat="1" ht="15" customHeight="1" x14ac:dyDescent="0.25">
      <c r="A1597" s="27" t="s">
        <v>572</v>
      </c>
      <c r="B1597" s="27" t="s">
        <v>1</v>
      </c>
      <c r="C1597" s="5" t="s">
        <v>1251</v>
      </c>
      <c r="D1597" s="3" t="s">
        <v>454</v>
      </c>
      <c r="E1597" s="3">
        <v>2170</v>
      </c>
      <c r="F1597" s="28">
        <v>52</v>
      </c>
      <c r="G1597" s="10">
        <v>48</v>
      </c>
      <c r="H1597" s="3">
        <v>65</v>
      </c>
      <c r="I1597" s="3">
        <v>61</v>
      </c>
      <c r="J1597" t="str">
        <f t="shared" si="24"/>
        <v>http://www.badatelna.eu/reprodukce/?fondId=1073&amp;zaznamId=1108956&amp;reproId=3779644</v>
      </c>
      <c r="K1597">
        <f>IF(LEN(TRIM(E1597))=0,"",VLOOKUP(E1597,Sheet2!$B$1:$E$19,2,FALSE))</f>
        <v>1073</v>
      </c>
      <c r="L1597">
        <f>IF(LEN(TRIM(E1597))=0,"",VLOOKUP(E1597,Sheet2!$B$1:$E$19,3,FALSE))</f>
        <v>1108956</v>
      </c>
      <c r="M1597">
        <f>IF(LEN(TRIM(E1597))=0,"",VLOOKUP(E1597,Sheet2!$B$1:$E$19,4,FALSE))+(F1597-1)</f>
        <v>3779644</v>
      </c>
      <c r="N1597"/>
      <c r="O1597"/>
      <c r="P1597"/>
      <c r="Q1597"/>
    </row>
    <row r="1598" spans="1:17" s="1" customFormat="1" ht="15" customHeight="1" x14ac:dyDescent="0.25">
      <c r="A1598" s="28" t="s">
        <v>329</v>
      </c>
      <c r="B1598" s="28" t="s">
        <v>247</v>
      </c>
      <c r="C1598" s="6" t="s">
        <v>2120</v>
      </c>
      <c r="D1598" s="1" t="s">
        <v>454</v>
      </c>
      <c r="E1598" s="1">
        <v>2173</v>
      </c>
      <c r="F1598" s="28">
        <v>181</v>
      </c>
      <c r="G1598" s="9">
        <v>8</v>
      </c>
      <c r="H1598" s="1">
        <v>190</v>
      </c>
      <c r="I1598" s="1">
        <v>423</v>
      </c>
      <c r="J1598" t="str">
        <f t="shared" si="24"/>
        <v>http://www.badatelna.eu/reprodukce/?fondId=1073&amp;zaznamId=1108959&amp;reproId=3780174</v>
      </c>
      <c r="K1598">
        <f>IF(LEN(TRIM(E1598))=0,"",VLOOKUP(E1598,Sheet2!$B$1:$E$19,2,FALSE))</f>
        <v>1073</v>
      </c>
      <c r="L1598">
        <f>IF(LEN(TRIM(E1598))=0,"",VLOOKUP(E1598,Sheet2!$B$1:$E$19,3,FALSE))</f>
        <v>1108959</v>
      </c>
      <c r="M1598">
        <f>IF(LEN(TRIM(E1598))=0,"",VLOOKUP(E1598,Sheet2!$B$1:$E$19,4,FALSE))+(F1598-1)</f>
        <v>3780174</v>
      </c>
    </row>
    <row r="1599" spans="1:17" s="1" customFormat="1" ht="15" customHeight="1" x14ac:dyDescent="0.25">
      <c r="A1599" s="28" t="s">
        <v>327</v>
      </c>
      <c r="B1599" s="28" t="s">
        <v>328</v>
      </c>
      <c r="C1599" s="6" t="s">
        <v>2121</v>
      </c>
      <c r="D1599" s="1" t="s">
        <v>454</v>
      </c>
      <c r="E1599" s="1">
        <v>2173</v>
      </c>
      <c r="F1599" s="28">
        <v>179</v>
      </c>
      <c r="G1599" s="9">
        <v>5</v>
      </c>
      <c r="H1599" s="1">
        <v>190</v>
      </c>
      <c r="I1599" s="1">
        <v>423</v>
      </c>
      <c r="J1599" t="str">
        <f t="shared" si="24"/>
        <v>http://www.badatelna.eu/reprodukce/?fondId=1073&amp;zaznamId=1108959&amp;reproId=3780172</v>
      </c>
      <c r="K1599">
        <f>IF(LEN(TRIM(E1599))=0,"",VLOOKUP(E1599,Sheet2!$B$1:$E$19,2,FALSE))</f>
        <v>1073</v>
      </c>
      <c r="L1599">
        <f>IF(LEN(TRIM(E1599))=0,"",VLOOKUP(E1599,Sheet2!$B$1:$E$19,3,FALSE))</f>
        <v>1108959</v>
      </c>
      <c r="M1599">
        <f>IF(LEN(TRIM(E1599))=0,"",VLOOKUP(E1599,Sheet2!$B$1:$E$19,4,FALSE))+(F1599-1)</f>
        <v>3780172</v>
      </c>
      <c r="N1599"/>
      <c r="O1599"/>
      <c r="P1599"/>
      <c r="Q1599"/>
    </row>
    <row r="1600" spans="1:17" s="1" customFormat="1" ht="15" customHeight="1" x14ac:dyDescent="0.25">
      <c r="A1600" s="27" t="s">
        <v>573</v>
      </c>
      <c r="B1600" s="27" t="s">
        <v>574</v>
      </c>
      <c r="C1600" s="5" t="s">
        <v>1252</v>
      </c>
      <c r="D1600" s="3" t="s">
        <v>454</v>
      </c>
      <c r="E1600" s="3">
        <v>2170</v>
      </c>
      <c r="F1600" s="28">
        <v>53</v>
      </c>
      <c r="G1600" s="10">
        <v>49</v>
      </c>
      <c r="H1600" s="3">
        <v>66</v>
      </c>
      <c r="I1600" s="3">
        <v>62</v>
      </c>
      <c r="J1600" t="str">
        <f t="shared" si="24"/>
        <v>http://www.badatelna.eu/reprodukce/?fondId=1073&amp;zaznamId=1108956&amp;reproId=3779645</v>
      </c>
      <c r="K1600">
        <f>IF(LEN(TRIM(E1600))=0,"",VLOOKUP(E1600,Sheet2!$B$1:$E$19,2,FALSE))</f>
        <v>1073</v>
      </c>
      <c r="L1600">
        <f>IF(LEN(TRIM(E1600))=0,"",VLOOKUP(E1600,Sheet2!$B$1:$E$19,3,FALSE))</f>
        <v>1108956</v>
      </c>
      <c r="M1600">
        <f>IF(LEN(TRIM(E1600))=0,"",VLOOKUP(E1600,Sheet2!$B$1:$E$19,4,FALSE))+(F1600-1)</f>
        <v>3779645</v>
      </c>
      <c r="N1600"/>
      <c r="O1600"/>
      <c r="P1600"/>
      <c r="Q1600"/>
    </row>
    <row r="1601" spans="1:17" s="1" customFormat="1" ht="15" customHeight="1" x14ac:dyDescent="0.25">
      <c r="A1601" s="28" t="s">
        <v>573</v>
      </c>
      <c r="B1601" s="28" t="s">
        <v>953</v>
      </c>
      <c r="C1601" s="15">
        <v>10206</v>
      </c>
      <c r="D1601" s="1" t="s">
        <v>454</v>
      </c>
      <c r="E1601" s="1">
        <v>2172</v>
      </c>
      <c r="F1601" s="28">
        <v>211</v>
      </c>
      <c r="G1601" s="9">
        <v>195</v>
      </c>
      <c r="H1601" s="1" t="s">
        <v>3073</v>
      </c>
      <c r="I1601" s="1" t="s">
        <v>3073</v>
      </c>
      <c r="J1601" t="str">
        <f t="shared" si="24"/>
        <v>http://www.badatelna.eu/reprodukce/?fondId=1073&amp;zaznamId=1108958&amp;reproId=3779952</v>
      </c>
      <c r="K1601">
        <f>IF(LEN(TRIM(E1601))=0,"",VLOOKUP(E1601,Sheet2!$B$1:$E$19,2,FALSE))</f>
        <v>1073</v>
      </c>
      <c r="L1601">
        <f>IF(LEN(TRIM(E1601))=0,"",VLOOKUP(E1601,Sheet2!$B$1:$E$19,3,FALSE))</f>
        <v>1108958</v>
      </c>
      <c r="M1601">
        <f>IF(LEN(TRIM(E1601))=0,"",VLOOKUP(E1601,Sheet2!$B$1:$E$19,4,FALSE))+(F1601-1)</f>
        <v>3779952</v>
      </c>
    </row>
    <row r="1602" spans="1:17" s="1" customFormat="1" ht="15" customHeight="1" x14ac:dyDescent="0.25">
      <c r="A1602" s="28" t="s">
        <v>95</v>
      </c>
      <c r="B1602" s="28" t="s">
        <v>954</v>
      </c>
      <c r="C1602" s="6" t="s">
        <v>1860</v>
      </c>
      <c r="D1602" s="1" t="s">
        <v>454</v>
      </c>
      <c r="E1602" s="1">
        <v>2172</v>
      </c>
      <c r="F1602" s="28">
        <v>185</v>
      </c>
      <c r="G1602" s="9">
        <v>176</v>
      </c>
      <c r="H1602" s="1" t="s">
        <v>3073</v>
      </c>
      <c r="I1602" s="1" t="s">
        <v>3073</v>
      </c>
      <c r="J1602" t="str">
        <f t="shared" si="24"/>
        <v>http://www.badatelna.eu/reprodukce/?fondId=1073&amp;zaznamId=1108958&amp;reproId=3779926</v>
      </c>
      <c r="K1602">
        <f>IF(LEN(TRIM(E1602))=0,"",VLOOKUP(E1602,Sheet2!$B$1:$E$19,2,FALSE))</f>
        <v>1073</v>
      </c>
      <c r="L1602">
        <f>IF(LEN(TRIM(E1602))=0,"",VLOOKUP(E1602,Sheet2!$B$1:$E$19,3,FALSE))</f>
        <v>1108958</v>
      </c>
      <c r="M1602">
        <f>IF(LEN(TRIM(E1602))=0,"",VLOOKUP(E1602,Sheet2!$B$1:$E$19,4,FALSE))+(F1602-1)</f>
        <v>3779926</v>
      </c>
      <c r="N1602"/>
      <c r="O1602"/>
      <c r="P1602"/>
      <c r="Q1602"/>
    </row>
    <row r="1603" spans="1:17" s="1" customFormat="1" ht="15" customHeight="1" x14ac:dyDescent="0.25">
      <c r="A1603" s="28" t="s">
        <v>95</v>
      </c>
      <c r="B1603" s="28" t="s">
        <v>165</v>
      </c>
      <c r="C1603" s="6" t="s">
        <v>2643</v>
      </c>
      <c r="D1603" s="1" t="s">
        <v>454</v>
      </c>
      <c r="E1603" s="1">
        <v>2173</v>
      </c>
      <c r="F1603" s="28">
        <v>221</v>
      </c>
      <c r="G1603" s="9">
        <v>49</v>
      </c>
      <c r="H1603" s="1" t="s">
        <v>3073</v>
      </c>
      <c r="I1603" s="1" t="s">
        <v>3073</v>
      </c>
      <c r="J1603" t="str">
        <f t="shared" ref="J1603:J1666" si="25">IF(LEN(TRIM(E1603))=0,"","http://www.badatelna.eu/reprodukce/?fondId="&amp;K1603&amp;"&amp;zaznamId="&amp;L1603&amp;"&amp;reproId="&amp;M1603)</f>
        <v>http://www.badatelna.eu/reprodukce/?fondId=1073&amp;zaznamId=1108959&amp;reproId=3780214</v>
      </c>
      <c r="K1603">
        <f>IF(LEN(TRIM(E1603))=0,"",VLOOKUP(E1603,Sheet2!$B$1:$E$19,2,FALSE))</f>
        <v>1073</v>
      </c>
      <c r="L1603">
        <f>IF(LEN(TRIM(E1603))=0,"",VLOOKUP(E1603,Sheet2!$B$1:$E$19,3,FALSE))</f>
        <v>1108959</v>
      </c>
      <c r="M1603">
        <f>IF(LEN(TRIM(E1603))=0,"",VLOOKUP(E1603,Sheet2!$B$1:$E$19,4,FALSE))+(F1603-1)</f>
        <v>3780214</v>
      </c>
      <c r="N1603"/>
      <c r="O1603"/>
      <c r="P1603"/>
      <c r="Q1603"/>
    </row>
    <row r="1604" spans="1:17" s="1" customFormat="1" ht="15" customHeight="1" x14ac:dyDescent="0.25">
      <c r="A1604" s="27" t="s">
        <v>95</v>
      </c>
      <c r="B1604" s="27" t="s">
        <v>3079</v>
      </c>
      <c r="C1604" s="5" t="s">
        <v>1493</v>
      </c>
      <c r="D1604" s="3" t="s">
        <v>454</v>
      </c>
      <c r="E1604" s="3">
        <v>2171</v>
      </c>
      <c r="F1604" s="28">
        <v>68</v>
      </c>
      <c r="G1604" s="10">
        <v>51</v>
      </c>
      <c r="H1604" s="3">
        <v>68</v>
      </c>
      <c r="I1604" s="3">
        <v>51</v>
      </c>
      <c r="J1604" t="str">
        <f t="shared" si="25"/>
        <v>http://www.badatelna.eu/reprodukce/?fondId=1073&amp;zaznamId=1108957&amp;reproId=3779735</v>
      </c>
      <c r="K1604">
        <f>IF(LEN(TRIM(E1604))=0,"",VLOOKUP(E1604,Sheet2!$B$1:$E$19,2,FALSE))</f>
        <v>1073</v>
      </c>
      <c r="L1604">
        <f>IF(LEN(TRIM(E1604))=0,"",VLOOKUP(E1604,Sheet2!$B$1:$E$19,3,FALSE))</f>
        <v>1108957</v>
      </c>
      <c r="M1604">
        <f>IF(LEN(TRIM(E1604))=0,"",VLOOKUP(E1604,Sheet2!$B$1:$E$19,4,FALSE))+(F1604-1)</f>
        <v>3779735</v>
      </c>
    </row>
    <row r="1605" spans="1:17" s="1" customFormat="1" ht="15" customHeight="1" x14ac:dyDescent="0.25">
      <c r="A1605" s="27" t="s">
        <v>95</v>
      </c>
      <c r="B1605" s="27" t="s">
        <v>290</v>
      </c>
      <c r="C1605" s="5" t="s">
        <v>1255</v>
      </c>
      <c r="D1605" s="3" t="s">
        <v>454</v>
      </c>
      <c r="E1605" s="3">
        <v>2170</v>
      </c>
      <c r="F1605" s="28">
        <v>56</v>
      </c>
      <c r="G1605" s="10">
        <v>52</v>
      </c>
      <c r="H1605" s="3">
        <v>66</v>
      </c>
      <c r="I1605" s="3">
        <v>62</v>
      </c>
      <c r="J1605" t="str">
        <f t="shared" si="25"/>
        <v>http://www.badatelna.eu/reprodukce/?fondId=1073&amp;zaznamId=1108956&amp;reproId=3779648</v>
      </c>
      <c r="K1605">
        <f>IF(LEN(TRIM(E1605))=0,"",VLOOKUP(E1605,Sheet2!$B$1:$E$19,2,FALSE))</f>
        <v>1073</v>
      </c>
      <c r="L1605">
        <f>IF(LEN(TRIM(E1605))=0,"",VLOOKUP(E1605,Sheet2!$B$1:$E$19,3,FALSE))</f>
        <v>1108956</v>
      </c>
      <c r="M1605">
        <f>IF(LEN(TRIM(E1605))=0,"",VLOOKUP(E1605,Sheet2!$B$1:$E$19,4,FALSE))+(F1605-1)</f>
        <v>3779648</v>
      </c>
    </row>
    <row r="1606" spans="1:17" s="1" customFormat="1" ht="15" customHeight="1" x14ac:dyDescent="0.25">
      <c r="A1606" s="28" t="s">
        <v>95</v>
      </c>
      <c r="B1606" s="28" t="s">
        <v>574</v>
      </c>
      <c r="C1606" s="1">
        <v>1852</v>
      </c>
      <c r="D1606" s="1" t="s">
        <v>2919</v>
      </c>
      <c r="E1606" s="1">
        <v>998</v>
      </c>
      <c r="F1606" s="28">
        <v>35</v>
      </c>
      <c r="G1606" s="1">
        <v>33</v>
      </c>
      <c r="H1606" s="1">
        <v>74</v>
      </c>
      <c r="I1606" s="1">
        <v>71</v>
      </c>
      <c r="J1606" t="str">
        <f t="shared" si="25"/>
        <v>http://www.badatelna.eu/reprodukce/?fondId=241&amp;zaznamId=1133738&amp;reproId=3885681</v>
      </c>
      <c r="K1606">
        <f>IF(LEN(TRIM(E1606))=0,"",VLOOKUP(E1606,Sheet2!$B$1:$E$19,2,FALSE))</f>
        <v>241</v>
      </c>
      <c r="L1606">
        <f>IF(LEN(TRIM(E1606))=0,"",VLOOKUP(E1606,Sheet2!$B$1:$E$19,3,FALSE))</f>
        <v>1133738</v>
      </c>
      <c r="M1606">
        <f>IF(LEN(TRIM(E1606))=0,"",VLOOKUP(E1606,Sheet2!$B$1:$E$19,4,FALSE))+(F1606-1)</f>
        <v>3885681</v>
      </c>
      <c r="N1606"/>
      <c r="O1606"/>
      <c r="P1606"/>
      <c r="Q1606"/>
    </row>
    <row r="1607" spans="1:17" s="1" customFormat="1" ht="15" customHeight="1" x14ac:dyDescent="0.25">
      <c r="A1607" s="28" t="s">
        <v>95</v>
      </c>
      <c r="B1607" s="28" t="s">
        <v>29</v>
      </c>
      <c r="C1607" s="6" t="s">
        <v>2354</v>
      </c>
      <c r="D1607" s="1" t="s">
        <v>454</v>
      </c>
      <c r="E1607" s="1">
        <v>2173</v>
      </c>
      <c r="F1607" s="28">
        <v>200</v>
      </c>
      <c r="G1607" s="9">
        <v>9</v>
      </c>
      <c r="H1607" s="1" t="s">
        <v>3073</v>
      </c>
      <c r="I1607" s="1" t="s">
        <v>3073</v>
      </c>
      <c r="J1607" t="str">
        <f t="shared" si="25"/>
        <v>http://www.badatelna.eu/reprodukce/?fondId=1073&amp;zaznamId=1108959&amp;reproId=3780193</v>
      </c>
      <c r="K1607">
        <f>IF(LEN(TRIM(E1607))=0,"",VLOOKUP(E1607,Sheet2!$B$1:$E$19,2,FALSE))</f>
        <v>1073</v>
      </c>
      <c r="L1607">
        <f>IF(LEN(TRIM(E1607))=0,"",VLOOKUP(E1607,Sheet2!$B$1:$E$19,3,FALSE))</f>
        <v>1108959</v>
      </c>
      <c r="M1607">
        <f>IF(LEN(TRIM(E1607))=0,"",VLOOKUP(E1607,Sheet2!$B$1:$E$19,4,FALSE))+(F1607-1)</f>
        <v>3780193</v>
      </c>
      <c r="N1607"/>
      <c r="O1607"/>
      <c r="P1607"/>
      <c r="Q1607"/>
    </row>
    <row r="1608" spans="1:17" s="1" customFormat="1" ht="15" customHeight="1" x14ac:dyDescent="0.25">
      <c r="A1608" s="28" t="s">
        <v>95</v>
      </c>
      <c r="B1608" s="28" t="s">
        <v>373</v>
      </c>
      <c r="C1608" s="15">
        <v>7337</v>
      </c>
      <c r="D1608" s="1" t="s">
        <v>454</v>
      </c>
      <c r="E1608" s="1">
        <v>2172</v>
      </c>
      <c r="F1608" s="28">
        <v>199</v>
      </c>
      <c r="G1608" s="9">
        <v>187</v>
      </c>
      <c r="H1608" s="1" t="s">
        <v>3073</v>
      </c>
      <c r="I1608" s="1" t="s">
        <v>3073</v>
      </c>
      <c r="J1608" t="str">
        <f t="shared" si="25"/>
        <v>http://www.badatelna.eu/reprodukce/?fondId=1073&amp;zaznamId=1108958&amp;reproId=3779940</v>
      </c>
      <c r="K1608">
        <f>IF(LEN(TRIM(E1608))=0,"",VLOOKUP(E1608,Sheet2!$B$1:$E$19,2,FALSE))</f>
        <v>1073</v>
      </c>
      <c r="L1608">
        <f>IF(LEN(TRIM(E1608))=0,"",VLOOKUP(E1608,Sheet2!$B$1:$E$19,3,FALSE))</f>
        <v>1108958</v>
      </c>
      <c r="M1608">
        <f>IF(LEN(TRIM(E1608))=0,"",VLOOKUP(E1608,Sheet2!$B$1:$E$19,4,FALSE))+(F1608-1)</f>
        <v>3779940</v>
      </c>
      <c r="N1608"/>
      <c r="O1608"/>
      <c r="P1608"/>
      <c r="Q1608"/>
    </row>
    <row r="1609" spans="1:17" s="1" customFormat="1" ht="15" customHeight="1" x14ac:dyDescent="0.25">
      <c r="A1609" s="27" t="s">
        <v>95</v>
      </c>
      <c r="B1609" s="27" t="s">
        <v>575</v>
      </c>
      <c r="C1609" s="5" t="s">
        <v>1253</v>
      </c>
      <c r="D1609" s="3" t="s">
        <v>454</v>
      </c>
      <c r="E1609" s="3">
        <v>2170</v>
      </c>
      <c r="F1609" s="28">
        <v>39</v>
      </c>
      <c r="G1609" s="10">
        <v>35</v>
      </c>
      <c r="H1609" s="3">
        <v>66</v>
      </c>
      <c r="I1609" s="3">
        <v>62</v>
      </c>
      <c r="J1609" t="str">
        <f t="shared" si="25"/>
        <v>http://www.badatelna.eu/reprodukce/?fondId=1073&amp;zaznamId=1108956&amp;reproId=3779631</v>
      </c>
      <c r="K1609">
        <f>IF(LEN(TRIM(E1609))=0,"",VLOOKUP(E1609,Sheet2!$B$1:$E$19,2,FALSE))</f>
        <v>1073</v>
      </c>
      <c r="L1609">
        <f>IF(LEN(TRIM(E1609))=0,"",VLOOKUP(E1609,Sheet2!$B$1:$E$19,3,FALSE))</f>
        <v>1108956</v>
      </c>
      <c r="M1609">
        <f>IF(LEN(TRIM(E1609))=0,"",VLOOKUP(E1609,Sheet2!$B$1:$E$19,4,FALSE))+(F1609-1)</f>
        <v>3779631</v>
      </c>
      <c r="N1609"/>
      <c r="O1609"/>
      <c r="P1609"/>
      <c r="Q1609"/>
    </row>
    <row r="1610" spans="1:17" s="1" customFormat="1" ht="15" customHeight="1" x14ac:dyDescent="0.25">
      <c r="A1610" s="28" t="s">
        <v>95</v>
      </c>
      <c r="B1610" s="28" t="s">
        <v>332</v>
      </c>
      <c r="C1610" s="6" t="s">
        <v>2123</v>
      </c>
      <c r="D1610" s="1" t="s">
        <v>454</v>
      </c>
      <c r="E1610" s="1">
        <v>2173</v>
      </c>
      <c r="F1610" s="28">
        <v>181</v>
      </c>
      <c r="G1610" s="9">
        <v>9</v>
      </c>
      <c r="H1610" s="1">
        <v>190</v>
      </c>
      <c r="I1610" s="1">
        <v>423</v>
      </c>
      <c r="J1610" t="str">
        <f t="shared" si="25"/>
        <v>http://www.badatelna.eu/reprodukce/?fondId=1073&amp;zaznamId=1108959&amp;reproId=3780174</v>
      </c>
      <c r="K1610">
        <f>IF(LEN(TRIM(E1610))=0,"",VLOOKUP(E1610,Sheet2!$B$1:$E$19,2,FALSE))</f>
        <v>1073</v>
      </c>
      <c r="L1610">
        <f>IF(LEN(TRIM(E1610))=0,"",VLOOKUP(E1610,Sheet2!$B$1:$E$19,3,FALSE))</f>
        <v>1108959</v>
      </c>
      <c r="M1610">
        <f>IF(LEN(TRIM(E1610))=0,"",VLOOKUP(E1610,Sheet2!$B$1:$E$19,4,FALSE))+(F1610-1)</f>
        <v>3780174</v>
      </c>
      <c r="N1610"/>
      <c r="O1610"/>
      <c r="P1610"/>
      <c r="Q1610"/>
    </row>
    <row r="1611" spans="1:17" s="1" customFormat="1" ht="15" customHeight="1" x14ac:dyDescent="0.25">
      <c r="A1611" s="28" t="s">
        <v>95</v>
      </c>
      <c r="B1611" s="28" t="s">
        <v>847</v>
      </c>
      <c r="C1611" s="15">
        <v>8587</v>
      </c>
      <c r="D1611" s="1" t="s">
        <v>454</v>
      </c>
      <c r="E1611" s="1">
        <v>2172</v>
      </c>
      <c r="F1611" s="28">
        <v>204</v>
      </c>
      <c r="G1611" s="9">
        <v>190</v>
      </c>
      <c r="H1611" s="1" t="s">
        <v>3073</v>
      </c>
      <c r="I1611" s="1" t="s">
        <v>3073</v>
      </c>
      <c r="J1611" t="str">
        <f t="shared" si="25"/>
        <v>http://www.badatelna.eu/reprodukce/?fondId=1073&amp;zaznamId=1108958&amp;reproId=3779945</v>
      </c>
      <c r="K1611">
        <f>IF(LEN(TRIM(E1611))=0,"",VLOOKUP(E1611,Sheet2!$B$1:$E$19,2,FALSE))</f>
        <v>1073</v>
      </c>
      <c r="L1611">
        <f>IF(LEN(TRIM(E1611))=0,"",VLOOKUP(E1611,Sheet2!$B$1:$E$19,3,FALSE))</f>
        <v>1108958</v>
      </c>
      <c r="M1611">
        <f>IF(LEN(TRIM(E1611))=0,"",VLOOKUP(E1611,Sheet2!$B$1:$E$19,4,FALSE))+(F1611-1)</f>
        <v>3779945</v>
      </c>
    </row>
    <row r="1612" spans="1:17" s="1" customFormat="1" ht="15" customHeight="1" x14ac:dyDescent="0.25">
      <c r="A1612" s="28" t="s">
        <v>95</v>
      </c>
      <c r="B1612" s="28" t="s">
        <v>823</v>
      </c>
      <c r="C1612" s="6" t="s">
        <v>1904</v>
      </c>
      <c r="D1612" s="1" t="s">
        <v>454</v>
      </c>
      <c r="E1612" s="1">
        <v>2172</v>
      </c>
      <c r="F1612" s="28">
        <v>207</v>
      </c>
      <c r="G1612" s="9">
        <v>192</v>
      </c>
      <c r="H1612" s="1" t="s">
        <v>3073</v>
      </c>
      <c r="I1612" s="1" t="s">
        <v>3073</v>
      </c>
      <c r="J1612" t="str">
        <f t="shared" si="25"/>
        <v>http://www.badatelna.eu/reprodukce/?fondId=1073&amp;zaznamId=1108958&amp;reproId=3779948</v>
      </c>
      <c r="K1612">
        <f>IF(LEN(TRIM(E1612))=0,"",VLOOKUP(E1612,Sheet2!$B$1:$E$19,2,FALSE))</f>
        <v>1073</v>
      </c>
      <c r="L1612">
        <f>IF(LEN(TRIM(E1612))=0,"",VLOOKUP(E1612,Sheet2!$B$1:$E$19,3,FALSE))</f>
        <v>1108958</v>
      </c>
      <c r="M1612">
        <f>IF(LEN(TRIM(E1612))=0,"",VLOOKUP(E1612,Sheet2!$B$1:$E$19,4,FALSE))+(F1612-1)</f>
        <v>3779948</v>
      </c>
      <c r="N1612"/>
      <c r="O1612"/>
      <c r="P1612"/>
      <c r="Q1612"/>
    </row>
    <row r="1613" spans="1:17" s="1" customFormat="1" ht="15" customHeight="1" x14ac:dyDescent="0.25">
      <c r="A1613" s="28" t="s">
        <v>95</v>
      </c>
      <c r="B1613" s="28" t="s">
        <v>894</v>
      </c>
      <c r="C1613" s="15">
        <v>10748</v>
      </c>
      <c r="D1613" s="1" t="s">
        <v>454</v>
      </c>
      <c r="E1613" s="1">
        <v>2172</v>
      </c>
      <c r="F1613" s="28">
        <v>217</v>
      </c>
      <c r="G1613" s="9">
        <v>201</v>
      </c>
      <c r="H1613" s="1" t="s">
        <v>3073</v>
      </c>
      <c r="I1613" s="1" t="s">
        <v>3073</v>
      </c>
      <c r="J1613" t="str">
        <f t="shared" si="25"/>
        <v>http://www.badatelna.eu/reprodukce/?fondId=1073&amp;zaznamId=1108958&amp;reproId=3779958</v>
      </c>
      <c r="K1613">
        <f>IF(LEN(TRIM(E1613))=0,"",VLOOKUP(E1613,Sheet2!$B$1:$E$19,2,FALSE))</f>
        <v>1073</v>
      </c>
      <c r="L1613">
        <f>IF(LEN(TRIM(E1613))=0,"",VLOOKUP(E1613,Sheet2!$B$1:$E$19,3,FALSE))</f>
        <v>1108958</v>
      </c>
      <c r="M1613">
        <f>IF(LEN(TRIM(E1613))=0,"",VLOOKUP(E1613,Sheet2!$B$1:$E$19,4,FALSE))+(F1613-1)</f>
        <v>3779958</v>
      </c>
    </row>
    <row r="1614" spans="1:17" s="1" customFormat="1" ht="15" customHeight="1" x14ac:dyDescent="0.25">
      <c r="A1614" s="28" t="s">
        <v>95</v>
      </c>
      <c r="B1614" s="29" t="s">
        <v>52</v>
      </c>
      <c r="C1614" s="6" t="s">
        <v>2286</v>
      </c>
      <c r="D1614" s="1" t="s">
        <v>454</v>
      </c>
      <c r="E1614" s="1">
        <v>2173</v>
      </c>
      <c r="F1614" s="28">
        <v>198</v>
      </c>
      <c r="G1614" s="9">
        <v>5</v>
      </c>
      <c r="H1614" s="1" t="s">
        <v>3073</v>
      </c>
      <c r="I1614" s="1" t="s">
        <v>3073</v>
      </c>
      <c r="J1614" t="str">
        <f t="shared" si="25"/>
        <v>http://www.badatelna.eu/reprodukce/?fondId=1073&amp;zaznamId=1108959&amp;reproId=3780191</v>
      </c>
      <c r="K1614">
        <f>IF(LEN(TRIM(E1614))=0,"",VLOOKUP(E1614,Sheet2!$B$1:$E$19,2,FALSE))</f>
        <v>1073</v>
      </c>
      <c r="L1614">
        <f>IF(LEN(TRIM(E1614))=0,"",VLOOKUP(E1614,Sheet2!$B$1:$E$19,3,FALSE))</f>
        <v>1108959</v>
      </c>
      <c r="M1614">
        <f>IF(LEN(TRIM(E1614))=0,"",VLOOKUP(E1614,Sheet2!$B$1:$E$19,4,FALSE))+(F1614-1)</f>
        <v>3780191</v>
      </c>
    </row>
    <row r="1615" spans="1:17" s="1" customFormat="1" ht="15" customHeight="1" x14ac:dyDescent="0.25">
      <c r="A1615" s="28" t="s">
        <v>95</v>
      </c>
      <c r="B1615" s="28" t="s">
        <v>25</v>
      </c>
      <c r="C1615" s="1">
        <v>1852</v>
      </c>
      <c r="D1615" s="1" t="s">
        <v>2919</v>
      </c>
      <c r="E1615" s="1">
        <v>998</v>
      </c>
      <c r="F1615" s="28">
        <v>34</v>
      </c>
      <c r="G1615" s="1">
        <v>32</v>
      </c>
      <c r="H1615" s="1">
        <v>74</v>
      </c>
      <c r="I1615" s="1">
        <v>71</v>
      </c>
      <c r="J1615" t="str">
        <f t="shared" si="25"/>
        <v>http://www.badatelna.eu/reprodukce/?fondId=241&amp;zaznamId=1133738&amp;reproId=3885680</v>
      </c>
      <c r="K1615">
        <f>IF(LEN(TRIM(E1615))=0,"",VLOOKUP(E1615,Sheet2!$B$1:$E$19,2,FALSE))</f>
        <v>241</v>
      </c>
      <c r="L1615">
        <f>IF(LEN(TRIM(E1615))=0,"",VLOOKUP(E1615,Sheet2!$B$1:$E$19,3,FALSE))</f>
        <v>1133738</v>
      </c>
      <c r="M1615">
        <f>IF(LEN(TRIM(E1615))=0,"",VLOOKUP(E1615,Sheet2!$B$1:$E$19,4,FALSE))+(F1615-1)</f>
        <v>3885680</v>
      </c>
    </row>
    <row r="1616" spans="1:17" s="1" customFormat="1" ht="15" customHeight="1" x14ac:dyDescent="0.25">
      <c r="A1616" s="28" t="s">
        <v>95</v>
      </c>
      <c r="B1616" s="28" t="s">
        <v>25</v>
      </c>
      <c r="C1616" s="1">
        <v>1864</v>
      </c>
      <c r="D1616" s="1" t="s">
        <v>2919</v>
      </c>
      <c r="E1616" s="1">
        <v>999</v>
      </c>
      <c r="F1616" s="28">
        <v>86</v>
      </c>
      <c r="G1616" s="1">
        <v>7</v>
      </c>
      <c r="H1616" s="1">
        <v>105</v>
      </c>
      <c r="I1616" s="1">
        <v>164</v>
      </c>
      <c r="J1616" t="str">
        <f t="shared" si="25"/>
        <v>http://www.badatelna.eu/reprodukce/?fondId=241&amp;zaznamId=1133739&amp;reproId=3885815</v>
      </c>
      <c r="K1616">
        <f>IF(LEN(TRIM(E1616))=0,"",VLOOKUP(E1616,Sheet2!$B$1:$E$19,2,FALSE))</f>
        <v>241</v>
      </c>
      <c r="L1616">
        <f>IF(LEN(TRIM(E1616))=0,"",VLOOKUP(E1616,Sheet2!$B$1:$E$19,3,FALSE))</f>
        <v>1133739</v>
      </c>
      <c r="M1616">
        <f>IF(LEN(TRIM(E1616))=0,"",VLOOKUP(E1616,Sheet2!$B$1:$E$19,4,FALSE))+(F1616-1)</f>
        <v>3885815</v>
      </c>
      <c r="N1616"/>
      <c r="O1616"/>
      <c r="P1616"/>
      <c r="Q1616"/>
    </row>
    <row r="1617" spans="1:17" s="1" customFormat="1" ht="15" customHeight="1" x14ac:dyDescent="0.25">
      <c r="A1617" s="28" t="s">
        <v>95</v>
      </c>
      <c r="B1617" s="28" t="s">
        <v>25</v>
      </c>
      <c r="C1617" s="6" t="s">
        <v>1644</v>
      </c>
      <c r="D1617" s="1" t="s">
        <v>454</v>
      </c>
      <c r="E1617" s="1">
        <v>2172</v>
      </c>
      <c r="F1617" s="28">
        <v>93</v>
      </c>
      <c r="G1617" s="9">
        <v>92</v>
      </c>
      <c r="H1617" s="1">
        <v>96</v>
      </c>
      <c r="I1617" s="1">
        <v>95</v>
      </c>
      <c r="J1617" t="str">
        <f t="shared" si="25"/>
        <v>http://www.badatelna.eu/reprodukce/?fondId=1073&amp;zaznamId=1108958&amp;reproId=3779834</v>
      </c>
      <c r="K1617">
        <f>IF(LEN(TRIM(E1617))=0,"",VLOOKUP(E1617,Sheet2!$B$1:$E$19,2,FALSE))</f>
        <v>1073</v>
      </c>
      <c r="L1617">
        <f>IF(LEN(TRIM(E1617))=0,"",VLOOKUP(E1617,Sheet2!$B$1:$E$19,3,FALSE))</f>
        <v>1108958</v>
      </c>
      <c r="M1617">
        <f>IF(LEN(TRIM(E1617))=0,"",VLOOKUP(E1617,Sheet2!$B$1:$E$19,4,FALSE))+(F1617-1)</f>
        <v>3779834</v>
      </c>
      <c r="N1617"/>
      <c r="O1617"/>
      <c r="P1617"/>
      <c r="Q1617"/>
    </row>
    <row r="1618" spans="1:17" s="1" customFormat="1" ht="15" customHeight="1" x14ac:dyDescent="0.25">
      <c r="A1618" s="28" t="s">
        <v>95</v>
      </c>
      <c r="B1618" s="28" t="s">
        <v>25</v>
      </c>
      <c r="C1618" s="6" t="s">
        <v>2426</v>
      </c>
      <c r="D1618" s="1" t="s">
        <v>454</v>
      </c>
      <c r="E1618" s="1">
        <v>2173</v>
      </c>
      <c r="F1618" s="28">
        <v>203</v>
      </c>
      <c r="G1618" s="1">
        <v>16</v>
      </c>
      <c r="H1618" s="1" t="s">
        <v>3073</v>
      </c>
      <c r="I1618" s="1" t="s">
        <v>3073</v>
      </c>
      <c r="J1618" t="str">
        <f t="shared" si="25"/>
        <v>http://www.badatelna.eu/reprodukce/?fondId=1073&amp;zaznamId=1108959&amp;reproId=3780196</v>
      </c>
      <c r="K1618">
        <f>IF(LEN(TRIM(E1618))=0,"",VLOOKUP(E1618,Sheet2!$B$1:$E$19,2,FALSE))</f>
        <v>1073</v>
      </c>
      <c r="L1618">
        <f>IF(LEN(TRIM(E1618))=0,"",VLOOKUP(E1618,Sheet2!$B$1:$E$19,3,FALSE))</f>
        <v>1108959</v>
      </c>
      <c r="M1618">
        <f>IF(LEN(TRIM(E1618))=0,"",VLOOKUP(E1618,Sheet2!$B$1:$E$19,4,FALSE))+(F1618-1)</f>
        <v>3780196</v>
      </c>
      <c r="N1618"/>
      <c r="O1618"/>
      <c r="P1618"/>
      <c r="Q1618"/>
    </row>
    <row r="1619" spans="1:17" s="1" customFormat="1" ht="15" customHeight="1" x14ac:dyDescent="0.25">
      <c r="A1619" s="29" t="s">
        <v>3109</v>
      </c>
      <c r="B1619" s="28" t="s">
        <v>25</v>
      </c>
      <c r="C1619" s="6" t="s">
        <v>2629</v>
      </c>
      <c r="D1619" s="1" t="s">
        <v>454</v>
      </c>
      <c r="E1619" s="1">
        <v>2173</v>
      </c>
      <c r="F1619" s="28">
        <v>220</v>
      </c>
      <c r="G1619" s="9">
        <v>48</v>
      </c>
      <c r="H1619" s="1" t="s">
        <v>3073</v>
      </c>
      <c r="I1619" s="1" t="s">
        <v>3073</v>
      </c>
      <c r="J1619" t="str">
        <f t="shared" si="25"/>
        <v>http://www.badatelna.eu/reprodukce/?fondId=1073&amp;zaznamId=1108959&amp;reproId=3780213</v>
      </c>
      <c r="K1619">
        <f>IF(LEN(TRIM(E1619))=0,"",VLOOKUP(E1619,Sheet2!$B$1:$E$19,2,FALSE))</f>
        <v>1073</v>
      </c>
      <c r="L1619">
        <f>IF(LEN(TRIM(E1619))=0,"",VLOOKUP(E1619,Sheet2!$B$1:$E$19,3,FALSE))</f>
        <v>1108959</v>
      </c>
      <c r="M1619">
        <f>IF(LEN(TRIM(E1619))=0,"",VLOOKUP(E1619,Sheet2!$B$1:$E$19,4,FALSE))+(F1619-1)</f>
        <v>3780213</v>
      </c>
    </row>
    <row r="1620" spans="1:17" s="1" customFormat="1" ht="15" customHeight="1" x14ac:dyDescent="0.25">
      <c r="A1620" s="27" t="s">
        <v>95</v>
      </c>
      <c r="B1620" s="27" t="s">
        <v>25</v>
      </c>
      <c r="C1620" s="5" t="s">
        <v>1256</v>
      </c>
      <c r="D1620" s="3" t="s">
        <v>454</v>
      </c>
      <c r="E1620" s="3">
        <v>2170</v>
      </c>
      <c r="F1620" s="28">
        <v>11</v>
      </c>
      <c r="G1620" s="10">
        <v>7</v>
      </c>
      <c r="H1620" s="3">
        <v>66</v>
      </c>
      <c r="I1620" s="3">
        <v>62</v>
      </c>
      <c r="J1620" t="str">
        <f t="shared" si="25"/>
        <v>http://www.badatelna.eu/reprodukce/?fondId=1073&amp;zaznamId=1108956&amp;reproId=3779603</v>
      </c>
      <c r="K1620">
        <f>IF(LEN(TRIM(E1620))=0,"",VLOOKUP(E1620,Sheet2!$B$1:$E$19,2,FALSE))</f>
        <v>1073</v>
      </c>
      <c r="L1620">
        <f>IF(LEN(TRIM(E1620))=0,"",VLOOKUP(E1620,Sheet2!$B$1:$E$19,3,FALSE))</f>
        <v>1108956</v>
      </c>
      <c r="M1620">
        <f>IF(LEN(TRIM(E1620))=0,"",VLOOKUP(E1620,Sheet2!$B$1:$E$19,4,FALSE))+(F1620-1)</f>
        <v>3779603</v>
      </c>
    </row>
    <row r="1621" spans="1:17" s="1" customFormat="1" ht="15" customHeight="1" x14ac:dyDescent="0.25">
      <c r="A1621" s="28" t="s">
        <v>95</v>
      </c>
      <c r="B1621" s="28" t="s">
        <v>270</v>
      </c>
      <c r="C1621" s="6" t="s">
        <v>2893</v>
      </c>
      <c r="D1621" s="1" t="s">
        <v>454</v>
      </c>
      <c r="E1621" s="1">
        <v>2173</v>
      </c>
      <c r="F1621" s="28">
        <v>211</v>
      </c>
      <c r="G1621" s="9" t="s">
        <v>2760</v>
      </c>
      <c r="H1621" s="1" t="s">
        <v>3073</v>
      </c>
      <c r="I1621" s="1" t="s">
        <v>3073</v>
      </c>
      <c r="J1621" t="str">
        <f t="shared" si="25"/>
        <v>http://www.badatelna.eu/reprodukce/?fondId=1073&amp;zaznamId=1108959&amp;reproId=3780204</v>
      </c>
      <c r="K1621">
        <f>IF(LEN(TRIM(E1621))=0,"",VLOOKUP(E1621,Sheet2!$B$1:$E$19,2,FALSE))</f>
        <v>1073</v>
      </c>
      <c r="L1621">
        <f>IF(LEN(TRIM(E1621))=0,"",VLOOKUP(E1621,Sheet2!$B$1:$E$19,3,FALSE))</f>
        <v>1108959</v>
      </c>
      <c r="M1621">
        <f>IF(LEN(TRIM(E1621))=0,"",VLOOKUP(E1621,Sheet2!$B$1:$E$19,4,FALSE))+(F1621-1)</f>
        <v>3780204</v>
      </c>
    </row>
    <row r="1622" spans="1:17" s="1" customFormat="1" ht="15" customHeight="1" x14ac:dyDescent="0.25">
      <c r="A1622" s="28" t="s">
        <v>95</v>
      </c>
      <c r="B1622" s="28" t="s">
        <v>198</v>
      </c>
      <c r="C1622" s="6" t="s">
        <v>1544</v>
      </c>
      <c r="D1622" s="1" t="s">
        <v>454</v>
      </c>
      <c r="E1622" s="1">
        <v>2172</v>
      </c>
      <c r="F1622" s="28">
        <v>17</v>
      </c>
      <c r="G1622" s="9">
        <v>16</v>
      </c>
      <c r="H1622" s="1" t="s">
        <v>3073</v>
      </c>
      <c r="I1622" s="1" t="s">
        <v>3073</v>
      </c>
      <c r="J1622" t="str">
        <f t="shared" si="25"/>
        <v>http://www.badatelna.eu/reprodukce/?fondId=1073&amp;zaznamId=1108958&amp;reproId=3779758</v>
      </c>
      <c r="K1622">
        <f>IF(LEN(TRIM(E1622))=0,"",VLOOKUP(E1622,Sheet2!$B$1:$E$19,2,FALSE))</f>
        <v>1073</v>
      </c>
      <c r="L1622">
        <f>IF(LEN(TRIM(E1622))=0,"",VLOOKUP(E1622,Sheet2!$B$1:$E$19,3,FALSE))</f>
        <v>1108958</v>
      </c>
      <c r="M1622">
        <f>IF(LEN(TRIM(E1622))=0,"",VLOOKUP(E1622,Sheet2!$B$1:$E$19,4,FALSE))+(F1622-1)</f>
        <v>3779758</v>
      </c>
    </row>
    <row r="1623" spans="1:17" s="1" customFormat="1" ht="15" customHeight="1" x14ac:dyDescent="0.25">
      <c r="A1623" s="28" t="s">
        <v>95</v>
      </c>
      <c r="B1623" s="28" t="s">
        <v>490</v>
      </c>
      <c r="C1623" s="6" t="s">
        <v>1553</v>
      </c>
      <c r="D1623" s="1" t="s">
        <v>454</v>
      </c>
      <c r="E1623" s="1">
        <v>2172</v>
      </c>
      <c r="F1623" s="28">
        <v>18</v>
      </c>
      <c r="G1623" s="9">
        <v>17</v>
      </c>
      <c r="H1623" s="1" t="s">
        <v>3073</v>
      </c>
      <c r="I1623" s="1" t="s">
        <v>3073</v>
      </c>
      <c r="J1623" t="str">
        <f t="shared" si="25"/>
        <v>http://www.badatelna.eu/reprodukce/?fondId=1073&amp;zaznamId=1108958&amp;reproId=3779759</v>
      </c>
      <c r="K1623">
        <f>IF(LEN(TRIM(E1623))=0,"",VLOOKUP(E1623,Sheet2!$B$1:$E$19,2,FALSE))</f>
        <v>1073</v>
      </c>
      <c r="L1623">
        <f>IF(LEN(TRIM(E1623))=0,"",VLOOKUP(E1623,Sheet2!$B$1:$E$19,3,FALSE))</f>
        <v>1108958</v>
      </c>
      <c r="M1623">
        <f>IF(LEN(TRIM(E1623))=0,"",VLOOKUP(E1623,Sheet2!$B$1:$E$19,4,FALSE))+(F1623-1)</f>
        <v>3779759</v>
      </c>
    </row>
    <row r="1624" spans="1:17" s="1" customFormat="1" ht="15" customHeight="1" x14ac:dyDescent="0.25">
      <c r="A1624" s="27" t="s">
        <v>95</v>
      </c>
      <c r="B1624" s="27" t="s">
        <v>46</v>
      </c>
      <c r="C1624" s="5" t="s">
        <v>1257</v>
      </c>
      <c r="D1624" s="3" t="s">
        <v>454</v>
      </c>
      <c r="E1624" s="3">
        <v>2170</v>
      </c>
      <c r="F1624" s="28">
        <v>58</v>
      </c>
      <c r="G1624" s="10">
        <v>54</v>
      </c>
      <c r="H1624" s="3">
        <v>66</v>
      </c>
      <c r="I1624" s="3">
        <v>62</v>
      </c>
      <c r="J1624" t="str">
        <f t="shared" si="25"/>
        <v>http://www.badatelna.eu/reprodukce/?fondId=1073&amp;zaznamId=1108956&amp;reproId=3779650</v>
      </c>
      <c r="K1624">
        <f>IF(LEN(TRIM(E1624))=0,"",VLOOKUP(E1624,Sheet2!$B$1:$E$19,2,FALSE))</f>
        <v>1073</v>
      </c>
      <c r="L1624">
        <f>IF(LEN(TRIM(E1624))=0,"",VLOOKUP(E1624,Sheet2!$B$1:$E$19,3,FALSE))</f>
        <v>1108956</v>
      </c>
      <c r="M1624">
        <f>IF(LEN(TRIM(E1624))=0,"",VLOOKUP(E1624,Sheet2!$B$1:$E$19,4,FALSE))+(F1624-1)</f>
        <v>3779650</v>
      </c>
    </row>
    <row r="1625" spans="1:17" s="1" customFormat="1" ht="15" customHeight="1" x14ac:dyDescent="0.25">
      <c r="A1625" s="28" t="s">
        <v>95</v>
      </c>
      <c r="B1625" s="28" t="s">
        <v>955</v>
      </c>
      <c r="C1625" s="6" t="s">
        <v>1859</v>
      </c>
      <c r="D1625" s="1" t="s">
        <v>454</v>
      </c>
      <c r="E1625" s="1">
        <v>2172</v>
      </c>
      <c r="F1625" s="28">
        <v>185</v>
      </c>
      <c r="G1625" s="9">
        <v>176</v>
      </c>
      <c r="H1625" s="1" t="s">
        <v>3073</v>
      </c>
      <c r="I1625" s="1" t="s">
        <v>3073</v>
      </c>
      <c r="J1625" t="str">
        <f t="shared" si="25"/>
        <v>http://www.badatelna.eu/reprodukce/?fondId=1073&amp;zaznamId=1108958&amp;reproId=3779926</v>
      </c>
      <c r="K1625">
        <f>IF(LEN(TRIM(E1625))=0,"",VLOOKUP(E1625,Sheet2!$B$1:$E$19,2,FALSE))</f>
        <v>1073</v>
      </c>
      <c r="L1625">
        <f>IF(LEN(TRIM(E1625))=0,"",VLOOKUP(E1625,Sheet2!$B$1:$E$19,3,FALSE))</f>
        <v>1108958</v>
      </c>
      <c r="M1625">
        <f>IF(LEN(TRIM(E1625))=0,"",VLOOKUP(E1625,Sheet2!$B$1:$E$19,4,FALSE))+(F1625-1)</f>
        <v>3779926</v>
      </c>
      <c r="N1625"/>
      <c r="O1625"/>
      <c r="P1625"/>
      <c r="Q1625"/>
    </row>
    <row r="1626" spans="1:17" s="1" customFormat="1" ht="15" customHeight="1" x14ac:dyDescent="0.25">
      <c r="A1626" s="28" t="s">
        <v>95</v>
      </c>
      <c r="B1626" s="28" t="s">
        <v>715</v>
      </c>
      <c r="C1626" s="6" t="s">
        <v>1613</v>
      </c>
      <c r="D1626" s="1" t="s">
        <v>454</v>
      </c>
      <c r="E1626" s="1">
        <v>2172</v>
      </c>
      <c r="F1626" s="28">
        <v>74</v>
      </c>
      <c r="G1626" s="9">
        <v>73</v>
      </c>
      <c r="H1626" s="1">
        <v>76</v>
      </c>
      <c r="I1626" s="1">
        <v>75</v>
      </c>
      <c r="J1626" t="str">
        <f t="shared" si="25"/>
        <v>http://www.badatelna.eu/reprodukce/?fondId=1073&amp;zaznamId=1108958&amp;reproId=3779815</v>
      </c>
      <c r="K1626">
        <f>IF(LEN(TRIM(E1626))=0,"",VLOOKUP(E1626,Sheet2!$B$1:$E$19,2,FALSE))</f>
        <v>1073</v>
      </c>
      <c r="L1626">
        <f>IF(LEN(TRIM(E1626))=0,"",VLOOKUP(E1626,Sheet2!$B$1:$E$19,3,FALSE))</f>
        <v>1108958</v>
      </c>
      <c r="M1626">
        <f>IF(LEN(TRIM(E1626))=0,"",VLOOKUP(E1626,Sheet2!$B$1:$E$19,4,FALSE))+(F1626-1)</f>
        <v>3779815</v>
      </c>
      <c r="N1626"/>
      <c r="O1626"/>
      <c r="P1626"/>
      <c r="Q1626"/>
    </row>
    <row r="1627" spans="1:17" s="1" customFormat="1" ht="15" customHeight="1" x14ac:dyDescent="0.25">
      <c r="A1627" s="27" t="s">
        <v>95</v>
      </c>
      <c r="B1627" s="27" t="s">
        <v>314</v>
      </c>
      <c r="C1627" s="5" t="s">
        <v>1151</v>
      </c>
      <c r="D1627" s="3" t="s">
        <v>454</v>
      </c>
      <c r="E1627" s="3">
        <v>2170</v>
      </c>
      <c r="F1627" s="28">
        <v>40</v>
      </c>
      <c r="G1627" s="10">
        <v>36</v>
      </c>
      <c r="H1627" s="3">
        <v>66</v>
      </c>
      <c r="I1627" s="3">
        <v>62</v>
      </c>
      <c r="J1627" t="str">
        <f t="shared" si="25"/>
        <v>http://www.badatelna.eu/reprodukce/?fondId=1073&amp;zaznamId=1108956&amp;reproId=3779632</v>
      </c>
      <c r="K1627">
        <f>IF(LEN(TRIM(E1627))=0,"",VLOOKUP(E1627,Sheet2!$B$1:$E$19,2,FALSE))</f>
        <v>1073</v>
      </c>
      <c r="L1627">
        <f>IF(LEN(TRIM(E1627))=0,"",VLOOKUP(E1627,Sheet2!$B$1:$E$19,3,FALSE))</f>
        <v>1108956</v>
      </c>
      <c r="M1627">
        <f>IF(LEN(TRIM(E1627))=0,"",VLOOKUP(E1627,Sheet2!$B$1:$E$19,4,FALSE))+(F1627-1)</f>
        <v>3779632</v>
      </c>
    </row>
    <row r="1628" spans="1:17" s="1" customFormat="1" ht="15" customHeight="1" x14ac:dyDescent="0.25">
      <c r="A1628" s="28" t="s">
        <v>95</v>
      </c>
      <c r="B1628" s="28" t="s">
        <v>600</v>
      </c>
      <c r="C1628" s="6" t="s">
        <v>1661</v>
      </c>
      <c r="D1628" s="1" t="s">
        <v>454</v>
      </c>
      <c r="E1628" s="1">
        <v>2172</v>
      </c>
      <c r="F1628" s="28">
        <v>101</v>
      </c>
      <c r="G1628" s="9">
        <v>100</v>
      </c>
      <c r="H1628" s="1">
        <v>103</v>
      </c>
      <c r="I1628" s="1">
        <v>102</v>
      </c>
      <c r="J1628" t="str">
        <f t="shared" si="25"/>
        <v>http://www.badatelna.eu/reprodukce/?fondId=1073&amp;zaznamId=1108958&amp;reproId=3779842</v>
      </c>
      <c r="K1628">
        <f>IF(LEN(TRIM(E1628))=0,"",VLOOKUP(E1628,Sheet2!$B$1:$E$19,2,FALSE))</f>
        <v>1073</v>
      </c>
      <c r="L1628">
        <f>IF(LEN(TRIM(E1628))=0,"",VLOOKUP(E1628,Sheet2!$B$1:$E$19,3,FALSE))</f>
        <v>1108958</v>
      </c>
      <c r="M1628">
        <f>IF(LEN(TRIM(E1628))=0,"",VLOOKUP(E1628,Sheet2!$B$1:$E$19,4,FALSE))+(F1628-1)</f>
        <v>3779842</v>
      </c>
      <c r="N1628"/>
      <c r="O1628"/>
      <c r="P1628"/>
      <c r="Q1628"/>
    </row>
    <row r="1629" spans="1:17" s="1" customFormat="1" ht="15" customHeight="1" x14ac:dyDescent="0.25">
      <c r="A1629" s="27" t="s">
        <v>95</v>
      </c>
      <c r="B1629" s="27" t="s">
        <v>135</v>
      </c>
      <c r="C1629" s="5" t="s">
        <v>1254</v>
      </c>
      <c r="D1629" s="3" t="s">
        <v>454</v>
      </c>
      <c r="E1629" s="3">
        <v>2170</v>
      </c>
      <c r="F1629" s="28">
        <v>13</v>
      </c>
      <c r="G1629" s="10">
        <v>9</v>
      </c>
      <c r="H1629" s="3">
        <v>66</v>
      </c>
      <c r="I1629" s="3">
        <v>62</v>
      </c>
      <c r="J1629" t="str">
        <f t="shared" si="25"/>
        <v>http://www.badatelna.eu/reprodukce/?fondId=1073&amp;zaznamId=1108956&amp;reproId=3779605</v>
      </c>
      <c r="K1629">
        <f>IF(LEN(TRIM(E1629))=0,"",VLOOKUP(E1629,Sheet2!$B$1:$E$19,2,FALSE))</f>
        <v>1073</v>
      </c>
      <c r="L1629">
        <f>IF(LEN(TRIM(E1629))=0,"",VLOOKUP(E1629,Sheet2!$B$1:$E$19,3,FALSE))</f>
        <v>1108956</v>
      </c>
      <c r="M1629">
        <f>IF(LEN(TRIM(E1629))=0,"",VLOOKUP(E1629,Sheet2!$B$1:$E$19,4,FALSE))+(F1629-1)</f>
        <v>3779605</v>
      </c>
      <c r="N1629"/>
      <c r="O1629"/>
      <c r="P1629"/>
      <c r="Q1629"/>
    </row>
    <row r="1630" spans="1:17" s="1" customFormat="1" ht="15" customHeight="1" x14ac:dyDescent="0.25">
      <c r="A1630" s="28" t="s">
        <v>95</v>
      </c>
      <c r="B1630" s="28" t="s">
        <v>48</v>
      </c>
      <c r="C1630" s="1">
        <v>1864</v>
      </c>
      <c r="D1630" s="1" t="s">
        <v>2919</v>
      </c>
      <c r="E1630" s="1">
        <v>999</v>
      </c>
      <c r="F1630" s="28">
        <v>87</v>
      </c>
      <c r="G1630" s="1">
        <v>8</v>
      </c>
      <c r="H1630" s="1">
        <v>105</v>
      </c>
      <c r="I1630" s="1">
        <v>164</v>
      </c>
      <c r="J1630" t="str">
        <f t="shared" si="25"/>
        <v>http://www.badatelna.eu/reprodukce/?fondId=241&amp;zaznamId=1133739&amp;reproId=3885816</v>
      </c>
      <c r="K1630">
        <f>IF(LEN(TRIM(E1630))=0,"",VLOOKUP(E1630,Sheet2!$B$1:$E$19,2,FALSE))</f>
        <v>241</v>
      </c>
      <c r="L1630">
        <f>IF(LEN(TRIM(E1630))=0,"",VLOOKUP(E1630,Sheet2!$B$1:$E$19,3,FALSE))</f>
        <v>1133739</v>
      </c>
      <c r="M1630">
        <f>IF(LEN(TRIM(E1630))=0,"",VLOOKUP(E1630,Sheet2!$B$1:$E$19,4,FALSE))+(F1630-1)</f>
        <v>3885816</v>
      </c>
    </row>
    <row r="1631" spans="1:17" s="1" customFormat="1" ht="15" customHeight="1" x14ac:dyDescent="0.25">
      <c r="A1631" s="29" t="s">
        <v>95</v>
      </c>
      <c r="B1631" s="28" t="s">
        <v>48</v>
      </c>
      <c r="C1631" s="6" t="s">
        <v>2565</v>
      </c>
      <c r="D1631" s="1" t="s">
        <v>454</v>
      </c>
      <c r="E1631" s="1">
        <v>2173</v>
      </c>
      <c r="F1631" s="28">
        <v>208</v>
      </c>
      <c r="G1631" s="1">
        <v>25</v>
      </c>
      <c r="H1631" s="1" t="s">
        <v>3073</v>
      </c>
      <c r="I1631" s="1" t="s">
        <v>3073</v>
      </c>
      <c r="J1631" t="str">
        <f t="shared" si="25"/>
        <v>http://www.badatelna.eu/reprodukce/?fondId=1073&amp;zaznamId=1108959&amp;reproId=3780201</v>
      </c>
      <c r="K1631">
        <f>IF(LEN(TRIM(E1631))=0,"",VLOOKUP(E1631,Sheet2!$B$1:$E$19,2,FALSE))</f>
        <v>1073</v>
      </c>
      <c r="L1631">
        <f>IF(LEN(TRIM(E1631))=0,"",VLOOKUP(E1631,Sheet2!$B$1:$E$19,3,FALSE))</f>
        <v>1108959</v>
      </c>
      <c r="M1631">
        <f>IF(LEN(TRIM(E1631))=0,"",VLOOKUP(E1631,Sheet2!$B$1:$E$19,4,FALSE))+(F1631-1)</f>
        <v>3780201</v>
      </c>
    </row>
    <row r="1632" spans="1:17" s="1" customFormat="1" ht="15" customHeight="1" x14ac:dyDescent="0.25">
      <c r="A1632" s="28" t="s">
        <v>95</v>
      </c>
      <c r="B1632" s="28" t="s">
        <v>835</v>
      </c>
      <c r="C1632" s="6" t="s">
        <v>1831</v>
      </c>
      <c r="D1632" s="1" t="s">
        <v>454</v>
      </c>
      <c r="E1632" s="1">
        <v>2172</v>
      </c>
      <c r="F1632" s="28">
        <v>171</v>
      </c>
      <c r="G1632" s="9" t="s">
        <v>3093</v>
      </c>
      <c r="H1632" s="1" t="s">
        <v>3073</v>
      </c>
      <c r="I1632" s="1" t="s">
        <v>3073</v>
      </c>
      <c r="J1632" t="str">
        <f t="shared" si="25"/>
        <v>http://www.badatelna.eu/reprodukce/?fondId=1073&amp;zaznamId=1108958&amp;reproId=3779912</v>
      </c>
      <c r="K1632">
        <f>IF(LEN(TRIM(E1632))=0,"",VLOOKUP(E1632,Sheet2!$B$1:$E$19,2,FALSE))</f>
        <v>1073</v>
      </c>
      <c r="L1632">
        <f>IF(LEN(TRIM(E1632))=0,"",VLOOKUP(E1632,Sheet2!$B$1:$E$19,3,FALSE))</f>
        <v>1108958</v>
      </c>
      <c r="M1632">
        <f>IF(LEN(TRIM(E1632))=0,"",VLOOKUP(E1632,Sheet2!$B$1:$E$19,4,FALSE))+(F1632-1)</f>
        <v>3779912</v>
      </c>
    </row>
    <row r="1633" spans="1:17" s="1" customFormat="1" ht="15" customHeight="1" x14ac:dyDescent="0.25">
      <c r="A1633" s="28" t="s">
        <v>95</v>
      </c>
      <c r="B1633" s="28" t="s">
        <v>259</v>
      </c>
      <c r="C1633" s="6" t="s">
        <v>1796</v>
      </c>
      <c r="D1633" s="1" t="s">
        <v>454</v>
      </c>
      <c r="E1633" s="1">
        <v>2172</v>
      </c>
      <c r="F1633" s="28">
        <v>158</v>
      </c>
      <c r="G1633" s="9">
        <v>152</v>
      </c>
      <c r="H1633" s="1">
        <v>160</v>
      </c>
      <c r="I1633" s="1">
        <v>154</v>
      </c>
      <c r="J1633" t="str">
        <f t="shared" si="25"/>
        <v>http://www.badatelna.eu/reprodukce/?fondId=1073&amp;zaznamId=1108958&amp;reproId=3779899</v>
      </c>
      <c r="K1633">
        <f>IF(LEN(TRIM(E1633))=0,"",VLOOKUP(E1633,Sheet2!$B$1:$E$19,2,FALSE))</f>
        <v>1073</v>
      </c>
      <c r="L1633">
        <f>IF(LEN(TRIM(E1633))=0,"",VLOOKUP(E1633,Sheet2!$B$1:$E$19,3,FALSE))</f>
        <v>1108958</v>
      </c>
      <c r="M1633">
        <f>IF(LEN(TRIM(E1633))=0,"",VLOOKUP(E1633,Sheet2!$B$1:$E$19,4,FALSE))+(F1633-1)</f>
        <v>3779899</v>
      </c>
    </row>
    <row r="1634" spans="1:17" s="1" customFormat="1" ht="15" customHeight="1" x14ac:dyDescent="0.25">
      <c r="A1634" s="28" t="s">
        <v>95</v>
      </c>
      <c r="B1634" s="28" t="s">
        <v>54</v>
      </c>
      <c r="C1634" s="6" t="s">
        <v>2122</v>
      </c>
      <c r="D1634" s="1" t="s">
        <v>454</v>
      </c>
      <c r="E1634" s="1">
        <v>2173</v>
      </c>
      <c r="F1634" s="28">
        <v>177</v>
      </c>
      <c r="G1634" s="9">
        <v>1</v>
      </c>
      <c r="H1634" s="1">
        <v>190</v>
      </c>
      <c r="I1634" s="1">
        <v>423</v>
      </c>
      <c r="J1634" t="str">
        <f t="shared" si="25"/>
        <v>http://www.badatelna.eu/reprodukce/?fondId=1073&amp;zaznamId=1108959&amp;reproId=3780170</v>
      </c>
      <c r="K1634">
        <f>IF(LEN(TRIM(E1634))=0,"",VLOOKUP(E1634,Sheet2!$B$1:$E$19,2,FALSE))</f>
        <v>1073</v>
      </c>
      <c r="L1634">
        <f>IF(LEN(TRIM(E1634))=0,"",VLOOKUP(E1634,Sheet2!$B$1:$E$19,3,FALSE))</f>
        <v>1108959</v>
      </c>
      <c r="M1634">
        <f>IF(LEN(TRIM(E1634))=0,"",VLOOKUP(E1634,Sheet2!$B$1:$E$19,4,FALSE))+(F1634-1)</f>
        <v>3780170</v>
      </c>
    </row>
    <row r="1635" spans="1:17" s="1" customFormat="1" ht="15" customHeight="1" x14ac:dyDescent="0.25">
      <c r="A1635" s="27" t="s">
        <v>95</v>
      </c>
      <c r="B1635" s="27" t="s">
        <v>54</v>
      </c>
      <c r="C1635" s="5" t="s">
        <v>1492</v>
      </c>
      <c r="D1635" s="3" t="s">
        <v>454</v>
      </c>
      <c r="E1635" s="3">
        <v>2171</v>
      </c>
      <c r="F1635" s="28">
        <v>66</v>
      </c>
      <c r="G1635" s="10">
        <v>49</v>
      </c>
      <c r="H1635" s="3">
        <v>66</v>
      </c>
      <c r="I1635" s="3">
        <v>49</v>
      </c>
      <c r="J1635" t="str">
        <f t="shared" si="25"/>
        <v>http://www.badatelna.eu/reprodukce/?fondId=1073&amp;zaznamId=1108957&amp;reproId=3779733</v>
      </c>
      <c r="K1635">
        <f>IF(LEN(TRIM(E1635))=0,"",VLOOKUP(E1635,Sheet2!$B$1:$E$19,2,FALSE))</f>
        <v>1073</v>
      </c>
      <c r="L1635">
        <f>IF(LEN(TRIM(E1635))=0,"",VLOOKUP(E1635,Sheet2!$B$1:$E$19,3,FALSE))</f>
        <v>1108957</v>
      </c>
      <c r="M1635">
        <f>IF(LEN(TRIM(E1635))=0,"",VLOOKUP(E1635,Sheet2!$B$1:$E$19,4,FALSE))+(F1635-1)</f>
        <v>3779733</v>
      </c>
    </row>
    <row r="1636" spans="1:17" s="1" customFormat="1" ht="15" customHeight="1" x14ac:dyDescent="0.25">
      <c r="A1636" s="28" t="s">
        <v>95</v>
      </c>
      <c r="B1636" s="28" t="s">
        <v>247</v>
      </c>
      <c r="C1636" s="1">
        <v>1855</v>
      </c>
      <c r="D1636" s="1" t="s">
        <v>2919</v>
      </c>
      <c r="E1636" s="1">
        <v>998</v>
      </c>
      <c r="F1636" s="28">
        <v>47</v>
      </c>
      <c r="G1636" s="1">
        <v>45</v>
      </c>
      <c r="H1636" s="1">
        <v>74</v>
      </c>
      <c r="I1636" s="1">
        <v>71</v>
      </c>
      <c r="J1636" t="str">
        <f t="shared" si="25"/>
        <v>http://www.badatelna.eu/reprodukce/?fondId=241&amp;zaznamId=1133738&amp;reproId=3885693</v>
      </c>
      <c r="K1636">
        <f>IF(LEN(TRIM(E1636))=0,"",VLOOKUP(E1636,Sheet2!$B$1:$E$19,2,FALSE))</f>
        <v>241</v>
      </c>
      <c r="L1636">
        <f>IF(LEN(TRIM(E1636))=0,"",VLOOKUP(E1636,Sheet2!$B$1:$E$19,3,FALSE))</f>
        <v>1133738</v>
      </c>
      <c r="M1636">
        <f>IF(LEN(TRIM(E1636))=0,"",VLOOKUP(E1636,Sheet2!$B$1:$E$19,4,FALSE))+(F1636-1)</f>
        <v>3885693</v>
      </c>
    </row>
    <row r="1637" spans="1:17" s="1" customFormat="1" ht="15" customHeight="1" x14ac:dyDescent="0.25">
      <c r="A1637" s="28" t="s">
        <v>95</v>
      </c>
      <c r="B1637" s="28" t="s">
        <v>143</v>
      </c>
      <c r="C1637" s="6" t="s">
        <v>2427</v>
      </c>
      <c r="D1637" s="1" t="s">
        <v>454</v>
      </c>
      <c r="E1637" s="1">
        <v>2173</v>
      </c>
      <c r="F1637" s="28">
        <v>203</v>
      </c>
      <c r="G1637" s="1">
        <v>15</v>
      </c>
      <c r="H1637" s="1" t="s">
        <v>3073</v>
      </c>
      <c r="I1637" s="1" t="s">
        <v>3073</v>
      </c>
      <c r="J1637" t="str">
        <f t="shared" si="25"/>
        <v>http://www.badatelna.eu/reprodukce/?fondId=1073&amp;zaznamId=1108959&amp;reproId=3780196</v>
      </c>
      <c r="K1637">
        <f>IF(LEN(TRIM(E1637))=0,"",VLOOKUP(E1637,Sheet2!$B$1:$E$19,2,FALSE))</f>
        <v>1073</v>
      </c>
      <c r="L1637">
        <f>IF(LEN(TRIM(E1637))=0,"",VLOOKUP(E1637,Sheet2!$B$1:$E$19,3,FALSE))</f>
        <v>1108959</v>
      </c>
      <c r="M1637">
        <f>IF(LEN(TRIM(E1637))=0,"",VLOOKUP(E1637,Sheet2!$B$1:$E$19,4,FALSE))+(F1637-1)</f>
        <v>3780196</v>
      </c>
    </row>
    <row r="1638" spans="1:17" s="1" customFormat="1" ht="15" customHeight="1" x14ac:dyDescent="0.25">
      <c r="A1638" s="28" t="s">
        <v>95</v>
      </c>
      <c r="B1638" s="28" t="s">
        <v>143</v>
      </c>
      <c r="C1638" s="6" t="s">
        <v>2428</v>
      </c>
      <c r="D1638" s="1" t="s">
        <v>454</v>
      </c>
      <c r="E1638" s="1">
        <v>2173</v>
      </c>
      <c r="F1638" s="28">
        <v>203</v>
      </c>
      <c r="G1638" s="1">
        <v>16</v>
      </c>
      <c r="H1638" s="1" t="s">
        <v>3073</v>
      </c>
      <c r="I1638" s="1" t="s">
        <v>3073</v>
      </c>
      <c r="J1638" t="str">
        <f t="shared" si="25"/>
        <v>http://www.badatelna.eu/reprodukce/?fondId=1073&amp;zaznamId=1108959&amp;reproId=3780196</v>
      </c>
      <c r="K1638">
        <f>IF(LEN(TRIM(E1638))=0,"",VLOOKUP(E1638,Sheet2!$B$1:$E$19,2,FALSE))</f>
        <v>1073</v>
      </c>
      <c r="L1638">
        <f>IF(LEN(TRIM(E1638))=0,"",VLOOKUP(E1638,Sheet2!$B$1:$E$19,3,FALSE))</f>
        <v>1108959</v>
      </c>
      <c r="M1638">
        <f>IF(LEN(TRIM(E1638))=0,"",VLOOKUP(E1638,Sheet2!$B$1:$E$19,4,FALSE))+(F1638-1)</f>
        <v>3780196</v>
      </c>
    </row>
    <row r="1639" spans="1:17" s="1" customFormat="1" ht="15" customHeight="1" x14ac:dyDescent="0.25">
      <c r="A1639" s="28" t="s">
        <v>95</v>
      </c>
      <c r="B1639" s="28" t="s">
        <v>91</v>
      </c>
      <c r="C1639" s="6" t="s">
        <v>2124</v>
      </c>
      <c r="D1639" s="1" t="s">
        <v>454</v>
      </c>
      <c r="E1639" s="1">
        <v>2173</v>
      </c>
      <c r="F1639" s="28">
        <v>178</v>
      </c>
      <c r="G1639" s="9">
        <v>3</v>
      </c>
      <c r="H1639" s="1">
        <v>190</v>
      </c>
      <c r="I1639" s="1">
        <v>423</v>
      </c>
      <c r="J1639" t="str">
        <f t="shared" si="25"/>
        <v>http://www.badatelna.eu/reprodukce/?fondId=1073&amp;zaznamId=1108959&amp;reproId=3780171</v>
      </c>
      <c r="K1639">
        <f>IF(LEN(TRIM(E1639))=0,"",VLOOKUP(E1639,Sheet2!$B$1:$E$19,2,FALSE))</f>
        <v>1073</v>
      </c>
      <c r="L1639">
        <f>IF(LEN(TRIM(E1639))=0,"",VLOOKUP(E1639,Sheet2!$B$1:$E$19,3,FALSE))</f>
        <v>1108959</v>
      </c>
      <c r="M1639">
        <f>IF(LEN(TRIM(E1639))=0,"",VLOOKUP(E1639,Sheet2!$B$1:$E$19,4,FALSE))+(F1639-1)</f>
        <v>3780171</v>
      </c>
      <c r="N1639"/>
      <c r="O1639"/>
      <c r="P1639"/>
      <c r="Q1639"/>
    </row>
    <row r="1640" spans="1:17" s="1" customFormat="1" ht="15" customHeight="1" x14ac:dyDescent="0.25">
      <c r="A1640" s="28" t="s">
        <v>956</v>
      </c>
      <c r="B1640" s="28" t="s">
        <v>957</v>
      </c>
      <c r="C1640" s="6" t="s">
        <v>1932</v>
      </c>
      <c r="D1640" s="1" t="s">
        <v>454</v>
      </c>
      <c r="E1640" s="1">
        <v>2172</v>
      </c>
      <c r="F1640" s="28">
        <v>217</v>
      </c>
      <c r="G1640" s="9">
        <v>201</v>
      </c>
      <c r="H1640" s="1" t="s">
        <v>3073</v>
      </c>
      <c r="I1640" s="1" t="s">
        <v>3073</v>
      </c>
      <c r="J1640" t="str">
        <f t="shared" si="25"/>
        <v>http://www.badatelna.eu/reprodukce/?fondId=1073&amp;zaznamId=1108958&amp;reproId=3779958</v>
      </c>
      <c r="K1640">
        <f>IF(LEN(TRIM(E1640))=0,"",VLOOKUP(E1640,Sheet2!$B$1:$E$19,2,FALSE))</f>
        <v>1073</v>
      </c>
      <c r="L1640">
        <f>IF(LEN(TRIM(E1640))=0,"",VLOOKUP(E1640,Sheet2!$B$1:$E$19,3,FALSE))</f>
        <v>1108958</v>
      </c>
      <c r="M1640">
        <f>IF(LEN(TRIM(E1640))=0,"",VLOOKUP(E1640,Sheet2!$B$1:$E$19,4,FALSE))+(F1640-1)</f>
        <v>3779958</v>
      </c>
    </row>
    <row r="1641" spans="1:17" s="1" customFormat="1" ht="15" customHeight="1" x14ac:dyDescent="0.25">
      <c r="A1641" s="28" t="s">
        <v>330</v>
      </c>
      <c r="B1641" s="28" t="s">
        <v>331</v>
      </c>
      <c r="C1641" s="6" t="s">
        <v>2126</v>
      </c>
      <c r="D1641" s="1" t="s">
        <v>454</v>
      </c>
      <c r="E1641" s="1">
        <v>2173</v>
      </c>
      <c r="F1641" s="28">
        <v>182</v>
      </c>
      <c r="G1641" s="9">
        <v>10</v>
      </c>
      <c r="H1641" s="1">
        <v>190</v>
      </c>
      <c r="I1641" s="1">
        <v>423</v>
      </c>
      <c r="J1641" t="str">
        <f t="shared" si="25"/>
        <v>http://www.badatelna.eu/reprodukce/?fondId=1073&amp;zaznamId=1108959&amp;reproId=3780175</v>
      </c>
      <c r="K1641">
        <f>IF(LEN(TRIM(E1641))=0,"",VLOOKUP(E1641,Sheet2!$B$1:$E$19,2,FALSE))</f>
        <v>1073</v>
      </c>
      <c r="L1641">
        <f>IF(LEN(TRIM(E1641))=0,"",VLOOKUP(E1641,Sheet2!$B$1:$E$19,3,FALSE))</f>
        <v>1108959</v>
      </c>
      <c r="M1641">
        <f>IF(LEN(TRIM(E1641))=0,"",VLOOKUP(E1641,Sheet2!$B$1:$E$19,4,FALSE))+(F1641-1)</f>
        <v>3780175</v>
      </c>
      <c r="N1641"/>
      <c r="O1641"/>
      <c r="P1641"/>
      <c r="Q1641"/>
    </row>
    <row r="1642" spans="1:17" s="1" customFormat="1" ht="15" customHeight="1" x14ac:dyDescent="0.25">
      <c r="A1642" s="28" t="s">
        <v>330</v>
      </c>
      <c r="B1642" s="28" t="s">
        <v>2896</v>
      </c>
      <c r="C1642" s="6" t="s">
        <v>2126</v>
      </c>
      <c r="D1642" s="1" t="s">
        <v>454</v>
      </c>
      <c r="E1642" s="1">
        <v>2173</v>
      </c>
      <c r="F1642" s="28">
        <v>211</v>
      </c>
      <c r="G1642" s="9" t="s">
        <v>2760</v>
      </c>
      <c r="H1642" s="1" t="s">
        <v>3073</v>
      </c>
      <c r="I1642" s="1" t="s">
        <v>3073</v>
      </c>
      <c r="J1642" t="str">
        <f t="shared" si="25"/>
        <v>http://www.badatelna.eu/reprodukce/?fondId=1073&amp;zaznamId=1108959&amp;reproId=3780204</v>
      </c>
      <c r="K1642">
        <f>IF(LEN(TRIM(E1642))=0,"",VLOOKUP(E1642,Sheet2!$B$1:$E$19,2,FALSE))</f>
        <v>1073</v>
      </c>
      <c r="L1642">
        <f>IF(LEN(TRIM(E1642))=0,"",VLOOKUP(E1642,Sheet2!$B$1:$E$19,3,FALSE))</f>
        <v>1108959</v>
      </c>
      <c r="M1642">
        <f>IF(LEN(TRIM(E1642))=0,"",VLOOKUP(E1642,Sheet2!$B$1:$E$19,4,FALSE))+(F1642-1)</f>
        <v>3780204</v>
      </c>
    </row>
    <row r="1643" spans="1:17" s="1" customFormat="1" ht="15" customHeight="1" x14ac:dyDescent="0.25">
      <c r="A1643" s="29" t="s">
        <v>330</v>
      </c>
      <c r="B1643" s="28" t="s">
        <v>210</v>
      </c>
      <c r="C1643" s="6" t="s">
        <v>2493</v>
      </c>
      <c r="D1643" s="1" t="s">
        <v>454</v>
      </c>
      <c r="E1643" s="1">
        <v>2173</v>
      </c>
      <c r="F1643" s="28">
        <v>205</v>
      </c>
      <c r="G1643" s="17">
        <v>19</v>
      </c>
      <c r="H1643" s="1" t="s">
        <v>3073</v>
      </c>
      <c r="I1643" s="1" t="s">
        <v>3073</v>
      </c>
      <c r="J1643" t="str">
        <f t="shared" si="25"/>
        <v>http://www.badatelna.eu/reprodukce/?fondId=1073&amp;zaznamId=1108959&amp;reproId=3780198</v>
      </c>
      <c r="K1643">
        <f>IF(LEN(TRIM(E1643))=0,"",VLOOKUP(E1643,Sheet2!$B$1:$E$19,2,FALSE))</f>
        <v>1073</v>
      </c>
      <c r="L1643">
        <f>IF(LEN(TRIM(E1643))=0,"",VLOOKUP(E1643,Sheet2!$B$1:$E$19,3,FALSE))</f>
        <v>1108959</v>
      </c>
      <c r="M1643">
        <f>IF(LEN(TRIM(E1643))=0,"",VLOOKUP(E1643,Sheet2!$B$1:$E$19,4,FALSE))+(F1643-1)</f>
        <v>3780198</v>
      </c>
      <c r="N1643"/>
      <c r="O1643"/>
      <c r="P1643"/>
      <c r="Q1643"/>
    </row>
    <row r="1644" spans="1:17" s="1" customFormat="1" ht="15" customHeight="1" x14ac:dyDescent="0.25">
      <c r="A1644" s="28" t="s">
        <v>330</v>
      </c>
      <c r="B1644" s="28" t="s">
        <v>221</v>
      </c>
      <c r="C1644" s="6" t="s">
        <v>2850</v>
      </c>
      <c r="D1644" s="1" t="s">
        <v>454</v>
      </c>
      <c r="E1644" s="1">
        <v>2173</v>
      </c>
      <c r="F1644" s="28">
        <v>209</v>
      </c>
      <c r="G1644" s="9" t="s">
        <v>2758</v>
      </c>
      <c r="H1644" s="1" t="s">
        <v>3073</v>
      </c>
      <c r="I1644" s="1" t="s">
        <v>3073</v>
      </c>
      <c r="J1644" t="str">
        <f t="shared" si="25"/>
        <v>http://www.badatelna.eu/reprodukce/?fondId=1073&amp;zaznamId=1108959&amp;reproId=3780202</v>
      </c>
      <c r="K1644">
        <f>IF(LEN(TRIM(E1644))=0,"",VLOOKUP(E1644,Sheet2!$B$1:$E$19,2,FALSE))</f>
        <v>1073</v>
      </c>
      <c r="L1644">
        <f>IF(LEN(TRIM(E1644))=0,"",VLOOKUP(E1644,Sheet2!$B$1:$E$19,3,FALSE))</f>
        <v>1108959</v>
      </c>
      <c r="M1644">
        <f>IF(LEN(TRIM(E1644))=0,"",VLOOKUP(E1644,Sheet2!$B$1:$E$19,4,FALSE))+(F1644-1)</f>
        <v>3780202</v>
      </c>
    </row>
    <row r="1645" spans="1:17" s="1" customFormat="1" ht="15" customHeight="1" x14ac:dyDescent="0.25">
      <c r="A1645" s="28" t="s">
        <v>330</v>
      </c>
      <c r="B1645" s="28" t="s">
        <v>332</v>
      </c>
      <c r="C1645" s="6" t="s">
        <v>2125</v>
      </c>
      <c r="D1645" s="1" t="s">
        <v>454</v>
      </c>
      <c r="E1645" s="1">
        <v>2173</v>
      </c>
      <c r="F1645" s="28">
        <v>182</v>
      </c>
      <c r="G1645" s="9">
        <v>10</v>
      </c>
      <c r="H1645" s="1">
        <v>190</v>
      </c>
      <c r="I1645" s="1">
        <v>423</v>
      </c>
      <c r="J1645" t="str">
        <f t="shared" si="25"/>
        <v>http://www.badatelna.eu/reprodukce/?fondId=1073&amp;zaznamId=1108959&amp;reproId=3780175</v>
      </c>
      <c r="K1645">
        <f>IF(LEN(TRIM(E1645))=0,"",VLOOKUP(E1645,Sheet2!$B$1:$E$19,2,FALSE))</f>
        <v>1073</v>
      </c>
      <c r="L1645">
        <f>IF(LEN(TRIM(E1645))=0,"",VLOOKUP(E1645,Sheet2!$B$1:$E$19,3,FALSE))</f>
        <v>1108959</v>
      </c>
      <c r="M1645">
        <f>IF(LEN(TRIM(E1645))=0,"",VLOOKUP(E1645,Sheet2!$B$1:$E$19,4,FALSE))+(F1645-1)</f>
        <v>3780175</v>
      </c>
    </row>
    <row r="1646" spans="1:17" s="1" customFormat="1" ht="15" customHeight="1" x14ac:dyDescent="0.25">
      <c r="A1646" s="29" t="s">
        <v>330</v>
      </c>
      <c r="B1646" s="28" t="s">
        <v>179</v>
      </c>
      <c r="C1646" s="6" t="s">
        <v>2425</v>
      </c>
      <c r="D1646" s="1" t="s">
        <v>454</v>
      </c>
      <c r="E1646" s="1">
        <v>2173</v>
      </c>
      <c r="F1646" s="28">
        <v>203</v>
      </c>
      <c r="G1646" s="1">
        <v>15</v>
      </c>
      <c r="H1646" s="1" t="s">
        <v>3073</v>
      </c>
      <c r="I1646" s="1" t="s">
        <v>3073</v>
      </c>
      <c r="J1646" t="str">
        <f t="shared" si="25"/>
        <v>http://www.badatelna.eu/reprodukce/?fondId=1073&amp;zaznamId=1108959&amp;reproId=3780196</v>
      </c>
      <c r="K1646">
        <f>IF(LEN(TRIM(E1646))=0,"",VLOOKUP(E1646,Sheet2!$B$1:$E$19,2,FALSE))</f>
        <v>1073</v>
      </c>
      <c r="L1646">
        <f>IF(LEN(TRIM(E1646))=0,"",VLOOKUP(E1646,Sheet2!$B$1:$E$19,3,FALSE))</f>
        <v>1108959</v>
      </c>
      <c r="M1646">
        <f>IF(LEN(TRIM(E1646))=0,"",VLOOKUP(E1646,Sheet2!$B$1:$E$19,4,FALSE))+(F1646-1)</f>
        <v>3780196</v>
      </c>
    </row>
    <row r="1647" spans="1:17" s="1" customFormat="1" ht="15" customHeight="1" x14ac:dyDescent="0.25">
      <c r="A1647" s="29" t="s">
        <v>330</v>
      </c>
      <c r="B1647" s="28" t="s">
        <v>179</v>
      </c>
      <c r="C1647" s="6" t="s">
        <v>2599</v>
      </c>
      <c r="D1647" s="1" t="s">
        <v>454</v>
      </c>
      <c r="E1647" s="1">
        <v>2173</v>
      </c>
      <c r="F1647" s="28">
        <v>217</v>
      </c>
      <c r="G1647" s="9">
        <v>43</v>
      </c>
      <c r="H1647" s="1" t="s">
        <v>3073</v>
      </c>
      <c r="I1647" s="1" t="s">
        <v>3073</v>
      </c>
      <c r="J1647" t="str">
        <f t="shared" si="25"/>
        <v>http://www.badatelna.eu/reprodukce/?fondId=1073&amp;zaznamId=1108959&amp;reproId=3780210</v>
      </c>
      <c r="K1647">
        <f>IF(LEN(TRIM(E1647))=0,"",VLOOKUP(E1647,Sheet2!$B$1:$E$19,2,FALSE))</f>
        <v>1073</v>
      </c>
      <c r="L1647">
        <f>IF(LEN(TRIM(E1647))=0,"",VLOOKUP(E1647,Sheet2!$B$1:$E$19,3,FALSE))</f>
        <v>1108959</v>
      </c>
      <c r="M1647">
        <f>IF(LEN(TRIM(E1647))=0,"",VLOOKUP(E1647,Sheet2!$B$1:$E$19,4,FALSE))+(F1647-1)</f>
        <v>3780210</v>
      </c>
    </row>
    <row r="1648" spans="1:17" s="1" customFormat="1" ht="15" customHeight="1" x14ac:dyDescent="0.25">
      <c r="A1648" s="29" t="s">
        <v>2805</v>
      </c>
      <c r="B1648" s="28" t="s">
        <v>56</v>
      </c>
      <c r="C1648" s="6" t="s">
        <v>2329</v>
      </c>
      <c r="D1648" s="1" t="s">
        <v>454</v>
      </c>
      <c r="E1648" s="1">
        <v>2173</v>
      </c>
      <c r="F1648" s="31">
        <v>199</v>
      </c>
      <c r="G1648" s="9">
        <v>8</v>
      </c>
      <c r="H1648" s="1" t="s">
        <v>3073</v>
      </c>
      <c r="I1648" s="1" t="s">
        <v>3073</v>
      </c>
      <c r="J1648" t="str">
        <f t="shared" si="25"/>
        <v>http://www.badatelna.eu/reprodukce/?fondId=1073&amp;zaznamId=1108959&amp;reproId=3780192</v>
      </c>
      <c r="K1648">
        <f>IF(LEN(TRIM(E1648))=0,"",VLOOKUP(E1648,Sheet2!$B$1:$E$19,2,FALSE))</f>
        <v>1073</v>
      </c>
      <c r="L1648">
        <f>IF(LEN(TRIM(E1648))=0,"",VLOOKUP(E1648,Sheet2!$B$1:$E$19,3,FALSE))</f>
        <v>1108959</v>
      </c>
      <c r="M1648">
        <f>IF(LEN(TRIM(E1648))=0,"",VLOOKUP(E1648,Sheet2!$B$1:$E$19,4,FALSE))+(F1648-1)</f>
        <v>3780192</v>
      </c>
    </row>
    <row r="1649" spans="1:17" s="1" customFormat="1" ht="15" customHeight="1" x14ac:dyDescent="0.25">
      <c r="A1649" s="29" t="s">
        <v>3105</v>
      </c>
      <c r="B1649" s="28" t="s">
        <v>106</v>
      </c>
      <c r="C1649" s="6" t="s">
        <v>2288</v>
      </c>
      <c r="D1649" s="1" t="s">
        <v>454</v>
      </c>
      <c r="E1649" s="1">
        <v>2173</v>
      </c>
      <c r="F1649" s="28">
        <v>198</v>
      </c>
      <c r="G1649" s="9">
        <v>6</v>
      </c>
      <c r="H1649" s="1" t="s">
        <v>3073</v>
      </c>
      <c r="I1649" s="1" t="s">
        <v>3073</v>
      </c>
      <c r="J1649" t="str">
        <f t="shared" si="25"/>
        <v>http://www.badatelna.eu/reprodukce/?fondId=1073&amp;zaznamId=1108959&amp;reproId=3780191</v>
      </c>
      <c r="K1649">
        <f>IF(LEN(TRIM(E1649))=0,"",VLOOKUP(E1649,Sheet2!$B$1:$E$19,2,FALSE))</f>
        <v>1073</v>
      </c>
      <c r="L1649">
        <f>IF(LEN(TRIM(E1649))=0,"",VLOOKUP(E1649,Sheet2!$B$1:$E$19,3,FALSE))</f>
        <v>1108959</v>
      </c>
      <c r="M1649">
        <f>IF(LEN(TRIM(E1649))=0,"",VLOOKUP(E1649,Sheet2!$B$1:$E$19,4,FALSE))+(F1649-1)</f>
        <v>3780191</v>
      </c>
      <c r="N1649"/>
      <c r="O1649"/>
      <c r="P1649"/>
      <c r="Q1649"/>
    </row>
    <row r="1650" spans="1:17" s="1" customFormat="1" ht="15" customHeight="1" x14ac:dyDescent="0.25">
      <c r="A1650" s="27" t="s">
        <v>576</v>
      </c>
      <c r="B1650" s="27" t="s">
        <v>28</v>
      </c>
      <c r="C1650" s="5" t="s">
        <v>1484</v>
      </c>
      <c r="D1650" s="3" t="s">
        <v>454</v>
      </c>
      <c r="E1650" s="3">
        <v>2171</v>
      </c>
      <c r="F1650" s="28">
        <v>35</v>
      </c>
      <c r="G1650" s="10">
        <v>32</v>
      </c>
      <c r="H1650" s="3">
        <v>46</v>
      </c>
      <c r="I1650" s="3">
        <v>32</v>
      </c>
      <c r="J1650" t="str">
        <f t="shared" si="25"/>
        <v>http://www.badatelna.eu/reprodukce/?fondId=1073&amp;zaznamId=1108957&amp;reproId=3779702</v>
      </c>
      <c r="K1650">
        <f>IF(LEN(TRIM(E1650))=0,"",VLOOKUP(E1650,Sheet2!$B$1:$E$19,2,FALSE))</f>
        <v>1073</v>
      </c>
      <c r="L1650">
        <f>IF(LEN(TRIM(E1650))=0,"",VLOOKUP(E1650,Sheet2!$B$1:$E$19,3,FALSE))</f>
        <v>1108957</v>
      </c>
      <c r="M1650">
        <f>IF(LEN(TRIM(E1650))=0,"",VLOOKUP(E1650,Sheet2!$B$1:$E$19,4,FALSE))+(F1650-1)</f>
        <v>3779702</v>
      </c>
      <c r="N1650"/>
      <c r="O1650"/>
      <c r="P1650"/>
      <c r="Q1650"/>
    </row>
    <row r="1651" spans="1:17" s="1" customFormat="1" ht="15" customHeight="1" x14ac:dyDescent="0.25">
      <c r="A1651" s="28" t="s">
        <v>401</v>
      </c>
      <c r="B1651" s="28" t="s">
        <v>25</v>
      </c>
      <c r="C1651" s="6" t="s">
        <v>2718</v>
      </c>
      <c r="D1651" s="1" t="s">
        <v>454</v>
      </c>
      <c r="E1651" s="1">
        <v>2173</v>
      </c>
      <c r="F1651" s="28">
        <v>225</v>
      </c>
      <c r="G1651" s="9">
        <v>55</v>
      </c>
      <c r="H1651" s="1" t="s">
        <v>3073</v>
      </c>
      <c r="I1651" s="1" t="s">
        <v>3073</v>
      </c>
      <c r="J1651" t="str">
        <f t="shared" si="25"/>
        <v>http://www.badatelna.eu/reprodukce/?fondId=1073&amp;zaznamId=1108959&amp;reproId=3780218</v>
      </c>
      <c r="K1651">
        <f>IF(LEN(TRIM(E1651))=0,"",VLOOKUP(E1651,Sheet2!$B$1:$E$19,2,FALSE))</f>
        <v>1073</v>
      </c>
      <c r="L1651">
        <f>IF(LEN(TRIM(E1651))=0,"",VLOOKUP(E1651,Sheet2!$B$1:$E$19,3,FALSE))</f>
        <v>1108959</v>
      </c>
      <c r="M1651">
        <f>IF(LEN(TRIM(E1651))=0,"",VLOOKUP(E1651,Sheet2!$B$1:$E$19,4,FALSE))+(F1651-1)</f>
        <v>3780218</v>
      </c>
    </row>
    <row r="1652" spans="1:17" s="1" customFormat="1" ht="15" customHeight="1" x14ac:dyDescent="0.25">
      <c r="A1652" s="28" t="s">
        <v>401</v>
      </c>
      <c r="B1652" s="28" t="s">
        <v>82</v>
      </c>
      <c r="C1652" s="6" t="s">
        <v>2618</v>
      </c>
      <c r="D1652" s="1" t="s">
        <v>454</v>
      </c>
      <c r="E1652" s="1">
        <v>2173</v>
      </c>
      <c r="F1652" s="28">
        <v>219</v>
      </c>
      <c r="G1652" s="9">
        <v>46</v>
      </c>
      <c r="H1652" s="1" t="s">
        <v>3073</v>
      </c>
      <c r="I1652" s="1" t="s">
        <v>3073</v>
      </c>
      <c r="J1652" t="str">
        <f t="shared" si="25"/>
        <v>http://www.badatelna.eu/reprodukce/?fondId=1073&amp;zaznamId=1108959&amp;reproId=3780212</v>
      </c>
      <c r="K1652">
        <f>IF(LEN(TRIM(E1652))=0,"",VLOOKUP(E1652,Sheet2!$B$1:$E$19,2,FALSE))</f>
        <v>1073</v>
      </c>
      <c r="L1652">
        <f>IF(LEN(TRIM(E1652))=0,"",VLOOKUP(E1652,Sheet2!$B$1:$E$19,3,FALSE))</f>
        <v>1108959</v>
      </c>
      <c r="M1652">
        <f>IF(LEN(TRIM(E1652))=0,"",VLOOKUP(E1652,Sheet2!$B$1:$E$19,4,FALSE))+(F1652-1)</f>
        <v>3780212</v>
      </c>
    </row>
    <row r="1653" spans="1:17" s="1" customFormat="1" ht="15" customHeight="1" x14ac:dyDescent="0.25">
      <c r="A1653" s="28" t="s">
        <v>157</v>
      </c>
      <c r="B1653" s="28" t="s">
        <v>40</v>
      </c>
      <c r="C1653" s="6" t="s">
        <v>2406</v>
      </c>
      <c r="D1653" s="1" t="s">
        <v>454</v>
      </c>
      <c r="E1653" s="1">
        <v>2173</v>
      </c>
      <c r="F1653" s="28">
        <v>202</v>
      </c>
      <c r="G1653" s="9">
        <v>13</v>
      </c>
      <c r="H1653" s="1" t="s">
        <v>3073</v>
      </c>
      <c r="I1653" s="1" t="s">
        <v>3073</v>
      </c>
      <c r="J1653" t="str">
        <f t="shared" si="25"/>
        <v>http://www.badatelna.eu/reprodukce/?fondId=1073&amp;zaznamId=1108959&amp;reproId=3780195</v>
      </c>
      <c r="K1653">
        <f>IF(LEN(TRIM(E1653))=0,"",VLOOKUP(E1653,Sheet2!$B$1:$E$19,2,FALSE))</f>
        <v>1073</v>
      </c>
      <c r="L1653">
        <f>IF(LEN(TRIM(E1653))=0,"",VLOOKUP(E1653,Sheet2!$B$1:$E$19,3,FALSE))</f>
        <v>1108959</v>
      </c>
      <c r="M1653">
        <f>IF(LEN(TRIM(E1653))=0,"",VLOOKUP(E1653,Sheet2!$B$1:$E$19,4,FALSE))+(F1653-1)</f>
        <v>3780195</v>
      </c>
    </row>
    <row r="1654" spans="1:17" s="1" customFormat="1" ht="15" customHeight="1" x14ac:dyDescent="0.25">
      <c r="A1654" s="28" t="s">
        <v>157</v>
      </c>
      <c r="B1654" s="28" t="s">
        <v>49</v>
      </c>
      <c r="C1654" s="6" t="s">
        <v>2127</v>
      </c>
      <c r="D1654" s="1" t="s">
        <v>454</v>
      </c>
      <c r="E1654" s="1">
        <v>2173</v>
      </c>
      <c r="F1654" s="28">
        <v>209</v>
      </c>
      <c r="G1654" s="9" t="s">
        <v>2758</v>
      </c>
      <c r="H1654" s="1" t="s">
        <v>3073</v>
      </c>
      <c r="I1654" s="1" t="s">
        <v>3073</v>
      </c>
      <c r="J1654" t="str">
        <f t="shared" si="25"/>
        <v>http://www.badatelna.eu/reprodukce/?fondId=1073&amp;zaznamId=1108959&amp;reproId=3780202</v>
      </c>
      <c r="K1654">
        <f>IF(LEN(TRIM(E1654))=0,"",VLOOKUP(E1654,Sheet2!$B$1:$E$19,2,FALSE))</f>
        <v>1073</v>
      </c>
      <c r="L1654">
        <f>IF(LEN(TRIM(E1654))=0,"",VLOOKUP(E1654,Sheet2!$B$1:$E$19,3,FALSE))</f>
        <v>1108959</v>
      </c>
      <c r="M1654">
        <f>IF(LEN(TRIM(E1654))=0,"",VLOOKUP(E1654,Sheet2!$B$1:$E$19,4,FALSE))+(F1654-1)</f>
        <v>3780202</v>
      </c>
      <c r="N1654"/>
      <c r="O1654"/>
      <c r="P1654"/>
      <c r="Q1654"/>
    </row>
    <row r="1655" spans="1:17" s="1" customFormat="1" ht="15" customHeight="1" x14ac:dyDescent="0.25">
      <c r="A1655" s="28" t="s">
        <v>51</v>
      </c>
      <c r="B1655" s="28" t="s">
        <v>335</v>
      </c>
      <c r="C1655" s="1">
        <v>1889</v>
      </c>
      <c r="D1655" s="1" t="s">
        <v>454</v>
      </c>
      <c r="E1655" s="1">
        <v>2172</v>
      </c>
      <c r="F1655" s="28">
        <v>68</v>
      </c>
      <c r="G1655" s="9" t="s">
        <v>3083</v>
      </c>
      <c r="H1655" s="1">
        <v>70</v>
      </c>
      <c r="I1655" s="1">
        <v>69</v>
      </c>
      <c r="J1655" t="str">
        <f t="shared" si="25"/>
        <v>http://www.badatelna.eu/reprodukce/?fondId=1073&amp;zaznamId=1108958&amp;reproId=3779809</v>
      </c>
      <c r="K1655">
        <f>IF(LEN(TRIM(E1655))=0,"",VLOOKUP(E1655,Sheet2!$B$1:$E$19,2,FALSE))</f>
        <v>1073</v>
      </c>
      <c r="L1655">
        <f>IF(LEN(TRIM(E1655))=0,"",VLOOKUP(E1655,Sheet2!$B$1:$E$19,3,FALSE))</f>
        <v>1108958</v>
      </c>
      <c r="M1655">
        <f>IF(LEN(TRIM(E1655))=0,"",VLOOKUP(E1655,Sheet2!$B$1:$E$19,4,FALSE))+(F1655-1)</f>
        <v>3779809</v>
      </c>
      <c r="N1655"/>
      <c r="O1655"/>
      <c r="P1655"/>
      <c r="Q1655"/>
    </row>
    <row r="1656" spans="1:17" s="1" customFormat="1" ht="15" customHeight="1" x14ac:dyDescent="0.25">
      <c r="A1656" s="28" t="s">
        <v>51</v>
      </c>
      <c r="B1656" s="28" t="s">
        <v>594</v>
      </c>
      <c r="C1656" s="6" t="s">
        <v>1662</v>
      </c>
      <c r="D1656" s="1" t="s">
        <v>454</v>
      </c>
      <c r="E1656" s="1">
        <v>2172</v>
      </c>
      <c r="F1656" s="28">
        <v>102</v>
      </c>
      <c r="G1656" s="9">
        <v>101</v>
      </c>
      <c r="H1656" s="1">
        <v>103</v>
      </c>
      <c r="I1656" s="1">
        <v>102</v>
      </c>
      <c r="J1656" t="str">
        <f t="shared" si="25"/>
        <v>http://www.badatelna.eu/reprodukce/?fondId=1073&amp;zaznamId=1108958&amp;reproId=3779843</v>
      </c>
      <c r="K1656">
        <f>IF(LEN(TRIM(E1656))=0,"",VLOOKUP(E1656,Sheet2!$B$1:$E$19,2,FALSE))</f>
        <v>1073</v>
      </c>
      <c r="L1656">
        <f>IF(LEN(TRIM(E1656))=0,"",VLOOKUP(E1656,Sheet2!$B$1:$E$19,3,FALSE))</f>
        <v>1108958</v>
      </c>
      <c r="M1656">
        <f>IF(LEN(TRIM(E1656))=0,"",VLOOKUP(E1656,Sheet2!$B$1:$E$19,4,FALSE))+(F1656-1)</f>
        <v>3779843</v>
      </c>
    </row>
    <row r="1657" spans="1:17" s="1" customFormat="1" ht="15" customHeight="1" x14ac:dyDescent="0.25">
      <c r="A1657" s="28" t="s">
        <v>51</v>
      </c>
      <c r="B1657" s="28" t="s">
        <v>865</v>
      </c>
      <c r="C1657" s="6" t="s">
        <v>1783</v>
      </c>
      <c r="D1657" s="1" t="s">
        <v>454</v>
      </c>
      <c r="E1657" s="1">
        <v>2172</v>
      </c>
      <c r="F1657" s="28">
        <v>153</v>
      </c>
      <c r="G1657" s="9">
        <v>148</v>
      </c>
      <c r="H1657" s="1">
        <v>154</v>
      </c>
      <c r="I1657" s="1">
        <v>149</v>
      </c>
      <c r="J1657" t="str">
        <f t="shared" si="25"/>
        <v>http://www.badatelna.eu/reprodukce/?fondId=1073&amp;zaznamId=1108958&amp;reproId=3779894</v>
      </c>
      <c r="K1657">
        <f>IF(LEN(TRIM(E1657))=0,"",VLOOKUP(E1657,Sheet2!$B$1:$E$19,2,FALSE))</f>
        <v>1073</v>
      </c>
      <c r="L1657">
        <f>IF(LEN(TRIM(E1657))=0,"",VLOOKUP(E1657,Sheet2!$B$1:$E$19,3,FALSE))</f>
        <v>1108958</v>
      </c>
      <c r="M1657">
        <f>IF(LEN(TRIM(E1657))=0,"",VLOOKUP(E1657,Sheet2!$B$1:$E$19,4,FALSE))+(F1657-1)</f>
        <v>3779894</v>
      </c>
      <c r="N1657"/>
      <c r="O1657"/>
      <c r="P1657"/>
      <c r="Q1657"/>
    </row>
    <row r="1658" spans="1:17" s="1" customFormat="1" ht="15" customHeight="1" x14ac:dyDescent="0.25">
      <c r="A1658" s="28" t="s">
        <v>51</v>
      </c>
      <c r="B1658" s="28" t="s">
        <v>899</v>
      </c>
      <c r="C1658" s="1">
        <v>1885</v>
      </c>
      <c r="D1658" s="1" t="s">
        <v>454</v>
      </c>
      <c r="E1658" s="1">
        <v>2172</v>
      </c>
      <c r="F1658" s="28">
        <v>48</v>
      </c>
      <c r="G1658" s="9">
        <v>47</v>
      </c>
      <c r="H1658" s="1">
        <v>48</v>
      </c>
      <c r="I1658" s="1">
        <v>49</v>
      </c>
      <c r="J1658" t="str">
        <f t="shared" si="25"/>
        <v>http://www.badatelna.eu/reprodukce/?fondId=1073&amp;zaznamId=1108958&amp;reproId=3779789</v>
      </c>
      <c r="K1658">
        <f>IF(LEN(TRIM(E1658))=0,"",VLOOKUP(E1658,Sheet2!$B$1:$E$19,2,FALSE))</f>
        <v>1073</v>
      </c>
      <c r="L1658">
        <f>IF(LEN(TRIM(E1658))=0,"",VLOOKUP(E1658,Sheet2!$B$1:$E$19,3,FALSE))</f>
        <v>1108958</v>
      </c>
      <c r="M1658">
        <f>IF(LEN(TRIM(E1658))=0,"",VLOOKUP(E1658,Sheet2!$B$1:$E$19,4,FALSE))+(F1658-1)</f>
        <v>3779789</v>
      </c>
      <c r="N1658"/>
      <c r="O1658"/>
      <c r="P1658"/>
      <c r="Q1658"/>
    </row>
    <row r="1659" spans="1:17" s="1" customFormat="1" ht="15" customHeight="1" x14ac:dyDescent="0.25">
      <c r="A1659" s="28" t="s">
        <v>51</v>
      </c>
      <c r="B1659" s="28" t="s">
        <v>2926</v>
      </c>
      <c r="C1659" s="1">
        <v>1849</v>
      </c>
      <c r="D1659" s="1" t="s">
        <v>2919</v>
      </c>
      <c r="E1659" s="1">
        <v>998</v>
      </c>
      <c r="F1659" s="28">
        <v>21</v>
      </c>
      <c r="G1659" s="1">
        <v>19</v>
      </c>
      <c r="H1659" s="1">
        <v>75</v>
      </c>
      <c r="I1659" s="1">
        <v>72</v>
      </c>
      <c r="J1659" t="str">
        <f t="shared" si="25"/>
        <v>http://www.badatelna.eu/reprodukce/?fondId=241&amp;zaznamId=1133738&amp;reproId=3885667</v>
      </c>
      <c r="K1659">
        <f>IF(LEN(TRIM(E1659))=0,"",VLOOKUP(E1659,Sheet2!$B$1:$E$19,2,FALSE))</f>
        <v>241</v>
      </c>
      <c r="L1659">
        <f>IF(LEN(TRIM(E1659))=0,"",VLOOKUP(E1659,Sheet2!$B$1:$E$19,3,FALSE))</f>
        <v>1133738</v>
      </c>
      <c r="M1659">
        <f>IF(LEN(TRIM(E1659))=0,"",VLOOKUP(E1659,Sheet2!$B$1:$E$19,4,FALSE))+(F1659-1)</f>
        <v>3885667</v>
      </c>
      <c r="N1659"/>
      <c r="O1659"/>
      <c r="P1659"/>
      <c r="Q1659"/>
    </row>
    <row r="1660" spans="1:17" s="1" customFormat="1" ht="15" customHeight="1" x14ac:dyDescent="0.25">
      <c r="A1660" s="28" t="s">
        <v>51</v>
      </c>
      <c r="B1660" s="28" t="s">
        <v>84</v>
      </c>
      <c r="C1660" s="6" t="s">
        <v>1806</v>
      </c>
      <c r="D1660" s="1" t="s">
        <v>454</v>
      </c>
      <c r="E1660" s="1">
        <v>2172</v>
      </c>
      <c r="F1660" s="28">
        <v>163</v>
      </c>
      <c r="G1660" s="9">
        <v>157</v>
      </c>
      <c r="H1660" s="1">
        <v>164</v>
      </c>
      <c r="I1660" s="1">
        <v>158</v>
      </c>
      <c r="J1660" t="str">
        <f t="shared" si="25"/>
        <v>http://www.badatelna.eu/reprodukce/?fondId=1073&amp;zaznamId=1108958&amp;reproId=3779904</v>
      </c>
      <c r="K1660">
        <f>IF(LEN(TRIM(E1660))=0,"",VLOOKUP(E1660,Sheet2!$B$1:$E$19,2,FALSE))</f>
        <v>1073</v>
      </c>
      <c r="L1660">
        <f>IF(LEN(TRIM(E1660))=0,"",VLOOKUP(E1660,Sheet2!$B$1:$E$19,3,FALSE))</f>
        <v>1108958</v>
      </c>
      <c r="M1660">
        <f>IF(LEN(TRIM(E1660))=0,"",VLOOKUP(E1660,Sheet2!$B$1:$E$19,4,FALSE))+(F1660-1)</f>
        <v>3779904</v>
      </c>
    </row>
    <row r="1661" spans="1:17" s="1" customFormat="1" ht="15" customHeight="1" x14ac:dyDescent="0.25">
      <c r="A1661" s="28" t="s">
        <v>51</v>
      </c>
      <c r="B1661" s="28" t="s">
        <v>80</v>
      </c>
      <c r="C1661" s="6" t="s">
        <v>2518</v>
      </c>
      <c r="D1661" s="1" t="s">
        <v>454</v>
      </c>
      <c r="E1661" s="1">
        <v>2173</v>
      </c>
      <c r="F1661" s="28">
        <v>206</v>
      </c>
      <c r="G1661" s="1">
        <v>21</v>
      </c>
      <c r="H1661" s="1" t="s">
        <v>3073</v>
      </c>
      <c r="I1661" s="1" t="s">
        <v>3073</v>
      </c>
      <c r="J1661" t="str">
        <f t="shared" si="25"/>
        <v>http://www.badatelna.eu/reprodukce/?fondId=1073&amp;zaznamId=1108959&amp;reproId=3780199</v>
      </c>
      <c r="K1661">
        <f>IF(LEN(TRIM(E1661))=0,"",VLOOKUP(E1661,Sheet2!$B$1:$E$19,2,FALSE))</f>
        <v>1073</v>
      </c>
      <c r="L1661">
        <f>IF(LEN(TRIM(E1661))=0,"",VLOOKUP(E1661,Sheet2!$B$1:$E$19,3,FALSE))</f>
        <v>1108959</v>
      </c>
      <c r="M1661">
        <f>IF(LEN(TRIM(E1661))=0,"",VLOOKUP(E1661,Sheet2!$B$1:$E$19,4,FALSE))+(F1661-1)</f>
        <v>3780199</v>
      </c>
    </row>
    <row r="1662" spans="1:17" s="1" customFormat="1" ht="15" customHeight="1" x14ac:dyDescent="0.25">
      <c r="A1662" s="28" t="s">
        <v>51</v>
      </c>
      <c r="B1662" s="28" t="s">
        <v>25</v>
      </c>
      <c r="C1662" s="1">
        <v>1849</v>
      </c>
      <c r="D1662" s="1" t="s">
        <v>2919</v>
      </c>
      <c r="E1662" s="1">
        <v>998</v>
      </c>
      <c r="F1662" s="28">
        <v>27</v>
      </c>
      <c r="G1662" s="1">
        <v>25</v>
      </c>
      <c r="H1662" s="1">
        <v>75</v>
      </c>
      <c r="I1662" s="1">
        <v>72</v>
      </c>
      <c r="J1662" t="str">
        <f t="shared" si="25"/>
        <v>http://www.badatelna.eu/reprodukce/?fondId=241&amp;zaznamId=1133738&amp;reproId=3885673</v>
      </c>
      <c r="K1662">
        <f>IF(LEN(TRIM(E1662))=0,"",VLOOKUP(E1662,Sheet2!$B$1:$E$19,2,FALSE))</f>
        <v>241</v>
      </c>
      <c r="L1662">
        <f>IF(LEN(TRIM(E1662))=0,"",VLOOKUP(E1662,Sheet2!$B$1:$E$19,3,FALSE))</f>
        <v>1133738</v>
      </c>
      <c r="M1662">
        <f>IF(LEN(TRIM(E1662))=0,"",VLOOKUP(E1662,Sheet2!$B$1:$E$19,4,FALSE))+(F1662-1)</f>
        <v>3885673</v>
      </c>
    </row>
    <row r="1663" spans="1:17" s="1" customFormat="1" ht="15" customHeight="1" x14ac:dyDescent="0.25">
      <c r="A1663" s="28" t="s">
        <v>51</v>
      </c>
      <c r="B1663" s="28" t="s">
        <v>25</v>
      </c>
      <c r="C1663" s="6" t="s">
        <v>1663</v>
      </c>
      <c r="D1663" s="1" t="s">
        <v>454</v>
      </c>
      <c r="E1663" s="1">
        <v>2172</v>
      </c>
      <c r="F1663" s="28">
        <v>102</v>
      </c>
      <c r="G1663" s="9">
        <v>101</v>
      </c>
      <c r="H1663" s="1">
        <v>103</v>
      </c>
      <c r="I1663" s="1">
        <v>102</v>
      </c>
      <c r="J1663" t="str">
        <f t="shared" si="25"/>
        <v>http://www.badatelna.eu/reprodukce/?fondId=1073&amp;zaznamId=1108958&amp;reproId=3779843</v>
      </c>
      <c r="K1663">
        <f>IF(LEN(TRIM(E1663))=0,"",VLOOKUP(E1663,Sheet2!$B$1:$E$19,2,FALSE))</f>
        <v>1073</v>
      </c>
      <c r="L1663">
        <f>IF(LEN(TRIM(E1663))=0,"",VLOOKUP(E1663,Sheet2!$B$1:$E$19,3,FALSE))</f>
        <v>1108958</v>
      </c>
      <c r="M1663">
        <f>IF(LEN(TRIM(E1663))=0,"",VLOOKUP(E1663,Sheet2!$B$1:$E$19,4,FALSE))+(F1663-1)</f>
        <v>3779843</v>
      </c>
    </row>
    <row r="1664" spans="1:17" s="1" customFormat="1" ht="15" customHeight="1" x14ac:dyDescent="0.25">
      <c r="A1664" s="31" t="s">
        <v>51</v>
      </c>
      <c r="B1664" s="31" t="s">
        <v>49</v>
      </c>
      <c r="C1664" s="7" t="s">
        <v>2224</v>
      </c>
      <c r="D1664" s="1" t="s">
        <v>454</v>
      </c>
      <c r="E1664" s="1">
        <v>2173</v>
      </c>
      <c r="F1664" s="28">
        <v>196</v>
      </c>
      <c r="G1664" s="9">
        <v>2</v>
      </c>
      <c r="H1664" s="1" t="s">
        <v>3073</v>
      </c>
      <c r="I1664" s="1" t="s">
        <v>3073</v>
      </c>
      <c r="J1664" t="str">
        <f t="shared" si="25"/>
        <v>http://www.badatelna.eu/reprodukce/?fondId=1073&amp;zaznamId=1108959&amp;reproId=3780189</v>
      </c>
      <c r="K1664">
        <f>IF(LEN(TRIM(E1664))=0,"",VLOOKUP(E1664,Sheet2!$B$1:$E$19,2,FALSE))</f>
        <v>1073</v>
      </c>
      <c r="L1664">
        <f>IF(LEN(TRIM(E1664))=0,"",VLOOKUP(E1664,Sheet2!$B$1:$E$19,3,FALSE))</f>
        <v>1108959</v>
      </c>
      <c r="M1664">
        <f>IF(LEN(TRIM(E1664))=0,"",VLOOKUP(E1664,Sheet2!$B$1:$E$19,4,FALSE))+(F1664-1)</f>
        <v>3780189</v>
      </c>
    </row>
    <row r="1665" spans="1:17" s="1" customFormat="1" ht="15" customHeight="1" x14ac:dyDescent="0.25">
      <c r="A1665" s="28" t="s">
        <v>51</v>
      </c>
      <c r="B1665" s="28" t="s">
        <v>49</v>
      </c>
      <c r="C1665" s="6" t="s">
        <v>2127</v>
      </c>
      <c r="D1665" s="1" t="s">
        <v>454</v>
      </c>
      <c r="E1665" s="1">
        <v>2173</v>
      </c>
      <c r="F1665" s="28">
        <v>179</v>
      </c>
      <c r="G1665" s="9">
        <v>4</v>
      </c>
      <c r="H1665" s="1">
        <v>190</v>
      </c>
      <c r="I1665" s="1">
        <v>423</v>
      </c>
      <c r="J1665" t="str">
        <f t="shared" si="25"/>
        <v>http://www.badatelna.eu/reprodukce/?fondId=1073&amp;zaznamId=1108959&amp;reproId=3780172</v>
      </c>
      <c r="K1665">
        <f>IF(LEN(TRIM(E1665))=0,"",VLOOKUP(E1665,Sheet2!$B$1:$E$19,2,FALSE))</f>
        <v>1073</v>
      </c>
      <c r="L1665">
        <f>IF(LEN(TRIM(E1665))=0,"",VLOOKUP(E1665,Sheet2!$B$1:$E$19,3,FALSE))</f>
        <v>1108959</v>
      </c>
      <c r="M1665">
        <f>IF(LEN(TRIM(E1665))=0,"",VLOOKUP(E1665,Sheet2!$B$1:$E$19,4,FALSE))+(F1665-1)</f>
        <v>3780172</v>
      </c>
    </row>
    <row r="1666" spans="1:17" s="1" customFormat="1" ht="15" customHeight="1" x14ac:dyDescent="0.25">
      <c r="A1666" s="28" t="s">
        <v>51</v>
      </c>
      <c r="B1666" s="28" t="s">
        <v>511</v>
      </c>
      <c r="C1666" s="1">
        <v>1886</v>
      </c>
      <c r="D1666" s="1" t="s">
        <v>454</v>
      </c>
      <c r="E1666" s="1">
        <v>2172</v>
      </c>
      <c r="F1666" s="28">
        <v>51</v>
      </c>
      <c r="G1666" s="9">
        <v>52</v>
      </c>
      <c r="H1666" s="1">
        <v>54</v>
      </c>
      <c r="I1666" s="1">
        <v>55</v>
      </c>
      <c r="J1666" t="str">
        <f t="shared" si="25"/>
        <v>http://www.badatelna.eu/reprodukce/?fondId=1073&amp;zaznamId=1108958&amp;reproId=3779792</v>
      </c>
      <c r="K1666">
        <f>IF(LEN(TRIM(E1666))=0,"",VLOOKUP(E1666,Sheet2!$B$1:$E$19,2,FALSE))</f>
        <v>1073</v>
      </c>
      <c r="L1666">
        <f>IF(LEN(TRIM(E1666))=0,"",VLOOKUP(E1666,Sheet2!$B$1:$E$19,3,FALSE))</f>
        <v>1108958</v>
      </c>
      <c r="M1666">
        <f>IF(LEN(TRIM(E1666))=0,"",VLOOKUP(E1666,Sheet2!$B$1:$E$19,4,FALSE))+(F1666-1)</f>
        <v>3779792</v>
      </c>
    </row>
    <row r="1667" spans="1:17" s="1" customFormat="1" ht="15" customHeight="1" x14ac:dyDescent="0.25">
      <c r="A1667" s="28" t="s">
        <v>51</v>
      </c>
      <c r="B1667" s="28" t="s">
        <v>699</v>
      </c>
      <c r="C1667" s="6" t="s">
        <v>1768</v>
      </c>
      <c r="D1667" s="1" t="s">
        <v>454</v>
      </c>
      <c r="E1667" s="1">
        <v>2172</v>
      </c>
      <c r="F1667" s="28">
        <v>142</v>
      </c>
      <c r="G1667" s="9">
        <v>139</v>
      </c>
      <c r="H1667" s="1">
        <v>145</v>
      </c>
      <c r="I1667" s="1">
        <v>142</v>
      </c>
      <c r="J1667" t="str">
        <f t="shared" ref="J1667:J1730" si="26">IF(LEN(TRIM(E1667))=0,"","http://www.badatelna.eu/reprodukce/?fondId="&amp;K1667&amp;"&amp;zaznamId="&amp;L1667&amp;"&amp;reproId="&amp;M1667)</f>
        <v>http://www.badatelna.eu/reprodukce/?fondId=1073&amp;zaznamId=1108958&amp;reproId=3779883</v>
      </c>
      <c r="K1667">
        <f>IF(LEN(TRIM(E1667))=0,"",VLOOKUP(E1667,Sheet2!$B$1:$E$19,2,FALSE))</f>
        <v>1073</v>
      </c>
      <c r="L1667">
        <f>IF(LEN(TRIM(E1667))=0,"",VLOOKUP(E1667,Sheet2!$B$1:$E$19,3,FALSE))</f>
        <v>1108958</v>
      </c>
      <c r="M1667">
        <f>IF(LEN(TRIM(E1667))=0,"",VLOOKUP(E1667,Sheet2!$B$1:$E$19,4,FALSE))+(F1667-1)</f>
        <v>3779883</v>
      </c>
    </row>
    <row r="1668" spans="1:17" s="1" customFormat="1" ht="15" customHeight="1" x14ac:dyDescent="0.25">
      <c r="A1668" s="28" t="s">
        <v>51</v>
      </c>
      <c r="B1668" s="28" t="s">
        <v>28</v>
      </c>
      <c r="C1668" s="15">
        <v>1949</v>
      </c>
      <c r="D1668" s="1" t="s">
        <v>454</v>
      </c>
      <c r="E1668" s="1">
        <v>2172</v>
      </c>
      <c r="F1668" s="28">
        <v>163</v>
      </c>
      <c r="G1668" s="9">
        <v>157</v>
      </c>
      <c r="H1668" s="1">
        <v>164</v>
      </c>
      <c r="I1668" s="1">
        <v>158</v>
      </c>
      <c r="J1668" t="str">
        <f t="shared" si="26"/>
        <v>http://www.badatelna.eu/reprodukce/?fondId=1073&amp;zaznamId=1108958&amp;reproId=3779904</v>
      </c>
      <c r="K1668">
        <f>IF(LEN(TRIM(E1668))=0,"",VLOOKUP(E1668,Sheet2!$B$1:$E$19,2,FALSE))</f>
        <v>1073</v>
      </c>
      <c r="L1668">
        <f>IF(LEN(TRIM(E1668))=0,"",VLOOKUP(E1668,Sheet2!$B$1:$E$19,3,FALSE))</f>
        <v>1108958</v>
      </c>
      <c r="M1668">
        <f>IF(LEN(TRIM(E1668))=0,"",VLOOKUP(E1668,Sheet2!$B$1:$E$19,4,FALSE))+(F1668-1)</f>
        <v>3779904</v>
      </c>
      <c r="N1668"/>
      <c r="O1668"/>
      <c r="P1668"/>
      <c r="Q1668"/>
    </row>
    <row r="1669" spans="1:17" s="1" customFormat="1" ht="15" customHeight="1" x14ac:dyDescent="0.25">
      <c r="A1669" s="28" t="s">
        <v>51</v>
      </c>
      <c r="B1669" s="28" t="s">
        <v>483</v>
      </c>
      <c r="C1669" s="6" t="s">
        <v>1596</v>
      </c>
      <c r="D1669" s="1" t="s">
        <v>454</v>
      </c>
      <c r="E1669" s="1">
        <v>2172</v>
      </c>
      <c r="F1669" s="28">
        <v>65</v>
      </c>
      <c r="G1669" s="9">
        <v>64</v>
      </c>
      <c r="H1669" s="1" t="s">
        <v>3073</v>
      </c>
      <c r="I1669" s="1" t="s">
        <v>3073</v>
      </c>
      <c r="J1669" t="str">
        <f t="shared" si="26"/>
        <v>http://www.badatelna.eu/reprodukce/?fondId=1073&amp;zaznamId=1108958&amp;reproId=3779806</v>
      </c>
      <c r="K1669">
        <f>IF(LEN(TRIM(E1669))=0,"",VLOOKUP(E1669,Sheet2!$B$1:$E$19,2,FALSE))</f>
        <v>1073</v>
      </c>
      <c r="L1669">
        <f>IF(LEN(TRIM(E1669))=0,"",VLOOKUP(E1669,Sheet2!$B$1:$E$19,3,FALSE))</f>
        <v>1108958</v>
      </c>
      <c r="M1669">
        <f>IF(LEN(TRIM(E1669))=0,"",VLOOKUP(E1669,Sheet2!$B$1:$E$19,4,FALSE))+(F1669-1)</f>
        <v>3779806</v>
      </c>
      <c r="N1669"/>
      <c r="O1669"/>
      <c r="P1669"/>
      <c r="Q1669"/>
    </row>
    <row r="1670" spans="1:17" s="1" customFormat="1" ht="15" customHeight="1" x14ac:dyDescent="0.25">
      <c r="A1670" s="28" t="s">
        <v>51</v>
      </c>
      <c r="B1670" s="28" t="s">
        <v>632</v>
      </c>
      <c r="C1670" s="1">
        <v>1886</v>
      </c>
      <c r="D1670" s="1" t="s">
        <v>454</v>
      </c>
      <c r="E1670" s="1">
        <v>2172</v>
      </c>
      <c r="F1670" s="28">
        <v>51</v>
      </c>
      <c r="G1670" s="9">
        <v>52</v>
      </c>
      <c r="H1670" s="1">
        <v>54</v>
      </c>
      <c r="I1670" s="1">
        <v>55</v>
      </c>
      <c r="J1670" t="str">
        <f t="shared" si="26"/>
        <v>http://www.badatelna.eu/reprodukce/?fondId=1073&amp;zaznamId=1108958&amp;reproId=3779792</v>
      </c>
      <c r="K1670">
        <f>IF(LEN(TRIM(E1670))=0,"",VLOOKUP(E1670,Sheet2!$B$1:$E$19,2,FALSE))</f>
        <v>1073</v>
      </c>
      <c r="L1670">
        <f>IF(LEN(TRIM(E1670))=0,"",VLOOKUP(E1670,Sheet2!$B$1:$E$19,3,FALSE))</f>
        <v>1108958</v>
      </c>
      <c r="M1670">
        <f>IF(LEN(TRIM(E1670))=0,"",VLOOKUP(E1670,Sheet2!$B$1:$E$19,4,FALSE))+(F1670-1)</f>
        <v>3779792</v>
      </c>
      <c r="N1670"/>
      <c r="O1670"/>
      <c r="P1670"/>
      <c r="Q1670"/>
    </row>
    <row r="1671" spans="1:17" s="1" customFormat="1" ht="15" customHeight="1" x14ac:dyDescent="0.25">
      <c r="A1671" s="28" t="s">
        <v>51</v>
      </c>
      <c r="B1671" s="28" t="s">
        <v>597</v>
      </c>
      <c r="C1671" s="1">
        <v>1851</v>
      </c>
      <c r="D1671" s="1" t="s">
        <v>2919</v>
      </c>
      <c r="E1671" s="1">
        <v>998</v>
      </c>
      <c r="F1671" s="28">
        <v>33</v>
      </c>
      <c r="G1671" s="1">
        <v>31</v>
      </c>
      <c r="H1671" s="1">
        <v>75</v>
      </c>
      <c r="I1671" s="1">
        <v>72</v>
      </c>
      <c r="J1671" t="str">
        <f t="shared" si="26"/>
        <v>http://www.badatelna.eu/reprodukce/?fondId=241&amp;zaznamId=1133738&amp;reproId=3885679</v>
      </c>
      <c r="K1671">
        <f>IF(LEN(TRIM(E1671))=0,"",VLOOKUP(E1671,Sheet2!$B$1:$E$19,2,FALSE))</f>
        <v>241</v>
      </c>
      <c r="L1671">
        <f>IF(LEN(TRIM(E1671))=0,"",VLOOKUP(E1671,Sheet2!$B$1:$E$19,3,FALSE))</f>
        <v>1133738</v>
      </c>
      <c r="M1671">
        <f>IF(LEN(TRIM(E1671))=0,"",VLOOKUP(E1671,Sheet2!$B$1:$E$19,4,FALSE))+(F1671-1)</f>
        <v>3885679</v>
      </c>
      <c r="N1671"/>
      <c r="O1671"/>
      <c r="P1671"/>
      <c r="Q1671"/>
    </row>
    <row r="1672" spans="1:17" s="1" customFormat="1" ht="15" customHeight="1" x14ac:dyDescent="0.25">
      <c r="A1672" s="28" t="s">
        <v>51</v>
      </c>
      <c r="B1672" s="28" t="s">
        <v>591</v>
      </c>
      <c r="C1672" s="6" t="s">
        <v>1767</v>
      </c>
      <c r="D1672" s="1" t="s">
        <v>454</v>
      </c>
      <c r="E1672" s="1">
        <v>2172</v>
      </c>
      <c r="F1672" s="28">
        <v>142</v>
      </c>
      <c r="G1672" s="9">
        <v>139</v>
      </c>
      <c r="H1672" s="1">
        <v>145</v>
      </c>
      <c r="I1672" s="1">
        <v>142</v>
      </c>
      <c r="J1672" t="str">
        <f t="shared" si="26"/>
        <v>http://www.badatelna.eu/reprodukce/?fondId=1073&amp;zaznamId=1108958&amp;reproId=3779883</v>
      </c>
      <c r="K1672">
        <f>IF(LEN(TRIM(E1672))=0,"",VLOOKUP(E1672,Sheet2!$B$1:$E$19,2,FALSE))</f>
        <v>1073</v>
      </c>
      <c r="L1672">
        <f>IF(LEN(TRIM(E1672))=0,"",VLOOKUP(E1672,Sheet2!$B$1:$E$19,3,FALSE))</f>
        <v>1108958</v>
      </c>
      <c r="M1672">
        <f>IF(LEN(TRIM(E1672))=0,"",VLOOKUP(E1672,Sheet2!$B$1:$E$19,4,FALSE))+(F1672-1)</f>
        <v>3779883</v>
      </c>
      <c r="N1672"/>
      <c r="O1672"/>
      <c r="P1672"/>
      <c r="Q1672"/>
    </row>
    <row r="1673" spans="1:17" s="1" customFormat="1" ht="15" customHeight="1" x14ac:dyDescent="0.25">
      <c r="A1673" s="28" t="s">
        <v>51</v>
      </c>
      <c r="B1673" s="28" t="s">
        <v>958</v>
      </c>
      <c r="C1673" s="6" t="s">
        <v>2773</v>
      </c>
      <c r="D1673" s="1" t="s">
        <v>454</v>
      </c>
      <c r="E1673" s="1">
        <v>2172</v>
      </c>
      <c r="F1673" s="28">
        <v>128</v>
      </c>
      <c r="G1673" s="9" t="s">
        <v>2779</v>
      </c>
      <c r="H1673" s="1">
        <v>132</v>
      </c>
      <c r="I1673" s="1">
        <v>131</v>
      </c>
      <c r="J1673" t="str">
        <f t="shared" si="26"/>
        <v>http://www.badatelna.eu/reprodukce/?fondId=1073&amp;zaznamId=1108958&amp;reproId=3779869</v>
      </c>
      <c r="K1673">
        <f>IF(LEN(TRIM(E1673))=0,"",VLOOKUP(E1673,Sheet2!$B$1:$E$19,2,FALSE))</f>
        <v>1073</v>
      </c>
      <c r="L1673">
        <f>IF(LEN(TRIM(E1673))=0,"",VLOOKUP(E1673,Sheet2!$B$1:$E$19,3,FALSE))</f>
        <v>1108958</v>
      </c>
      <c r="M1673">
        <f>IF(LEN(TRIM(E1673))=0,"",VLOOKUP(E1673,Sheet2!$B$1:$E$19,4,FALSE))+(F1673-1)</f>
        <v>3779869</v>
      </c>
    </row>
    <row r="1674" spans="1:17" s="1" customFormat="1" ht="15" customHeight="1" x14ac:dyDescent="0.25">
      <c r="A1674" s="28" t="s">
        <v>51</v>
      </c>
      <c r="B1674" s="28" t="s">
        <v>13</v>
      </c>
      <c r="C1674" s="1">
        <v>1858</v>
      </c>
      <c r="D1674" s="1" t="s">
        <v>2919</v>
      </c>
      <c r="E1674" s="1">
        <v>998</v>
      </c>
      <c r="F1674" s="28">
        <v>53</v>
      </c>
      <c r="G1674" s="1">
        <v>51</v>
      </c>
      <c r="H1674" s="1">
        <v>75</v>
      </c>
      <c r="I1674" s="1">
        <v>72</v>
      </c>
      <c r="J1674" t="str">
        <f t="shared" si="26"/>
        <v>http://www.badatelna.eu/reprodukce/?fondId=241&amp;zaznamId=1133738&amp;reproId=3885699</v>
      </c>
      <c r="K1674">
        <f>IF(LEN(TRIM(E1674))=0,"",VLOOKUP(E1674,Sheet2!$B$1:$E$19,2,FALSE))</f>
        <v>241</v>
      </c>
      <c r="L1674">
        <f>IF(LEN(TRIM(E1674))=0,"",VLOOKUP(E1674,Sheet2!$B$1:$E$19,3,FALSE))</f>
        <v>1133738</v>
      </c>
      <c r="M1674">
        <f>IF(LEN(TRIM(E1674))=0,"",VLOOKUP(E1674,Sheet2!$B$1:$E$19,4,FALSE))+(F1674-1)</f>
        <v>3885699</v>
      </c>
    </row>
    <row r="1675" spans="1:17" s="1" customFormat="1" ht="15" customHeight="1" x14ac:dyDescent="0.25">
      <c r="A1675" s="28" t="s">
        <v>51</v>
      </c>
      <c r="B1675" s="28" t="s">
        <v>486</v>
      </c>
      <c r="C1675" s="1">
        <v>1882</v>
      </c>
      <c r="D1675" s="1" t="s">
        <v>454</v>
      </c>
      <c r="E1675" s="1">
        <v>2172</v>
      </c>
      <c r="F1675" s="29">
        <v>28</v>
      </c>
      <c r="G1675" s="9" t="s">
        <v>2757</v>
      </c>
      <c r="H1675" s="1">
        <v>30</v>
      </c>
      <c r="I1675" s="1">
        <v>29</v>
      </c>
      <c r="J1675" t="str">
        <f t="shared" si="26"/>
        <v>http://www.badatelna.eu/reprodukce/?fondId=1073&amp;zaznamId=1108958&amp;reproId=3779769</v>
      </c>
      <c r="K1675">
        <f>IF(LEN(TRIM(E1675))=0,"",VLOOKUP(E1675,Sheet2!$B$1:$E$19,2,FALSE))</f>
        <v>1073</v>
      </c>
      <c r="L1675">
        <f>IF(LEN(TRIM(E1675))=0,"",VLOOKUP(E1675,Sheet2!$B$1:$E$19,3,FALSE))</f>
        <v>1108958</v>
      </c>
      <c r="M1675">
        <f>IF(LEN(TRIM(E1675))=0,"",VLOOKUP(E1675,Sheet2!$B$1:$E$19,4,FALSE))+(F1675-1)</f>
        <v>3779769</v>
      </c>
    </row>
    <row r="1676" spans="1:17" s="1" customFormat="1" ht="15" customHeight="1" x14ac:dyDescent="0.25">
      <c r="A1676" s="28" t="s">
        <v>51</v>
      </c>
      <c r="B1676" s="28" t="s">
        <v>500</v>
      </c>
      <c r="C1676" s="1">
        <v>1848</v>
      </c>
      <c r="D1676" s="1" t="s">
        <v>2919</v>
      </c>
      <c r="E1676" s="1">
        <v>998</v>
      </c>
      <c r="F1676" s="28">
        <v>15</v>
      </c>
      <c r="G1676" s="1">
        <v>13</v>
      </c>
      <c r="H1676" s="1">
        <v>75</v>
      </c>
      <c r="I1676" s="1">
        <v>72</v>
      </c>
      <c r="J1676" t="str">
        <f t="shared" si="26"/>
        <v>http://www.badatelna.eu/reprodukce/?fondId=241&amp;zaznamId=1133738&amp;reproId=3885661</v>
      </c>
      <c r="K1676">
        <f>IF(LEN(TRIM(E1676))=0,"",VLOOKUP(E1676,Sheet2!$B$1:$E$19,2,FALSE))</f>
        <v>241</v>
      </c>
      <c r="L1676">
        <f>IF(LEN(TRIM(E1676))=0,"",VLOOKUP(E1676,Sheet2!$B$1:$E$19,3,FALSE))</f>
        <v>1133738</v>
      </c>
      <c r="M1676">
        <f>IF(LEN(TRIM(E1676))=0,"",VLOOKUP(E1676,Sheet2!$B$1:$E$19,4,FALSE))+(F1676-1)</f>
        <v>3885661</v>
      </c>
    </row>
    <row r="1677" spans="1:17" s="1" customFormat="1" ht="15" customHeight="1" x14ac:dyDescent="0.25">
      <c r="A1677" s="28" t="s">
        <v>51</v>
      </c>
      <c r="B1677" s="28" t="s">
        <v>500</v>
      </c>
      <c r="C1677" s="6" t="s">
        <v>1573</v>
      </c>
      <c r="D1677" s="1" t="s">
        <v>454</v>
      </c>
      <c r="E1677" s="1">
        <v>2172</v>
      </c>
      <c r="F1677" s="28">
        <v>21</v>
      </c>
      <c r="G1677" s="9">
        <v>20</v>
      </c>
      <c r="H1677" s="1">
        <v>24</v>
      </c>
      <c r="I1677" s="1">
        <v>23</v>
      </c>
      <c r="J1677" t="str">
        <f t="shared" si="26"/>
        <v>http://www.badatelna.eu/reprodukce/?fondId=1073&amp;zaznamId=1108958&amp;reproId=3779762</v>
      </c>
      <c r="K1677">
        <f>IF(LEN(TRIM(E1677))=0,"",VLOOKUP(E1677,Sheet2!$B$1:$E$19,2,FALSE))</f>
        <v>1073</v>
      </c>
      <c r="L1677">
        <f>IF(LEN(TRIM(E1677))=0,"",VLOOKUP(E1677,Sheet2!$B$1:$E$19,3,FALSE))</f>
        <v>1108958</v>
      </c>
      <c r="M1677">
        <f>IF(LEN(TRIM(E1677))=0,"",VLOOKUP(E1677,Sheet2!$B$1:$E$19,4,FALSE))+(F1677-1)</f>
        <v>3779762</v>
      </c>
      <c r="N1677"/>
      <c r="O1677"/>
      <c r="P1677"/>
      <c r="Q1677"/>
    </row>
    <row r="1678" spans="1:17" s="1" customFormat="1" ht="15" customHeight="1" x14ac:dyDescent="0.25">
      <c r="A1678" s="28" t="s">
        <v>51</v>
      </c>
      <c r="B1678" s="28" t="s">
        <v>82</v>
      </c>
      <c r="C1678" s="6" t="s">
        <v>2456</v>
      </c>
      <c r="D1678" s="1" t="s">
        <v>454</v>
      </c>
      <c r="E1678" s="1">
        <v>2173</v>
      </c>
      <c r="F1678" s="28">
        <v>204</v>
      </c>
      <c r="G1678" s="1">
        <v>18</v>
      </c>
      <c r="H1678" s="1" t="s">
        <v>3073</v>
      </c>
      <c r="I1678" s="1" t="s">
        <v>3073</v>
      </c>
      <c r="J1678" t="str">
        <f t="shared" si="26"/>
        <v>http://www.badatelna.eu/reprodukce/?fondId=1073&amp;zaznamId=1108959&amp;reproId=3780197</v>
      </c>
      <c r="K1678">
        <f>IF(LEN(TRIM(E1678))=0,"",VLOOKUP(E1678,Sheet2!$B$1:$E$19,2,FALSE))</f>
        <v>1073</v>
      </c>
      <c r="L1678">
        <f>IF(LEN(TRIM(E1678))=0,"",VLOOKUP(E1678,Sheet2!$B$1:$E$19,3,FALSE))</f>
        <v>1108959</v>
      </c>
      <c r="M1678">
        <f>IF(LEN(TRIM(E1678))=0,"",VLOOKUP(E1678,Sheet2!$B$1:$E$19,4,FALSE))+(F1678-1)</f>
        <v>3780197</v>
      </c>
    </row>
    <row r="1679" spans="1:17" s="1" customFormat="1" ht="15" customHeight="1" x14ac:dyDescent="0.25">
      <c r="A1679" s="28" t="s">
        <v>51</v>
      </c>
      <c r="B1679" s="28" t="s">
        <v>2985</v>
      </c>
      <c r="C1679" s="1">
        <v>1852</v>
      </c>
      <c r="D1679" s="1" t="s">
        <v>2919</v>
      </c>
      <c r="E1679" s="1">
        <v>998</v>
      </c>
      <c r="F1679" s="28">
        <v>34</v>
      </c>
      <c r="G1679" s="1">
        <v>32</v>
      </c>
      <c r="H1679" s="1">
        <v>75</v>
      </c>
      <c r="I1679" s="1">
        <v>72</v>
      </c>
      <c r="J1679" t="str">
        <f t="shared" si="26"/>
        <v>http://www.badatelna.eu/reprodukce/?fondId=241&amp;zaznamId=1133738&amp;reproId=3885680</v>
      </c>
      <c r="K1679">
        <f>IF(LEN(TRIM(E1679))=0,"",VLOOKUP(E1679,Sheet2!$B$1:$E$19,2,FALSE))</f>
        <v>241</v>
      </c>
      <c r="L1679">
        <f>IF(LEN(TRIM(E1679))=0,"",VLOOKUP(E1679,Sheet2!$B$1:$E$19,3,FALSE))</f>
        <v>1133738</v>
      </c>
      <c r="M1679">
        <f>IF(LEN(TRIM(E1679))=0,"",VLOOKUP(E1679,Sheet2!$B$1:$E$19,4,FALSE))+(F1679-1)</f>
        <v>3885680</v>
      </c>
    </row>
    <row r="1680" spans="1:17" s="1" customFormat="1" ht="15" customHeight="1" x14ac:dyDescent="0.25">
      <c r="A1680" s="28" t="s">
        <v>959</v>
      </c>
      <c r="B1680" s="28" t="s">
        <v>691</v>
      </c>
      <c r="C1680" s="6" t="s">
        <v>1952</v>
      </c>
      <c r="D1680" s="1" t="s">
        <v>454</v>
      </c>
      <c r="E1680" s="1">
        <v>2172</v>
      </c>
      <c r="F1680" s="28">
        <v>227</v>
      </c>
      <c r="G1680" s="9">
        <v>208</v>
      </c>
      <c r="H1680" s="1" t="s">
        <v>3073</v>
      </c>
      <c r="I1680" s="1" t="s">
        <v>3073</v>
      </c>
      <c r="J1680" t="str">
        <f t="shared" si="26"/>
        <v>http://www.badatelna.eu/reprodukce/?fondId=1073&amp;zaznamId=1108958&amp;reproId=3779968</v>
      </c>
      <c r="K1680">
        <f>IF(LEN(TRIM(E1680))=0,"",VLOOKUP(E1680,Sheet2!$B$1:$E$19,2,FALSE))</f>
        <v>1073</v>
      </c>
      <c r="L1680">
        <f>IF(LEN(TRIM(E1680))=0,"",VLOOKUP(E1680,Sheet2!$B$1:$E$19,3,FALSE))</f>
        <v>1108958</v>
      </c>
      <c r="M1680">
        <f>IF(LEN(TRIM(E1680))=0,"",VLOOKUP(E1680,Sheet2!$B$1:$E$19,4,FALSE))+(F1680-1)</f>
        <v>3779968</v>
      </c>
    </row>
    <row r="1681" spans="1:17" s="1" customFormat="1" ht="15" customHeight="1" x14ac:dyDescent="0.25">
      <c r="A1681" s="28" t="s">
        <v>960</v>
      </c>
      <c r="B1681" s="28" t="s">
        <v>240</v>
      </c>
      <c r="C1681" s="15">
        <v>8321</v>
      </c>
      <c r="D1681" s="1" t="s">
        <v>454</v>
      </c>
      <c r="E1681" s="1">
        <v>2172</v>
      </c>
      <c r="F1681" s="28">
        <v>202</v>
      </c>
      <c r="G1681" s="9">
        <v>189</v>
      </c>
      <c r="H1681" s="1" t="s">
        <v>3073</v>
      </c>
      <c r="I1681" s="1" t="s">
        <v>3073</v>
      </c>
      <c r="J1681" t="str">
        <f t="shared" si="26"/>
        <v>http://www.badatelna.eu/reprodukce/?fondId=1073&amp;zaznamId=1108958&amp;reproId=3779943</v>
      </c>
      <c r="K1681">
        <f>IF(LEN(TRIM(E1681))=0,"",VLOOKUP(E1681,Sheet2!$B$1:$E$19,2,FALSE))</f>
        <v>1073</v>
      </c>
      <c r="L1681">
        <f>IF(LEN(TRIM(E1681))=0,"",VLOOKUP(E1681,Sheet2!$B$1:$E$19,3,FALSE))</f>
        <v>1108958</v>
      </c>
      <c r="M1681">
        <f>IF(LEN(TRIM(E1681))=0,"",VLOOKUP(E1681,Sheet2!$B$1:$E$19,4,FALSE))+(F1681-1)</f>
        <v>3779943</v>
      </c>
    </row>
    <row r="1682" spans="1:17" s="1" customFormat="1" ht="15" customHeight="1" x14ac:dyDescent="0.25">
      <c r="A1682" s="28" t="s">
        <v>960</v>
      </c>
      <c r="B1682" s="28" t="s">
        <v>632</v>
      </c>
      <c r="C1682" s="1">
        <v>1889</v>
      </c>
      <c r="D1682" s="1" t="s">
        <v>454</v>
      </c>
      <c r="E1682" s="1">
        <v>2172</v>
      </c>
      <c r="F1682" s="28">
        <v>68</v>
      </c>
      <c r="G1682" s="9" t="s">
        <v>3083</v>
      </c>
      <c r="H1682" s="1">
        <v>70</v>
      </c>
      <c r="I1682" s="1">
        <v>69</v>
      </c>
      <c r="J1682" t="str">
        <f t="shared" si="26"/>
        <v>http://www.badatelna.eu/reprodukce/?fondId=1073&amp;zaznamId=1108958&amp;reproId=3779809</v>
      </c>
      <c r="K1682">
        <f>IF(LEN(TRIM(E1682))=0,"",VLOOKUP(E1682,Sheet2!$B$1:$E$19,2,FALSE))</f>
        <v>1073</v>
      </c>
      <c r="L1682">
        <f>IF(LEN(TRIM(E1682))=0,"",VLOOKUP(E1682,Sheet2!$B$1:$E$19,3,FALSE))</f>
        <v>1108958</v>
      </c>
      <c r="M1682">
        <f>IF(LEN(TRIM(E1682))=0,"",VLOOKUP(E1682,Sheet2!$B$1:$E$19,4,FALSE))+(F1682-1)</f>
        <v>3779809</v>
      </c>
    </row>
    <row r="1683" spans="1:17" s="1" customFormat="1" ht="15" customHeight="1" x14ac:dyDescent="0.25">
      <c r="A1683" s="27" t="s">
        <v>577</v>
      </c>
      <c r="B1683" s="27" t="s">
        <v>290</v>
      </c>
      <c r="C1683" s="5" t="s">
        <v>1115</v>
      </c>
      <c r="D1683" s="3" t="s">
        <v>454</v>
      </c>
      <c r="E1683" s="3">
        <v>2171</v>
      </c>
      <c r="F1683" s="28">
        <v>38</v>
      </c>
      <c r="G1683" s="10">
        <v>35</v>
      </c>
      <c r="H1683" s="3">
        <v>47</v>
      </c>
      <c r="I1683" s="3">
        <v>32</v>
      </c>
      <c r="J1683" t="str">
        <f t="shared" si="26"/>
        <v>http://www.badatelna.eu/reprodukce/?fondId=1073&amp;zaznamId=1108957&amp;reproId=3779705</v>
      </c>
      <c r="K1683">
        <f>IF(LEN(TRIM(E1683))=0,"",VLOOKUP(E1683,Sheet2!$B$1:$E$19,2,FALSE))</f>
        <v>1073</v>
      </c>
      <c r="L1683">
        <f>IF(LEN(TRIM(E1683))=0,"",VLOOKUP(E1683,Sheet2!$B$1:$E$19,3,FALSE))</f>
        <v>1108957</v>
      </c>
      <c r="M1683">
        <f>IF(LEN(TRIM(E1683))=0,"",VLOOKUP(E1683,Sheet2!$B$1:$E$19,4,FALSE))+(F1683-1)</f>
        <v>3779705</v>
      </c>
    </row>
    <row r="1684" spans="1:17" s="1" customFormat="1" ht="15" customHeight="1" x14ac:dyDescent="0.25">
      <c r="A1684" s="28" t="s">
        <v>577</v>
      </c>
      <c r="B1684" s="28" t="s">
        <v>899</v>
      </c>
      <c r="C1684" s="1">
        <v>1886</v>
      </c>
      <c r="D1684" s="1" t="s">
        <v>454</v>
      </c>
      <c r="E1684" s="1">
        <v>2172</v>
      </c>
      <c r="F1684" s="28">
        <v>52</v>
      </c>
      <c r="G1684" s="9">
        <v>53</v>
      </c>
      <c r="H1684" s="1">
        <v>54</v>
      </c>
      <c r="I1684" s="1">
        <v>55</v>
      </c>
      <c r="J1684" t="str">
        <f t="shared" si="26"/>
        <v>http://www.badatelna.eu/reprodukce/?fondId=1073&amp;zaznamId=1108958&amp;reproId=3779793</v>
      </c>
      <c r="K1684">
        <f>IF(LEN(TRIM(E1684))=0,"",VLOOKUP(E1684,Sheet2!$B$1:$E$19,2,FALSE))</f>
        <v>1073</v>
      </c>
      <c r="L1684">
        <f>IF(LEN(TRIM(E1684))=0,"",VLOOKUP(E1684,Sheet2!$B$1:$E$19,3,FALSE))</f>
        <v>1108958</v>
      </c>
      <c r="M1684">
        <f>IF(LEN(TRIM(E1684))=0,"",VLOOKUP(E1684,Sheet2!$B$1:$E$19,4,FALSE))+(F1684-1)</f>
        <v>3779793</v>
      </c>
      <c r="N1684"/>
      <c r="O1684"/>
      <c r="P1684"/>
      <c r="Q1684"/>
    </row>
    <row r="1685" spans="1:17" s="1" customFormat="1" ht="15" customHeight="1" x14ac:dyDescent="0.25">
      <c r="A1685" s="28" t="s">
        <v>577</v>
      </c>
      <c r="B1685" s="28" t="s">
        <v>961</v>
      </c>
      <c r="C1685" s="6" t="s">
        <v>1784</v>
      </c>
      <c r="D1685" s="1" t="s">
        <v>454</v>
      </c>
      <c r="E1685" s="1">
        <v>2172</v>
      </c>
      <c r="F1685" s="28">
        <v>153</v>
      </c>
      <c r="G1685" s="9">
        <v>148</v>
      </c>
      <c r="H1685" s="1">
        <v>154</v>
      </c>
      <c r="I1685" s="1">
        <v>149</v>
      </c>
      <c r="J1685" t="str">
        <f t="shared" si="26"/>
        <v>http://www.badatelna.eu/reprodukce/?fondId=1073&amp;zaznamId=1108958&amp;reproId=3779894</v>
      </c>
      <c r="K1685">
        <f>IF(LEN(TRIM(E1685))=0,"",VLOOKUP(E1685,Sheet2!$B$1:$E$19,2,FALSE))</f>
        <v>1073</v>
      </c>
      <c r="L1685">
        <f>IF(LEN(TRIM(E1685))=0,"",VLOOKUP(E1685,Sheet2!$B$1:$E$19,3,FALSE))</f>
        <v>1108958</v>
      </c>
      <c r="M1685">
        <f>IF(LEN(TRIM(E1685))=0,"",VLOOKUP(E1685,Sheet2!$B$1:$E$19,4,FALSE))+(F1685-1)</f>
        <v>3779894</v>
      </c>
    </row>
    <row r="1686" spans="1:17" s="1" customFormat="1" ht="15" customHeight="1" x14ac:dyDescent="0.25">
      <c r="A1686" s="28" t="s">
        <v>577</v>
      </c>
      <c r="B1686" s="28" t="s">
        <v>496</v>
      </c>
      <c r="C1686" s="1">
        <v>1887</v>
      </c>
      <c r="D1686" s="1" t="s">
        <v>454</v>
      </c>
      <c r="E1686" s="1">
        <v>2172</v>
      </c>
      <c r="F1686" s="28">
        <v>57</v>
      </c>
      <c r="G1686" s="9">
        <v>58</v>
      </c>
      <c r="H1686" s="1">
        <v>60</v>
      </c>
      <c r="I1686" s="1">
        <v>61</v>
      </c>
      <c r="J1686" t="str">
        <f t="shared" si="26"/>
        <v>http://www.badatelna.eu/reprodukce/?fondId=1073&amp;zaznamId=1108958&amp;reproId=3779798</v>
      </c>
      <c r="K1686">
        <f>IF(LEN(TRIM(E1686))=0,"",VLOOKUP(E1686,Sheet2!$B$1:$E$19,2,FALSE))</f>
        <v>1073</v>
      </c>
      <c r="L1686">
        <f>IF(LEN(TRIM(E1686))=0,"",VLOOKUP(E1686,Sheet2!$B$1:$E$19,3,FALSE))</f>
        <v>1108958</v>
      </c>
      <c r="M1686">
        <f>IF(LEN(TRIM(E1686))=0,"",VLOOKUP(E1686,Sheet2!$B$1:$E$19,4,FALSE))+(F1686-1)</f>
        <v>3779798</v>
      </c>
    </row>
    <row r="1687" spans="1:17" s="1" customFormat="1" ht="15" customHeight="1" x14ac:dyDescent="0.25">
      <c r="A1687" s="28" t="s">
        <v>577</v>
      </c>
      <c r="B1687" s="28" t="s">
        <v>962</v>
      </c>
      <c r="C1687" s="6" t="s">
        <v>1741</v>
      </c>
      <c r="D1687" s="1" t="s">
        <v>454</v>
      </c>
      <c r="E1687" s="1">
        <v>2172</v>
      </c>
      <c r="F1687" s="28">
        <v>129</v>
      </c>
      <c r="G1687" s="9" t="s">
        <v>2775</v>
      </c>
      <c r="H1687" s="1">
        <v>132</v>
      </c>
      <c r="I1687" s="1">
        <v>131</v>
      </c>
      <c r="J1687" t="str">
        <f t="shared" si="26"/>
        <v>http://www.badatelna.eu/reprodukce/?fondId=1073&amp;zaznamId=1108958&amp;reproId=3779870</v>
      </c>
      <c r="K1687">
        <f>IF(LEN(TRIM(E1687))=0,"",VLOOKUP(E1687,Sheet2!$B$1:$E$19,2,FALSE))</f>
        <v>1073</v>
      </c>
      <c r="L1687">
        <f>IF(LEN(TRIM(E1687))=0,"",VLOOKUP(E1687,Sheet2!$B$1:$E$19,3,FALSE))</f>
        <v>1108958</v>
      </c>
      <c r="M1687">
        <f>IF(LEN(TRIM(E1687))=0,"",VLOOKUP(E1687,Sheet2!$B$1:$E$19,4,FALSE))+(F1687-1)</f>
        <v>3779870</v>
      </c>
    </row>
    <row r="1688" spans="1:17" s="1" customFormat="1" ht="15" customHeight="1" x14ac:dyDescent="0.25">
      <c r="A1688" s="28" t="s">
        <v>577</v>
      </c>
      <c r="B1688" s="28" t="s">
        <v>963</v>
      </c>
      <c r="C1688" s="6" t="s">
        <v>1844</v>
      </c>
      <c r="D1688" s="1" t="s">
        <v>454</v>
      </c>
      <c r="E1688" s="1">
        <v>2172</v>
      </c>
      <c r="F1688" s="28">
        <v>178</v>
      </c>
      <c r="G1688" s="9">
        <v>171</v>
      </c>
      <c r="H1688" s="1" t="s">
        <v>3073</v>
      </c>
      <c r="I1688" s="1" t="s">
        <v>3073</v>
      </c>
      <c r="J1688" t="str">
        <f t="shared" si="26"/>
        <v>http://www.badatelna.eu/reprodukce/?fondId=1073&amp;zaznamId=1108958&amp;reproId=3779919</v>
      </c>
      <c r="K1688">
        <f>IF(LEN(TRIM(E1688))=0,"",VLOOKUP(E1688,Sheet2!$B$1:$E$19,2,FALSE))</f>
        <v>1073</v>
      </c>
      <c r="L1688">
        <f>IF(LEN(TRIM(E1688))=0,"",VLOOKUP(E1688,Sheet2!$B$1:$E$19,3,FALSE))</f>
        <v>1108958</v>
      </c>
      <c r="M1688">
        <f>IF(LEN(TRIM(E1688))=0,"",VLOOKUP(E1688,Sheet2!$B$1:$E$19,4,FALSE))+(F1688-1)</f>
        <v>3779919</v>
      </c>
      <c r="N1688"/>
      <c r="O1688"/>
      <c r="P1688"/>
      <c r="Q1688"/>
    </row>
    <row r="1689" spans="1:17" s="1" customFormat="1" ht="15" customHeight="1" x14ac:dyDescent="0.25">
      <c r="A1689" s="28" t="s">
        <v>577</v>
      </c>
      <c r="B1689" s="28" t="s">
        <v>964</v>
      </c>
      <c r="C1689" s="6" t="s">
        <v>1545</v>
      </c>
      <c r="D1689" s="1" t="s">
        <v>454</v>
      </c>
      <c r="E1689" s="1">
        <v>2172</v>
      </c>
      <c r="F1689" s="28">
        <v>17</v>
      </c>
      <c r="G1689" s="9">
        <v>16</v>
      </c>
      <c r="H1689" s="1" t="s">
        <v>3073</v>
      </c>
      <c r="I1689" s="1" t="s">
        <v>3073</v>
      </c>
      <c r="J1689" t="str">
        <f t="shared" si="26"/>
        <v>http://www.badatelna.eu/reprodukce/?fondId=1073&amp;zaznamId=1108958&amp;reproId=3779758</v>
      </c>
      <c r="K1689">
        <f>IF(LEN(TRIM(E1689))=0,"",VLOOKUP(E1689,Sheet2!$B$1:$E$19,2,FALSE))</f>
        <v>1073</v>
      </c>
      <c r="L1689">
        <f>IF(LEN(TRIM(E1689))=0,"",VLOOKUP(E1689,Sheet2!$B$1:$E$19,3,FALSE))</f>
        <v>1108958</v>
      </c>
      <c r="M1689">
        <f>IF(LEN(TRIM(E1689))=0,"",VLOOKUP(E1689,Sheet2!$B$1:$E$19,4,FALSE))+(F1689-1)</f>
        <v>3779758</v>
      </c>
    </row>
    <row r="1690" spans="1:17" s="1" customFormat="1" ht="15" customHeight="1" x14ac:dyDescent="0.25">
      <c r="A1690" s="28" t="s">
        <v>14</v>
      </c>
      <c r="B1690" s="29" t="s">
        <v>2993</v>
      </c>
      <c r="C1690" s="1">
        <v>1850</v>
      </c>
      <c r="D1690" s="1" t="s">
        <v>2919</v>
      </c>
      <c r="E1690" s="1">
        <v>998</v>
      </c>
      <c r="F1690" s="28">
        <v>30</v>
      </c>
      <c r="G1690" s="1">
        <v>28</v>
      </c>
      <c r="H1690" s="1">
        <v>76</v>
      </c>
      <c r="I1690" s="1">
        <v>73</v>
      </c>
      <c r="J1690" t="str">
        <f t="shared" si="26"/>
        <v>http://www.badatelna.eu/reprodukce/?fondId=241&amp;zaznamId=1133738&amp;reproId=3885676</v>
      </c>
      <c r="K1690">
        <f>IF(LEN(TRIM(E1690))=0,"",VLOOKUP(E1690,Sheet2!$B$1:$E$19,2,FALSE))</f>
        <v>241</v>
      </c>
      <c r="L1690">
        <f>IF(LEN(TRIM(E1690))=0,"",VLOOKUP(E1690,Sheet2!$B$1:$E$19,3,FALSE))</f>
        <v>1133738</v>
      </c>
      <c r="M1690">
        <f>IF(LEN(TRIM(E1690))=0,"",VLOOKUP(E1690,Sheet2!$B$1:$E$19,4,FALSE))+(F1690-1)</f>
        <v>3885676</v>
      </c>
    </row>
    <row r="1691" spans="1:17" s="1" customFormat="1" ht="15" customHeight="1" x14ac:dyDescent="0.25">
      <c r="A1691" s="28" t="s">
        <v>14</v>
      </c>
      <c r="B1691" s="28" t="s">
        <v>13</v>
      </c>
      <c r="C1691" s="6" t="s">
        <v>2239</v>
      </c>
      <c r="D1691" s="1" t="s">
        <v>454</v>
      </c>
      <c r="E1691" s="1">
        <v>2173</v>
      </c>
      <c r="F1691" s="28">
        <v>196</v>
      </c>
      <c r="G1691" s="9">
        <v>1</v>
      </c>
      <c r="H1691" s="1" t="s">
        <v>3073</v>
      </c>
      <c r="I1691" s="1" t="s">
        <v>3073</v>
      </c>
      <c r="J1691" t="str">
        <f t="shared" si="26"/>
        <v>http://www.badatelna.eu/reprodukce/?fondId=1073&amp;zaznamId=1108959&amp;reproId=3780189</v>
      </c>
      <c r="K1691">
        <f>IF(LEN(TRIM(E1691))=0,"",VLOOKUP(E1691,Sheet2!$B$1:$E$19,2,FALSE))</f>
        <v>1073</v>
      </c>
      <c r="L1691">
        <f>IF(LEN(TRIM(E1691))=0,"",VLOOKUP(E1691,Sheet2!$B$1:$E$19,3,FALSE))</f>
        <v>1108959</v>
      </c>
      <c r="M1691">
        <f>IF(LEN(TRIM(E1691))=0,"",VLOOKUP(E1691,Sheet2!$B$1:$E$19,4,FALSE))+(F1691-1)</f>
        <v>3780189</v>
      </c>
    </row>
    <row r="1692" spans="1:17" s="1" customFormat="1" ht="15" customHeight="1" x14ac:dyDescent="0.25">
      <c r="A1692" s="28" t="s">
        <v>14</v>
      </c>
      <c r="B1692" s="29"/>
      <c r="F1692" s="28"/>
      <c r="J1692" t="str">
        <f t="shared" si="26"/>
        <v/>
      </c>
      <c r="K1692" t="str">
        <f>IF(LEN(TRIM(E1692))=0,"",VLOOKUP(E1692,Sheet2!$B$1:$E$19,2,FALSE))</f>
        <v/>
      </c>
      <c r="L1692" t="str">
        <f>IF(LEN(TRIM(E1692))=0,"",VLOOKUP(E1692,Sheet2!$B$1:$E$19,3,FALSE))</f>
        <v/>
      </c>
      <c r="M1692" t="e">
        <f>IF(LEN(TRIM(E1692))=0,"",VLOOKUP(E1692,Sheet2!$B$1:$E$19,4,FALSE))+(F1692-1)</f>
        <v>#VALUE!</v>
      </c>
    </row>
    <row r="1693" spans="1:17" s="1" customFormat="1" ht="15" customHeight="1" x14ac:dyDescent="0.2">
      <c r="A1693" s="32" t="s">
        <v>3128</v>
      </c>
      <c r="B1693" s="31" t="s">
        <v>33</v>
      </c>
      <c r="C1693" s="7" t="s">
        <v>2270</v>
      </c>
      <c r="D1693" s="1" t="s">
        <v>454</v>
      </c>
      <c r="E1693" s="1">
        <v>2173</v>
      </c>
      <c r="F1693" s="31">
        <v>197</v>
      </c>
      <c r="G1693" s="12">
        <v>4</v>
      </c>
      <c r="H1693" s="1" t="s">
        <v>3073</v>
      </c>
      <c r="I1693" s="1" t="s">
        <v>3073</v>
      </c>
      <c r="J1693" t="str">
        <f t="shared" si="26"/>
        <v>http://www.badatelna.eu/reprodukce/?fondId=1073&amp;zaznamId=1108959&amp;reproId=3780190</v>
      </c>
      <c r="K1693">
        <f>IF(LEN(TRIM(E1693))=0,"",VLOOKUP(E1693,Sheet2!$B$1:$E$19,2,FALSE))</f>
        <v>1073</v>
      </c>
      <c r="L1693">
        <f>IF(LEN(TRIM(E1693))=0,"",VLOOKUP(E1693,Sheet2!$B$1:$E$19,3,FALSE))</f>
        <v>1108959</v>
      </c>
      <c r="M1693">
        <f>IF(LEN(TRIM(E1693))=0,"",VLOOKUP(E1693,Sheet2!$B$1:$E$19,4,FALSE))+(F1693-1)</f>
        <v>3780190</v>
      </c>
      <c r="N1693"/>
      <c r="O1693"/>
      <c r="P1693"/>
      <c r="Q1693"/>
    </row>
    <row r="1694" spans="1:17" s="1" customFormat="1" ht="15" customHeight="1" x14ac:dyDescent="0.25">
      <c r="A1694" s="29" t="s">
        <v>2814</v>
      </c>
      <c r="B1694" s="29" t="s">
        <v>19</v>
      </c>
      <c r="C1694" s="6" t="s">
        <v>2407</v>
      </c>
      <c r="D1694" s="1" t="s">
        <v>454</v>
      </c>
      <c r="E1694" s="1">
        <v>2173</v>
      </c>
      <c r="F1694" s="28">
        <v>202</v>
      </c>
      <c r="G1694" s="9">
        <v>14</v>
      </c>
      <c r="H1694" s="1" t="s">
        <v>3073</v>
      </c>
      <c r="I1694" s="1" t="s">
        <v>3073</v>
      </c>
      <c r="J1694" t="str">
        <f t="shared" si="26"/>
        <v>http://www.badatelna.eu/reprodukce/?fondId=1073&amp;zaznamId=1108959&amp;reproId=3780195</v>
      </c>
      <c r="K1694">
        <f>IF(LEN(TRIM(E1694))=0,"",VLOOKUP(E1694,Sheet2!$B$1:$E$19,2,FALSE))</f>
        <v>1073</v>
      </c>
      <c r="L1694">
        <f>IF(LEN(TRIM(E1694))=0,"",VLOOKUP(E1694,Sheet2!$B$1:$E$19,3,FALSE))</f>
        <v>1108959</v>
      </c>
      <c r="M1694">
        <f>IF(LEN(TRIM(E1694))=0,"",VLOOKUP(E1694,Sheet2!$B$1:$E$19,4,FALSE))+(F1694-1)</f>
        <v>3780195</v>
      </c>
    </row>
    <row r="1695" spans="1:17" s="1" customFormat="1" ht="15" customHeight="1" x14ac:dyDescent="0.25">
      <c r="A1695" s="28" t="s">
        <v>227</v>
      </c>
      <c r="B1695" s="29" t="s">
        <v>2998</v>
      </c>
      <c r="C1695" s="1">
        <v>1860</v>
      </c>
      <c r="D1695" s="1" t="s">
        <v>2919</v>
      </c>
      <c r="E1695" s="1">
        <v>998</v>
      </c>
      <c r="F1695" s="28">
        <v>58</v>
      </c>
      <c r="G1695" s="1">
        <v>55</v>
      </c>
      <c r="H1695" s="1">
        <v>76</v>
      </c>
      <c r="I1695" s="1">
        <v>73</v>
      </c>
      <c r="J1695" t="str">
        <f t="shared" si="26"/>
        <v>http://www.badatelna.eu/reprodukce/?fondId=241&amp;zaznamId=1133738&amp;reproId=3885704</v>
      </c>
      <c r="K1695">
        <f>IF(LEN(TRIM(E1695))=0,"",VLOOKUP(E1695,Sheet2!$B$1:$E$19,2,FALSE))</f>
        <v>241</v>
      </c>
      <c r="L1695">
        <f>IF(LEN(TRIM(E1695))=0,"",VLOOKUP(E1695,Sheet2!$B$1:$E$19,3,FALSE))</f>
        <v>1133738</v>
      </c>
      <c r="M1695">
        <f>IF(LEN(TRIM(E1695))=0,"",VLOOKUP(E1695,Sheet2!$B$1:$E$19,4,FALSE))+(F1695-1)</f>
        <v>3885704</v>
      </c>
    </row>
    <row r="1696" spans="1:17" s="1" customFormat="1" ht="15" customHeight="1" x14ac:dyDescent="0.25">
      <c r="A1696" s="28" t="s">
        <v>227</v>
      </c>
      <c r="B1696" s="28" t="s">
        <v>33</v>
      </c>
      <c r="C1696" s="1">
        <v>1884</v>
      </c>
      <c r="D1696" s="1" t="s">
        <v>454</v>
      </c>
      <c r="E1696" s="1">
        <v>2172</v>
      </c>
      <c r="F1696" s="28">
        <v>39</v>
      </c>
      <c r="G1696" s="20" t="s">
        <v>3080</v>
      </c>
      <c r="H1696" s="1">
        <v>42</v>
      </c>
      <c r="I1696" s="1">
        <v>41</v>
      </c>
      <c r="J1696" t="str">
        <f t="shared" si="26"/>
        <v>http://www.badatelna.eu/reprodukce/?fondId=1073&amp;zaznamId=1108958&amp;reproId=3779780</v>
      </c>
      <c r="K1696">
        <f>IF(LEN(TRIM(E1696))=0,"",VLOOKUP(E1696,Sheet2!$B$1:$E$19,2,FALSE))</f>
        <v>1073</v>
      </c>
      <c r="L1696">
        <f>IF(LEN(TRIM(E1696))=0,"",VLOOKUP(E1696,Sheet2!$B$1:$E$19,3,FALSE))</f>
        <v>1108958</v>
      </c>
      <c r="M1696">
        <f>IF(LEN(TRIM(E1696))=0,"",VLOOKUP(E1696,Sheet2!$B$1:$E$19,4,FALSE))+(F1696-1)</f>
        <v>3779780</v>
      </c>
    </row>
    <row r="1697" spans="1:17" s="1" customFormat="1" ht="15" customHeight="1" x14ac:dyDescent="0.25">
      <c r="A1697" s="28" t="s">
        <v>227</v>
      </c>
      <c r="B1697" s="28" t="s">
        <v>476</v>
      </c>
      <c r="C1697" s="1">
        <v>1855</v>
      </c>
      <c r="D1697" s="1" t="s">
        <v>2919</v>
      </c>
      <c r="E1697" s="1">
        <v>998</v>
      </c>
      <c r="F1697" s="28">
        <v>47</v>
      </c>
      <c r="G1697" s="1">
        <v>45</v>
      </c>
      <c r="H1697" s="1">
        <v>76</v>
      </c>
      <c r="I1697" s="1">
        <v>73</v>
      </c>
      <c r="J1697" t="str">
        <f t="shared" si="26"/>
        <v>http://www.badatelna.eu/reprodukce/?fondId=241&amp;zaznamId=1133738&amp;reproId=3885693</v>
      </c>
      <c r="K1697">
        <f>IF(LEN(TRIM(E1697))=0,"",VLOOKUP(E1697,Sheet2!$B$1:$E$19,2,FALSE))</f>
        <v>241</v>
      </c>
      <c r="L1697">
        <f>IF(LEN(TRIM(E1697))=0,"",VLOOKUP(E1697,Sheet2!$B$1:$E$19,3,FALSE))</f>
        <v>1133738</v>
      </c>
      <c r="M1697">
        <f>IF(LEN(TRIM(E1697))=0,"",VLOOKUP(E1697,Sheet2!$B$1:$E$19,4,FALSE))+(F1697-1)</f>
        <v>3885693</v>
      </c>
    </row>
    <row r="1698" spans="1:17" s="1" customFormat="1" ht="15" customHeight="1" x14ac:dyDescent="0.25">
      <c r="A1698" s="28" t="s">
        <v>227</v>
      </c>
      <c r="B1698" s="28" t="s">
        <v>465</v>
      </c>
      <c r="C1698" s="1">
        <v>1862</v>
      </c>
      <c r="D1698" s="1" t="s">
        <v>2919</v>
      </c>
      <c r="E1698" s="1">
        <v>999</v>
      </c>
      <c r="F1698" s="28">
        <v>81</v>
      </c>
      <c r="G1698" s="1">
        <v>2</v>
      </c>
      <c r="H1698" s="1">
        <v>106</v>
      </c>
      <c r="I1698" s="1">
        <v>165</v>
      </c>
      <c r="J1698" t="str">
        <f t="shared" si="26"/>
        <v>http://www.badatelna.eu/reprodukce/?fondId=241&amp;zaznamId=1133739&amp;reproId=3885810</v>
      </c>
      <c r="K1698">
        <f>IF(LEN(TRIM(E1698))=0,"",VLOOKUP(E1698,Sheet2!$B$1:$E$19,2,FALSE))</f>
        <v>241</v>
      </c>
      <c r="L1698">
        <f>IF(LEN(TRIM(E1698))=0,"",VLOOKUP(E1698,Sheet2!$B$1:$E$19,3,FALSE))</f>
        <v>1133739</v>
      </c>
      <c r="M1698">
        <f>IF(LEN(TRIM(E1698))=0,"",VLOOKUP(E1698,Sheet2!$B$1:$E$19,4,FALSE))+(F1698-1)</f>
        <v>3885810</v>
      </c>
    </row>
    <row r="1699" spans="1:17" s="1" customFormat="1" ht="15" customHeight="1" x14ac:dyDescent="0.25">
      <c r="A1699" s="27" t="s">
        <v>227</v>
      </c>
      <c r="B1699" s="27" t="s">
        <v>465</v>
      </c>
      <c r="C1699" s="5" t="s">
        <v>1485</v>
      </c>
      <c r="D1699" s="3" t="s">
        <v>454</v>
      </c>
      <c r="E1699" s="3">
        <v>2171</v>
      </c>
      <c r="F1699" s="28">
        <v>33</v>
      </c>
      <c r="G1699" s="10">
        <v>30</v>
      </c>
      <c r="H1699" s="3">
        <v>47</v>
      </c>
      <c r="I1699" s="3">
        <v>32</v>
      </c>
      <c r="J1699" t="str">
        <f t="shared" si="26"/>
        <v>http://www.badatelna.eu/reprodukce/?fondId=1073&amp;zaznamId=1108957&amp;reproId=3779700</v>
      </c>
      <c r="K1699">
        <f>IF(LEN(TRIM(E1699))=0,"",VLOOKUP(E1699,Sheet2!$B$1:$E$19,2,FALSE))</f>
        <v>1073</v>
      </c>
      <c r="L1699">
        <f>IF(LEN(TRIM(E1699))=0,"",VLOOKUP(E1699,Sheet2!$B$1:$E$19,3,FALSE))</f>
        <v>1108957</v>
      </c>
      <c r="M1699">
        <f>IF(LEN(TRIM(E1699))=0,"",VLOOKUP(E1699,Sheet2!$B$1:$E$19,4,FALSE))+(F1699-1)</f>
        <v>3779700</v>
      </c>
      <c r="N1699"/>
      <c r="O1699"/>
      <c r="P1699"/>
      <c r="Q1699"/>
    </row>
    <row r="1700" spans="1:17" s="1" customFormat="1" ht="15" customHeight="1" x14ac:dyDescent="0.25">
      <c r="A1700" s="28" t="s">
        <v>227</v>
      </c>
      <c r="B1700" s="28" t="s">
        <v>620</v>
      </c>
      <c r="C1700" s="6" t="s">
        <v>1597</v>
      </c>
      <c r="D1700" s="1" t="s">
        <v>454</v>
      </c>
      <c r="E1700" s="1">
        <v>2172</v>
      </c>
      <c r="F1700" s="28">
        <v>65</v>
      </c>
      <c r="G1700" s="9">
        <v>64</v>
      </c>
      <c r="H1700" s="1" t="s">
        <v>3073</v>
      </c>
      <c r="I1700" s="1" t="s">
        <v>3073</v>
      </c>
      <c r="J1700" t="str">
        <f t="shared" si="26"/>
        <v>http://www.badatelna.eu/reprodukce/?fondId=1073&amp;zaznamId=1108958&amp;reproId=3779806</v>
      </c>
      <c r="K1700">
        <f>IF(LEN(TRIM(E1700))=0,"",VLOOKUP(E1700,Sheet2!$B$1:$E$19,2,FALSE))</f>
        <v>1073</v>
      </c>
      <c r="L1700">
        <f>IF(LEN(TRIM(E1700))=0,"",VLOOKUP(E1700,Sheet2!$B$1:$E$19,3,FALSE))</f>
        <v>1108958</v>
      </c>
      <c r="M1700">
        <f>IF(LEN(TRIM(E1700))=0,"",VLOOKUP(E1700,Sheet2!$B$1:$E$19,4,FALSE))+(F1700-1)</f>
        <v>3779806</v>
      </c>
    </row>
    <row r="1701" spans="1:17" s="1" customFormat="1" ht="15" customHeight="1" x14ac:dyDescent="0.25">
      <c r="A1701" s="28" t="s">
        <v>227</v>
      </c>
      <c r="B1701" s="28" t="s">
        <v>965</v>
      </c>
      <c r="C1701" s="6" t="s">
        <v>1700</v>
      </c>
      <c r="D1701" s="1" t="s">
        <v>454</v>
      </c>
      <c r="E1701" s="1">
        <v>2172</v>
      </c>
      <c r="F1701" s="28">
        <v>114</v>
      </c>
      <c r="G1701" s="9" t="s">
        <v>2770</v>
      </c>
      <c r="H1701" s="1">
        <v>116</v>
      </c>
      <c r="I1701" s="1">
        <v>115</v>
      </c>
      <c r="J1701" t="str">
        <f t="shared" si="26"/>
        <v>http://www.badatelna.eu/reprodukce/?fondId=1073&amp;zaznamId=1108958&amp;reproId=3779855</v>
      </c>
      <c r="K1701">
        <f>IF(LEN(TRIM(E1701))=0,"",VLOOKUP(E1701,Sheet2!$B$1:$E$19,2,FALSE))</f>
        <v>1073</v>
      </c>
      <c r="L1701">
        <f>IF(LEN(TRIM(E1701))=0,"",VLOOKUP(E1701,Sheet2!$B$1:$E$19,3,FALSE))</f>
        <v>1108958</v>
      </c>
      <c r="M1701">
        <f>IF(LEN(TRIM(E1701))=0,"",VLOOKUP(E1701,Sheet2!$B$1:$E$19,4,FALSE))+(F1701-1)</f>
        <v>3779855</v>
      </c>
      <c r="N1701"/>
      <c r="O1701"/>
      <c r="P1701"/>
      <c r="Q1701"/>
    </row>
    <row r="1702" spans="1:17" s="1" customFormat="1" ht="15" customHeight="1" x14ac:dyDescent="0.25">
      <c r="A1702" s="28" t="s">
        <v>227</v>
      </c>
      <c r="B1702" s="28" t="s">
        <v>29</v>
      </c>
      <c r="C1702" s="6" t="s">
        <v>1718</v>
      </c>
      <c r="D1702" s="1" t="s">
        <v>454</v>
      </c>
      <c r="E1702" s="1">
        <v>2172</v>
      </c>
      <c r="F1702" s="28">
        <v>120</v>
      </c>
      <c r="G1702" s="9">
        <v>119</v>
      </c>
      <c r="H1702" s="1">
        <v>123</v>
      </c>
      <c r="I1702" s="1">
        <v>122</v>
      </c>
      <c r="J1702" t="str">
        <f t="shared" si="26"/>
        <v>http://www.badatelna.eu/reprodukce/?fondId=1073&amp;zaznamId=1108958&amp;reproId=3779861</v>
      </c>
      <c r="K1702">
        <f>IF(LEN(TRIM(E1702))=0,"",VLOOKUP(E1702,Sheet2!$B$1:$E$19,2,FALSE))</f>
        <v>1073</v>
      </c>
      <c r="L1702">
        <f>IF(LEN(TRIM(E1702))=0,"",VLOOKUP(E1702,Sheet2!$B$1:$E$19,3,FALSE))</f>
        <v>1108958</v>
      </c>
      <c r="M1702">
        <f>IF(LEN(TRIM(E1702))=0,"",VLOOKUP(E1702,Sheet2!$B$1:$E$19,4,FALSE))+(F1702-1)</f>
        <v>3779861</v>
      </c>
    </row>
    <row r="1703" spans="1:17" s="1" customFormat="1" ht="15" customHeight="1" x14ac:dyDescent="0.25">
      <c r="A1703" s="28" t="s">
        <v>227</v>
      </c>
      <c r="B1703" s="28" t="s">
        <v>332</v>
      </c>
      <c r="C1703" s="1">
        <v>1858</v>
      </c>
      <c r="D1703" s="1" t="s">
        <v>2919</v>
      </c>
      <c r="E1703" s="1">
        <v>998</v>
      </c>
      <c r="F1703" s="28">
        <v>53</v>
      </c>
      <c r="G1703" s="1">
        <v>51</v>
      </c>
      <c r="H1703" s="1">
        <v>76</v>
      </c>
      <c r="I1703" s="1">
        <v>73</v>
      </c>
      <c r="J1703" t="str">
        <f t="shared" si="26"/>
        <v>http://www.badatelna.eu/reprodukce/?fondId=241&amp;zaznamId=1133738&amp;reproId=3885699</v>
      </c>
      <c r="K1703">
        <f>IF(LEN(TRIM(E1703))=0,"",VLOOKUP(E1703,Sheet2!$B$1:$E$19,2,FALSE))</f>
        <v>241</v>
      </c>
      <c r="L1703">
        <f>IF(LEN(TRIM(E1703))=0,"",VLOOKUP(E1703,Sheet2!$B$1:$E$19,3,FALSE))</f>
        <v>1133738</v>
      </c>
      <c r="M1703">
        <f>IF(LEN(TRIM(E1703))=0,"",VLOOKUP(E1703,Sheet2!$B$1:$E$19,4,FALSE))+(F1703-1)</f>
        <v>3885699</v>
      </c>
    </row>
    <row r="1704" spans="1:17" s="1" customFormat="1" ht="15" customHeight="1" x14ac:dyDescent="0.25">
      <c r="A1704" s="28" t="s">
        <v>227</v>
      </c>
      <c r="B1704" s="28" t="s">
        <v>84</v>
      </c>
      <c r="C1704" s="1">
        <v>1863</v>
      </c>
      <c r="D1704" s="1" t="s">
        <v>2919</v>
      </c>
      <c r="E1704" s="1">
        <v>999</v>
      </c>
      <c r="F1704" s="28">
        <v>84</v>
      </c>
      <c r="G1704" s="1">
        <v>5</v>
      </c>
      <c r="H1704" s="1">
        <v>106</v>
      </c>
      <c r="I1704" s="1">
        <v>165</v>
      </c>
      <c r="J1704" t="str">
        <f t="shared" si="26"/>
        <v>http://www.badatelna.eu/reprodukce/?fondId=241&amp;zaznamId=1133739&amp;reproId=3885813</v>
      </c>
      <c r="K1704">
        <f>IF(LEN(TRIM(E1704))=0,"",VLOOKUP(E1704,Sheet2!$B$1:$E$19,2,FALSE))</f>
        <v>241</v>
      </c>
      <c r="L1704">
        <f>IF(LEN(TRIM(E1704))=0,"",VLOOKUP(E1704,Sheet2!$B$1:$E$19,3,FALSE))</f>
        <v>1133739</v>
      </c>
      <c r="M1704">
        <f>IF(LEN(TRIM(E1704))=0,"",VLOOKUP(E1704,Sheet2!$B$1:$E$19,4,FALSE))+(F1704-1)</f>
        <v>3885813</v>
      </c>
    </row>
    <row r="1705" spans="1:17" s="1" customFormat="1" ht="15" customHeight="1" x14ac:dyDescent="0.25">
      <c r="A1705" s="28" t="s">
        <v>227</v>
      </c>
      <c r="B1705" s="28" t="s">
        <v>240</v>
      </c>
      <c r="C1705" s="6" t="s">
        <v>2588</v>
      </c>
      <c r="D1705" s="1" t="s">
        <v>454</v>
      </c>
      <c r="E1705" s="1">
        <v>2173</v>
      </c>
      <c r="F1705" s="28">
        <v>215</v>
      </c>
      <c r="G1705" s="9">
        <v>40</v>
      </c>
      <c r="H1705" s="1" t="s">
        <v>3073</v>
      </c>
      <c r="I1705" s="1" t="s">
        <v>3073</v>
      </c>
      <c r="J1705" t="str">
        <f t="shared" si="26"/>
        <v>http://www.badatelna.eu/reprodukce/?fondId=1073&amp;zaznamId=1108959&amp;reproId=3780208</v>
      </c>
      <c r="K1705">
        <f>IF(LEN(TRIM(E1705))=0,"",VLOOKUP(E1705,Sheet2!$B$1:$E$19,2,FALSE))</f>
        <v>1073</v>
      </c>
      <c r="L1705">
        <f>IF(LEN(TRIM(E1705))=0,"",VLOOKUP(E1705,Sheet2!$B$1:$E$19,3,FALSE))</f>
        <v>1108959</v>
      </c>
      <c r="M1705">
        <f>IF(LEN(TRIM(E1705))=0,"",VLOOKUP(E1705,Sheet2!$B$1:$E$19,4,FALSE))+(F1705-1)</f>
        <v>3780208</v>
      </c>
    </row>
    <row r="1706" spans="1:17" s="1" customFormat="1" ht="15" customHeight="1" x14ac:dyDescent="0.25">
      <c r="A1706" s="28" t="s">
        <v>227</v>
      </c>
      <c r="B1706" s="28" t="s">
        <v>60</v>
      </c>
      <c r="C1706" s="1">
        <v>1855</v>
      </c>
      <c r="D1706" s="1" t="s">
        <v>2919</v>
      </c>
      <c r="E1706" s="1">
        <v>998</v>
      </c>
      <c r="F1706" s="28">
        <v>48</v>
      </c>
      <c r="G1706" s="1">
        <v>46</v>
      </c>
      <c r="H1706" s="1">
        <v>76</v>
      </c>
      <c r="I1706" s="1">
        <v>73</v>
      </c>
      <c r="J1706" t="str">
        <f t="shared" si="26"/>
        <v>http://www.badatelna.eu/reprodukce/?fondId=241&amp;zaznamId=1133738&amp;reproId=3885694</v>
      </c>
      <c r="K1706">
        <f>IF(LEN(TRIM(E1706))=0,"",VLOOKUP(E1706,Sheet2!$B$1:$E$19,2,FALSE))</f>
        <v>241</v>
      </c>
      <c r="L1706">
        <f>IF(LEN(TRIM(E1706))=0,"",VLOOKUP(E1706,Sheet2!$B$1:$E$19,3,FALSE))</f>
        <v>1133738</v>
      </c>
      <c r="M1706">
        <f>IF(LEN(TRIM(E1706))=0,"",VLOOKUP(E1706,Sheet2!$B$1:$E$19,4,FALSE))+(F1706-1)</f>
        <v>3885694</v>
      </c>
    </row>
    <row r="1707" spans="1:17" s="1" customFormat="1" ht="15" customHeight="1" x14ac:dyDescent="0.25">
      <c r="A1707" s="28" t="s">
        <v>227</v>
      </c>
      <c r="B1707" s="28" t="s">
        <v>60</v>
      </c>
      <c r="C1707" s="6" t="s">
        <v>2630</v>
      </c>
      <c r="D1707" s="1" t="s">
        <v>454</v>
      </c>
      <c r="E1707" s="1">
        <v>2173</v>
      </c>
      <c r="F1707" s="28">
        <v>220</v>
      </c>
      <c r="G1707" s="9">
        <v>47</v>
      </c>
      <c r="H1707" s="1" t="s">
        <v>3073</v>
      </c>
      <c r="I1707" s="1" t="s">
        <v>3073</v>
      </c>
      <c r="J1707" t="str">
        <f t="shared" si="26"/>
        <v>http://www.badatelna.eu/reprodukce/?fondId=1073&amp;zaznamId=1108959&amp;reproId=3780213</v>
      </c>
      <c r="K1707">
        <f>IF(LEN(TRIM(E1707))=0,"",VLOOKUP(E1707,Sheet2!$B$1:$E$19,2,FALSE))</f>
        <v>1073</v>
      </c>
      <c r="L1707">
        <f>IF(LEN(TRIM(E1707))=0,"",VLOOKUP(E1707,Sheet2!$B$1:$E$19,3,FALSE))</f>
        <v>1108959</v>
      </c>
      <c r="M1707">
        <f>IF(LEN(TRIM(E1707))=0,"",VLOOKUP(E1707,Sheet2!$B$1:$E$19,4,FALSE))+(F1707-1)</f>
        <v>3780213</v>
      </c>
    </row>
    <row r="1708" spans="1:17" s="1" customFormat="1" ht="15" customHeight="1" x14ac:dyDescent="0.25">
      <c r="A1708" s="28" t="s">
        <v>227</v>
      </c>
      <c r="B1708" s="28" t="s">
        <v>60</v>
      </c>
      <c r="C1708" s="6" t="s">
        <v>2519</v>
      </c>
      <c r="D1708" s="1" t="s">
        <v>454</v>
      </c>
      <c r="E1708" s="1">
        <v>2173</v>
      </c>
      <c r="F1708" s="28">
        <v>206</v>
      </c>
      <c r="G1708" s="1">
        <v>22</v>
      </c>
      <c r="H1708" s="1" t="s">
        <v>3073</v>
      </c>
      <c r="I1708" s="1" t="s">
        <v>3073</v>
      </c>
      <c r="J1708" t="str">
        <f t="shared" si="26"/>
        <v>http://www.badatelna.eu/reprodukce/?fondId=1073&amp;zaznamId=1108959&amp;reproId=3780199</v>
      </c>
      <c r="K1708">
        <f>IF(LEN(TRIM(E1708))=0,"",VLOOKUP(E1708,Sheet2!$B$1:$E$19,2,FALSE))</f>
        <v>1073</v>
      </c>
      <c r="L1708">
        <f>IF(LEN(TRIM(E1708))=0,"",VLOOKUP(E1708,Sheet2!$B$1:$E$19,3,FALSE))</f>
        <v>1108959</v>
      </c>
      <c r="M1708">
        <f>IF(LEN(TRIM(E1708))=0,"",VLOOKUP(E1708,Sheet2!$B$1:$E$19,4,FALSE))+(F1708-1)</f>
        <v>3780199</v>
      </c>
    </row>
    <row r="1709" spans="1:17" s="1" customFormat="1" ht="15" customHeight="1" x14ac:dyDescent="0.25">
      <c r="A1709" s="28" t="s">
        <v>227</v>
      </c>
      <c r="B1709" s="28" t="s">
        <v>198</v>
      </c>
      <c r="C1709" s="1">
        <v>1866</v>
      </c>
      <c r="D1709" s="1" t="s">
        <v>2919</v>
      </c>
      <c r="E1709" s="1">
        <v>999</v>
      </c>
      <c r="F1709" s="28">
        <v>91</v>
      </c>
      <c r="G1709" s="1">
        <v>12</v>
      </c>
      <c r="H1709" s="1">
        <v>106</v>
      </c>
      <c r="I1709" s="1">
        <v>165</v>
      </c>
      <c r="J1709" t="str">
        <f t="shared" si="26"/>
        <v>http://www.badatelna.eu/reprodukce/?fondId=241&amp;zaznamId=1133739&amp;reproId=3885820</v>
      </c>
      <c r="K1709">
        <f>IF(LEN(TRIM(E1709))=0,"",VLOOKUP(E1709,Sheet2!$B$1:$E$19,2,FALSE))</f>
        <v>241</v>
      </c>
      <c r="L1709">
        <f>IF(LEN(TRIM(E1709))=0,"",VLOOKUP(E1709,Sheet2!$B$1:$E$19,3,FALSE))</f>
        <v>1133739</v>
      </c>
      <c r="M1709">
        <f>IF(LEN(TRIM(E1709))=0,"",VLOOKUP(E1709,Sheet2!$B$1:$E$19,4,FALSE))+(F1709-1)</f>
        <v>3885820</v>
      </c>
    </row>
    <row r="1710" spans="1:17" s="1" customFormat="1" ht="15" customHeight="1" x14ac:dyDescent="0.25">
      <c r="A1710" s="27" t="s">
        <v>227</v>
      </c>
      <c r="B1710" s="27" t="s">
        <v>198</v>
      </c>
      <c r="C1710" s="5" t="s">
        <v>1272</v>
      </c>
      <c r="D1710" s="3" t="s">
        <v>454</v>
      </c>
      <c r="E1710" s="3">
        <v>2170</v>
      </c>
      <c r="F1710" s="37">
        <v>19</v>
      </c>
      <c r="G1710" s="10">
        <v>15</v>
      </c>
      <c r="H1710" s="3">
        <v>68</v>
      </c>
      <c r="I1710" s="3">
        <v>64</v>
      </c>
      <c r="J1710" t="str">
        <f t="shared" si="26"/>
        <v>http://www.badatelna.eu/reprodukce/?fondId=1073&amp;zaznamId=1108956&amp;reproId=3779611</v>
      </c>
      <c r="K1710">
        <f>IF(LEN(TRIM(E1710))=0,"",VLOOKUP(E1710,Sheet2!$B$1:$E$19,2,FALSE))</f>
        <v>1073</v>
      </c>
      <c r="L1710">
        <f>IF(LEN(TRIM(E1710))=0,"",VLOOKUP(E1710,Sheet2!$B$1:$E$19,3,FALSE))</f>
        <v>1108956</v>
      </c>
      <c r="M1710">
        <f>IF(LEN(TRIM(E1710))=0,"",VLOOKUP(E1710,Sheet2!$B$1:$E$19,4,FALSE))+(F1710-1)</f>
        <v>3779611</v>
      </c>
    </row>
    <row r="1711" spans="1:17" s="1" customFormat="1" ht="15" customHeight="1" x14ac:dyDescent="0.25">
      <c r="A1711" s="28" t="s">
        <v>227</v>
      </c>
      <c r="B1711" s="28" t="s">
        <v>843</v>
      </c>
      <c r="C1711" s="15">
        <v>11055</v>
      </c>
      <c r="D1711" s="1" t="s">
        <v>454</v>
      </c>
      <c r="E1711" s="1">
        <v>2172</v>
      </c>
      <c r="F1711" s="28">
        <v>221</v>
      </c>
      <c r="G1711" s="9">
        <v>203</v>
      </c>
      <c r="H1711" s="1" t="s">
        <v>3073</v>
      </c>
      <c r="I1711" s="1" t="s">
        <v>3073</v>
      </c>
      <c r="J1711" t="str">
        <f t="shared" si="26"/>
        <v>http://www.badatelna.eu/reprodukce/?fondId=1073&amp;zaznamId=1108958&amp;reproId=3779962</v>
      </c>
      <c r="K1711">
        <f>IF(LEN(TRIM(E1711))=0,"",VLOOKUP(E1711,Sheet2!$B$1:$E$19,2,FALSE))</f>
        <v>1073</v>
      </c>
      <c r="L1711">
        <f>IF(LEN(TRIM(E1711))=0,"",VLOOKUP(E1711,Sheet2!$B$1:$E$19,3,FALSE))</f>
        <v>1108958</v>
      </c>
      <c r="M1711">
        <f>IF(LEN(TRIM(E1711))=0,"",VLOOKUP(E1711,Sheet2!$B$1:$E$19,4,FALSE))+(F1711-1)</f>
        <v>3779962</v>
      </c>
    </row>
    <row r="1712" spans="1:17" s="1" customFormat="1" ht="15" customHeight="1" x14ac:dyDescent="0.25">
      <c r="A1712" s="28" t="s">
        <v>227</v>
      </c>
      <c r="B1712" s="28" t="s">
        <v>272</v>
      </c>
      <c r="C1712" s="6" t="s">
        <v>1779</v>
      </c>
      <c r="D1712" s="1" t="s">
        <v>454</v>
      </c>
      <c r="E1712" s="1">
        <v>2172</v>
      </c>
      <c r="F1712" s="28">
        <v>148</v>
      </c>
      <c r="G1712" s="9">
        <v>144</v>
      </c>
      <c r="H1712" s="1">
        <v>149</v>
      </c>
      <c r="I1712" s="1">
        <v>145</v>
      </c>
      <c r="J1712" t="str">
        <f t="shared" si="26"/>
        <v>http://www.badatelna.eu/reprodukce/?fondId=1073&amp;zaznamId=1108958&amp;reproId=3779889</v>
      </c>
      <c r="K1712">
        <f>IF(LEN(TRIM(E1712))=0,"",VLOOKUP(E1712,Sheet2!$B$1:$E$19,2,FALSE))</f>
        <v>1073</v>
      </c>
      <c r="L1712">
        <f>IF(LEN(TRIM(E1712))=0,"",VLOOKUP(E1712,Sheet2!$B$1:$E$19,3,FALSE))</f>
        <v>1108958</v>
      </c>
      <c r="M1712">
        <f>IF(LEN(TRIM(E1712))=0,"",VLOOKUP(E1712,Sheet2!$B$1:$E$19,4,FALSE))+(F1712-1)</f>
        <v>3779889</v>
      </c>
    </row>
    <row r="1713" spans="1:17" s="1" customFormat="1" ht="15" customHeight="1" x14ac:dyDescent="0.25">
      <c r="A1713" s="28" t="s">
        <v>227</v>
      </c>
      <c r="B1713" s="28" t="s">
        <v>600</v>
      </c>
      <c r="C1713" s="6" t="s">
        <v>1682</v>
      </c>
      <c r="D1713" s="1" t="s">
        <v>454</v>
      </c>
      <c r="E1713" s="1">
        <v>2172</v>
      </c>
      <c r="F1713" s="28">
        <v>107</v>
      </c>
      <c r="G1713" s="9">
        <v>106</v>
      </c>
      <c r="H1713" s="1">
        <v>109</v>
      </c>
      <c r="I1713" s="1">
        <v>108</v>
      </c>
      <c r="J1713" t="str">
        <f t="shared" si="26"/>
        <v>http://www.badatelna.eu/reprodukce/?fondId=1073&amp;zaznamId=1108958&amp;reproId=3779848</v>
      </c>
      <c r="K1713">
        <f>IF(LEN(TRIM(E1713))=0,"",VLOOKUP(E1713,Sheet2!$B$1:$E$19,2,FALSE))</f>
        <v>1073</v>
      </c>
      <c r="L1713">
        <f>IF(LEN(TRIM(E1713))=0,"",VLOOKUP(E1713,Sheet2!$B$1:$E$19,3,FALSE))</f>
        <v>1108958</v>
      </c>
      <c r="M1713">
        <f>IF(LEN(TRIM(E1713))=0,"",VLOOKUP(E1713,Sheet2!$B$1:$E$19,4,FALSE))+(F1713-1)</f>
        <v>3779848</v>
      </c>
    </row>
    <row r="1714" spans="1:17" s="1" customFormat="1" ht="15" customHeight="1" x14ac:dyDescent="0.25">
      <c r="A1714" s="28" t="s">
        <v>227</v>
      </c>
      <c r="B1714" s="28" t="s">
        <v>13</v>
      </c>
      <c r="C1714" s="6" t="s">
        <v>1622</v>
      </c>
      <c r="D1714" s="1" t="s">
        <v>454</v>
      </c>
      <c r="E1714" s="1">
        <v>2172</v>
      </c>
      <c r="F1714" s="28">
        <v>87</v>
      </c>
      <c r="G1714" s="9">
        <v>86</v>
      </c>
      <c r="H1714" s="1">
        <v>90</v>
      </c>
      <c r="I1714" s="1">
        <v>89</v>
      </c>
      <c r="J1714" t="str">
        <f t="shared" si="26"/>
        <v>http://www.badatelna.eu/reprodukce/?fondId=1073&amp;zaznamId=1108958&amp;reproId=3779828</v>
      </c>
      <c r="K1714">
        <f>IF(LEN(TRIM(E1714))=0,"",VLOOKUP(E1714,Sheet2!$B$1:$E$19,2,FALSE))</f>
        <v>1073</v>
      </c>
      <c r="L1714">
        <f>IF(LEN(TRIM(E1714))=0,"",VLOOKUP(E1714,Sheet2!$B$1:$E$19,3,FALSE))</f>
        <v>1108958</v>
      </c>
      <c r="M1714">
        <f>IF(LEN(TRIM(E1714))=0,"",VLOOKUP(E1714,Sheet2!$B$1:$E$19,4,FALSE))+(F1714-1)</f>
        <v>3779828</v>
      </c>
    </row>
    <row r="1715" spans="1:17" s="1" customFormat="1" ht="15" customHeight="1" x14ac:dyDescent="0.25">
      <c r="A1715" s="28" t="s">
        <v>227</v>
      </c>
      <c r="B1715" s="28" t="s">
        <v>966</v>
      </c>
      <c r="C1715" s="15">
        <v>13365</v>
      </c>
      <c r="D1715" s="1" t="s">
        <v>454</v>
      </c>
      <c r="E1715" s="1">
        <v>2172</v>
      </c>
      <c r="F1715" s="28">
        <v>237</v>
      </c>
      <c r="G1715" s="9">
        <v>217</v>
      </c>
      <c r="H1715" s="1" t="s">
        <v>3073</v>
      </c>
      <c r="I1715" s="1" t="s">
        <v>3073</v>
      </c>
      <c r="J1715" t="str">
        <f t="shared" si="26"/>
        <v>http://www.badatelna.eu/reprodukce/?fondId=1073&amp;zaznamId=1108958&amp;reproId=3779978</v>
      </c>
      <c r="K1715">
        <f>IF(LEN(TRIM(E1715))=0,"",VLOOKUP(E1715,Sheet2!$B$1:$E$19,2,FALSE))</f>
        <v>1073</v>
      </c>
      <c r="L1715">
        <f>IF(LEN(TRIM(E1715))=0,"",VLOOKUP(E1715,Sheet2!$B$1:$E$19,3,FALSE))</f>
        <v>1108958</v>
      </c>
      <c r="M1715">
        <f>IF(LEN(TRIM(E1715))=0,"",VLOOKUP(E1715,Sheet2!$B$1:$E$19,4,FALSE))+(F1715-1)</f>
        <v>3779978</v>
      </c>
    </row>
    <row r="1716" spans="1:17" s="1" customFormat="1" ht="15" customHeight="1" x14ac:dyDescent="0.25">
      <c r="A1716" s="28" t="s">
        <v>967</v>
      </c>
      <c r="B1716" s="28" t="s">
        <v>812</v>
      </c>
      <c r="C1716" s="6" t="s">
        <v>1947</v>
      </c>
      <c r="D1716" s="1" t="s">
        <v>454</v>
      </c>
      <c r="E1716" s="1">
        <v>2172</v>
      </c>
      <c r="F1716" s="28">
        <v>226</v>
      </c>
      <c r="G1716" s="9">
        <v>207</v>
      </c>
      <c r="H1716" s="1" t="s">
        <v>3073</v>
      </c>
      <c r="I1716" s="1" t="s">
        <v>3073</v>
      </c>
      <c r="J1716" t="str">
        <f t="shared" si="26"/>
        <v>http://www.badatelna.eu/reprodukce/?fondId=1073&amp;zaznamId=1108958&amp;reproId=3779967</v>
      </c>
      <c r="K1716">
        <f>IF(LEN(TRIM(E1716))=0,"",VLOOKUP(E1716,Sheet2!$B$1:$E$19,2,FALSE))</f>
        <v>1073</v>
      </c>
      <c r="L1716">
        <f>IF(LEN(TRIM(E1716))=0,"",VLOOKUP(E1716,Sheet2!$B$1:$E$19,3,FALSE))</f>
        <v>1108958</v>
      </c>
      <c r="M1716">
        <f>IF(LEN(TRIM(E1716))=0,"",VLOOKUP(E1716,Sheet2!$B$1:$E$19,4,FALSE))+(F1716-1)</f>
        <v>3779967</v>
      </c>
    </row>
    <row r="1717" spans="1:17" s="1" customFormat="1" ht="15" customHeight="1" x14ac:dyDescent="0.25">
      <c r="A1717" s="27" t="s">
        <v>578</v>
      </c>
      <c r="B1717" s="27" t="s">
        <v>465</v>
      </c>
      <c r="C1717" s="5" t="s">
        <v>1273</v>
      </c>
      <c r="D1717" s="3" t="s">
        <v>454</v>
      </c>
      <c r="E1717" s="3">
        <v>2170</v>
      </c>
      <c r="F1717" s="28">
        <v>5</v>
      </c>
      <c r="G1717" s="10">
        <v>1</v>
      </c>
      <c r="H1717" s="3">
        <v>68</v>
      </c>
      <c r="I1717" s="3">
        <v>64</v>
      </c>
      <c r="J1717" t="str">
        <f t="shared" si="26"/>
        <v>http://www.badatelna.eu/reprodukce/?fondId=1073&amp;zaznamId=1108956&amp;reproId=3779597</v>
      </c>
      <c r="K1717">
        <f>IF(LEN(TRIM(E1717))=0,"",VLOOKUP(E1717,Sheet2!$B$1:$E$19,2,FALSE))</f>
        <v>1073</v>
      </c>
      <c r="L1717">
        <f>IF(LEN(TRIM(E1717))=0,"",VLOOKUP(E1717,Sheet2!$B$1:$E$19,3,FALSE))</f>
        <v>1108956</v>
      </c>
      <c r="M1717">
        <f>IF(LEN(TRIM(E1717))=0,"",VLOOKUP(E1717,Sheet2!$B$1:$E$19,4,FALSE))+(F1717-1)</f>
        <v>3779597</v>
      </c>
    </row>
    <row r="1718" spans="1:17" s="1" customFormat="1" ht="15" customHeight="1" x14ac:dyDescent="0.25">
      <c r="A1718" s="27" t="s">
        <v>578</v>
      </c>
      <c r="B1718" s="27" t="s">
        <v>465</v>
      </c>
      <c r="C1718" s="5" t="s">
        <v>1275</v>
      </c>
      <c r="D1718" s="3" t="s">
        <v>454</v>
      </c>
      <c r="E1718" s="3">
        <v>2170</v>
      </c>
      <c r="F1718" s="28">
        <v>27</v>
      </c>
      <c r="G1718" s="10">
        <v>23</v>
      </c>
      <c r="H1718" s="3">
        <v>68</v>
      </c>
      <c r="I1718" s="3">
        <v>64</v>
      </c>
      <c r="J1718" t="str">
        <f t="shared" si="26"/>
        <v>http://www.badatelna.eu/reprodukce/?fondId=1073&amp;zaznamId=1108956&amp;reproId=3779619</v>
      </c>
      <c r="K1718">
        <f>IF(LEN(TRIM(E1718))=0,"",VLOOKUP(E1718,Sheet2!$B$1:$E$19,2,FALSE))</f>
        <v>1073</v>
      </c>
      <c r="L1718">
        <f>IF(LEN(TRIM(E1718))=0,"",VLOOKUP(E1718,Sheet2!$B$1:$E$19,3,FALSE))</f>
        <v>1108956</v>
      </c>
      <c r="M1718">
        <f>IF(LEN(TRIM(E1718))=0,"",VLOOKUP(E1718,Sheet2!$B$1:$E$19,4,FALSE))+(F1718-1)</f>
        <v>3779619</v>
      </c>
    </row>
    <row r="1719" spans="1:17" s="1" customFormat="1" ht="15" customHeight="1" x14ac:dyDescent="0.25">
      <c r="A1719" s="27" t="s">
        <v>578</v>
      </c>
      <c r="B1719" s="27" t="s">
        <v>541</v>
      </c>
      <c r="C1719" s="5" t="s">
        <v>1274</v>
      </c>
      <c r="D1719" s="3" t="s">
        <v>454</v>
      </c>
      <c r="E1719" s="3">
        <v>2170</v>
      </c>
      <c r="F1719" s="28">
        <v>9</v>
      </c>
      <c r="G1719" s="10">
        <v>5</v>
      </c>
      <c r="H1719" s="3">
        <v>68</v>
      </c>
      <c r="I1719" s="3">
        <v>64</v>
      </c>
      <c r="J1719" t="str">
        <f t="shared" si="26"/>
        <v>http://www.badatelna.eu/reprodukce/?fondId=1073&amp;zaznamId=1108956&amp;reproId=3779601</v>
      </c>
      <c r="K1719">
        <f>IF(LEN(TRIM(E1719))=0,"",VLOOKUP(E1719,Sheet2!$B$1:$E$19,2,FALSE))</f>
        <v>1073</v>
      </c>
      <c r="L1719">
        <f>IF(LEN(TRIM(E1719))=0,"",VLOOKUP(E1719,Sheet2!$B$1:$E$19,3,FALSE))</f>
        <v>1108956</v>
      </c>
      <c r="M1719">
        <f>IF(LEN(TRIM(E1719))=0,"",VLOOKUP(E1719,Sheet2!$B$1:$E$19,4,FALSE))+(F1719-1)</f>
        <v>3779601</v>
      </c>
      <c r="N1719"/>
      <c r="O1719"/>
      <c r="P1719"/>
      <c r="Q1719"/>
    </row>
    <row r="1720" spans="1:17" s="1" customFormat="1" ht="15" customHeight="1" x14ac:dyDescent="0.25">
      <c r="A1720" s="28" t="s">
        <v>578</v>
      </c>
      <c r="B1720" s="29" t="s">
        <v>2986</v>
      </c>
      <c r="C1720" s="1">
        <v>1847</v>
      </c>
      <c r="D1720" s="1" t="s">
        <v>2919</v>
      </c>
      <c r="E1720" s="1">
        <v>998</v>
      </c>
      <c r="F1720" s="28">
        <v>11</v>
      </c>
      <c r="G1720" s="1">
        <v>9</v>
      </c>
      <c r="H1720" s="1">
        <v>76</v>
      </c>
      <c r="I1720" s="1">
        <v>73</v>
      </c>
      <c r="J1720" t="str">
        <f t="shared" si="26"/>
        <v>http://www.badatelna.eu/reprodukce/?fondId=241&amp;zaznamId=1133738&amp;reproId=3885657</v>
      </c>
      <c r="K1720">
        <f>IF(LEN(TRIM(E1720))=0,"",VLOOKUP(E1720,Sheet2!$B$1:$E$19,2,FALSE))</f>
        <v>241</v>
      </c>
      <c r="L1720">
        <f>IF(LEN(TRIM(E1720))=0,"",VLOOKUP(E1720,Sheet2!$B$1:$E$19,3,FALSE))</f>
        <v>1133738</v>
      </c>
      <c r="M1720">
        <f>IF(LEN(TRIM(E1720))=0,"",VLOOKUP(E1720,Sheet2!$B$1:$E$19,4,FALSE))+(F1720-1)</f>
        <v>3885657</v>
      </c>
      <c r="N1720"/>
      <c r="O1720"/>
      <c r="P1720"/>
      <c r="Q1720"/>
    </row>
    <row r="1721" spans="1:17" s="1" customFormat="1" ht="15" customHeight="1" x14ac:dyDescent="0.25">
      <c r="A1721" s="27" t="s">
        <v>578</v>
      </c>
      <c r="B1721" s="27" t="s">
        <v>259</v>
      </c>
      <c r="C1721" s="5" t="s">
        <v>1315</v>
      </c>
      <c r="D1721" s="3" t="s">
        <v>454</v>
      </c>
      <c r="E1721" s="3">
        <v>2170</v>
      </c>
      <c r="F1721" s="28">
        <v>49</v>
      </c>
      <c r="G1721" s="10">
        <v>45</v>
      </c>
      <c r="H1721" s="3">
        <v>69</v>
      </c>
      <c r="I1721" s="3">
        <v>65</v>
      </c>
      <c r="J1721" t="str">
        <f t="shared" si="26"/>
        <v>http://www.badatelna.eu/reprodukce/?fondId=1073&amp;zaznamId=1108956&amp;reproId=3779641</v>
      </c>
      <c r="K1721">
        <f>IF(LEN(TRIM(E1721))=0,"",VLOOKUP(E1721,Sheet2!$B$1:$E$19,2,FALSE))</f>
        <v>1073</v>
      </c>
      <c r="L1721">
        <f>IF(LEN(TRIM(E1721))=0,"",VLOOKUP(E1721,Sheet2!$B$1:$E$19,3,FALSE))</f>
        <v>1108956</v>
      </c>
      <c r="M1721">
        <f>IF(LEN(TRIM(E1721))=0,"",VLOOKUP(E1721,Sheet2!$B$1:$E$19,4,FALSE))+(F1721-1)</f>
        <v>3779641</v>
      </c>
      <c r="N1721"/>
      <c r="O1721"/>
      <c r="P1721"/>
      <c r="Q1721"/>
    </row>
    <row r="1722" spans="1:17" s="1" customFormat="1" ht="15" customHeight="1" x14ac:dyDescent="0.25">
      <c r="A1722" s="28" t="s">
        <v>116</v>
      </c>
      <c r="B1722" s="28" t="s">
        <v>357</v>
      </c>
      <c r="C1722" s="1">
        <v>1858</v>
      </c>
      <c r="D1722" s="1" t="s">
        <v>2919</v>
      </c>
      <c r="E1722" s="1">
        <v>998</v>
      </c>
      <c r="F1722" s="28">
        <v>54</v>
      </c>
      <c r="G1722" s="1">
        <v>52</v>
      </c>
      <c r="H1722" s="1">
        <v>76</v>
      </c>
      <c r="I1722" s="1">
        <v>73</v>
      </c>
      <c r="J1722" t="str">
        <f t="shared" si="26"/>
        <v>http://www.badatelna.eu/reprodukce/?fondId=241&amp;zaznamId=1133738&amp;reproId=3885700</v>
      </c>
      <c r="K1722">
        <f>IF(LEN(TRIM(E1722))=0,"",VLOOKUP(E1722,Sheet2!$B$1:$E$19,2,FALSE))</f>
        <v>241</v>
      </c>
      <c r="L1722">
        <f>IF(LEN(TRIM(E1722))=0,"",VLOOKUP(E1722,Sheet2!$B$1:$E$19,3,FALSE))</f>
        <v>1133738</v>
      </c>
      <c r="M1722">
        <f>IF(LEN(TRIM(E1722))=0,"",VLOOKUP(E1722,Sheet2!$B$1:$E$19,4,FALSE))+(F1722-1)</f>
        <v>3885700</v>
      </c>
      <c r="N1722"/>
      <c r="O1722"/>
      <c r="P1722"/>
      <c r="Q1722"/>
    </row>
    <row r="1723" spans="1:17" s="1" customFormat="1" ht="15" customHeight="1" x14ac:dyDescent="0.25">
      <c r="A1723" s="28" t="s">
        <v>116</v>
      </c>
      <c r="B1723" s="28" t="s">
        <v>75</v>
      </c>
      <c r="C1723" s="6" t="s">
        <v>2308</v>
      </c>
      <c r="D1723" s="1" t="s">
        <v>454</v>
      </c>
      <c r="E1723" s="1">
        <v>2173</v>
      </c>
      <c r="F1723" s="31">
        <v>199</v>
      </c>
      <c r="G1723" s="9">
        <v>7</v>
      </c>
      <c r="H1723" s="1" t="s">
        <v>3073</v>
      </c>
      <c r="I1723" s="1" t="s">
        <v>3073</v>
      </c>
      <c r="J1723" t="str">
        <f t="shared" si="26"/>
        <v>http://www.badatelna.eu/reprodukce/?fondId=1073&amp;zaznamId=1108959&amp;reproId=3780192</v>
      </c>
      <c r="K1723">
        <f>IF(LEN(TRIM(E1723))=0,"",VLOOKUP(E1723,Sheet2!$B$1:$E$19,2,FALSE))</f>
        <v>1073</v>
      </c>
      <c r="L1723">
        <f>IF(LEN(TRIM(E1723))=0,"",VLOOKUP(E1723,Sheet2!$B$1:$E$19,3,FALSE))</f>
        <v>1108959</v>
      </c>
      <c r="M1723">
        <f>IF(LEN(TRIM(E1723))=0,"",VLOOKUP(E1723,Sheet2!$B$1:$E$19,4,FALSE))+(F1723-1)</f>
        <v>3780192</v>
      </c>
    </row>
    <row r="1724" spans="1:17" s="1" customFormat="1" ht="15" customHeight="1" x14ac:dyDescent="0.25">
      <c r="A1724" s="28" t="s">
        <v>116</v>
      </c>
      <c r="B1724" s="28" t="s">
        <v>529</v>
      </c>
      <c r="C1724" s="1">
        <v>1854</v>
      </c>
      <c r="D1724" s="1" t="s">
        <v>2919</v>
      </c>
      <c r="E1724" s="1">
        <v>998</v>
      </c>
      <c r="F1724" s="28">
        <v>42</v>
      </c>
      <c r="G1724" s="1">
        <v>40</v>
      </c>
      <c r="H1724" s="1">
        <v>76</v>
      </c>
      <c r="I1724" s="1">
        <v>73</v>
      </c>
      <c r="J1724" t="str">
        <f t="shared" si="26"/>
        <v>http://www.badatelna.eu/reprodukce/?fondId=241&amp;zaznamId=1133738&amp;reproId=3885688</v>
      </c>
      <c r="K1724">
        <f>IF(LEN(TRIM(E1724))=0,"",VLOOKUP(E1724,Sheet2!$B$1:$E$19,2,FALSE))</f>
        <v>241</v>
      </c>
      <c r="L1724">
        <f>IF(LEN(TRIM(E1724))=0,"",VLOOKUP(E1724,Sheet2!$B$1:$E$19,3,FALSE))</f>
        <v>1133738</v>
      </c>
      <c r="M1724">
        <f>IF(LEN(TRIM(E1724))=0,"",VLOOKUP(E1724,Sheet2!$B$1:$E$19,4,FALSE))+(F1724-1)</f>
        <v>3885688</v>
      </c>
      <c r="N1724"/>
      <c r="O1724"/>
      <c r="P1724"/>
      <c r="Q1724"/>
    </row>
    <row r="1725" spans="1:17" s="1" customFormat="1" ht="15" customHeight="1" x14ac:dyDescent="0.25">
      <c r="A1725" s="28" t="s">
        <v>2987</v>
      </c>
      <c r="B1725" s="28" t="s">
        <v>25</v>
      </c>
      <c r="C1725" s="1">
        <v>1847</v>
      </c>
      <c r="D1725" s="1" t="s">
        <v>2919</v>
      </c>
      <c r="E1725" s="1">
        <v>998</v>
      </c>
      <c r="F1725" s="28">
        <v>9</v>
      </c>
      <c r="G1725" s="1">
        <v>7</v>
      </c>
      <c r="H1725" s="1">
        <v>76</v>
      </c>
      <c r="I1725" s="1">
        <v>73</v>
      </c>
      <c r="J1725" t="str">
        <f t="shared" si="26"/>
        <v>http://www.badatelna.eu/reprodukce/?fondId=241&amp;zaznamId=1133738&amp;reproId=3885655</v>
      </c>
      <c r="K1725">
        <f>IF(LEN(TRIM(E1725))=0,"",VLOOKUP(E1725,Sheet2!$B$1:$E$19,2,FALSE))</f>
        <v>241</v>
      </c>
      <c r="L1725">
        <f>IF(LEN(TRIM(E1725))=0,"",VLOOKUP(E1725,Sheet2!$B$1:$E$19,3,FALSE))</f>
        <v>1133738</v>
      </c>
      <c r="M1725">
        <f>IF(LEN(TRIM(E1725))=0,"",VLOOKUP(E1725,Sheet2!$B$1:$E$19,4,FALSE))+(F1725-1)</f>
        <v>3885655</v>
      </c>
    </row>
    <row r="1726" spans="1:17" s="1" customFormat="1" ht="15" customHeight="1" x14ac:dyDescent="0.25">
      <c r="A1726" s="28" t="s">
        <v>9</v>
      </c>
      <c r="B1726" s="28" t="s">
        <v>0</v>
      </c>
      <c r="C1726" s="1">
        <v>1883</v>
      </c>
      <c r="D1726" s="1" t="s">
        <v>454</v>
      </c>
      <c r="E1726" s="1">
        <v>2172</v>
      </c>
      <c r="F1726" s="28">
        <v>33</v>
      </c>
      <c r="G1726" s="9">
        <v>32</v>
      </c>
      <c r="H1726" s="1">
        <v>36</v>
      </c>
      <c r="I1726" s="1">
        <v>35</v>
      </c>
      <c r="J1726" t="str">
        <f t="shared" si="26"/>
        <v>http://www.badatelna.eu/reprodukce/?fondId=1073&amp;zaznamId=1108958&amp;reproId=3779774</v>
      </c>
      <c r="K1726">
        <f>IF(LEN(TRIM(E1726))=0,"",VLOOKUP(E1726,Sheet2!$B$1:$E$19,2,FALSE))</f>
        <v>1073</v>
      </c>
      <c r="L1726">
        <f>IF(LEN(TRIM(E1726))=0,"",VLOOKUP(E1726,Sheet2!$B$1:$E$19,3,FALSE))</f>
        <v>1108958</v>
      </c>
      <c r="M1726">
        <f>IF(LEN(TRIM(E1726))=0,"",VLOOKUP(E1726,Sheet2!$B$1:$E$19,4,FALSE))+(F1726-1)</f>
        <v>3779774</v>
      </c>
    </row>
    <row r="1727" spans="1:17" s="1" customFormat="1" ht="15" customHeight="1" x14ac:dyDescent="0.25">
      <c r="A1727" s="28" t="s">
        <v>9</v>
      </c>
      <c r="B1727" s="28" t="s">
        <v>18</v>
      </c>
      <c r="C1727" s="6" t="s">
        <v>2327</v>
      </c>
      <c r="D1727" s="1" t="s">
        <v>454</v>
      </c>
      <c r="E1727" s="1">
        <v>2173</v>
      </c>
      <c r="F1727" s="31">
        <v>199</v>
      </c>
      <c r="G1727" s="9">
        <v>7</v>
      </c>
      <c r="H1727" s="1" t="s">
        <v>3073</v>
      </c>
      <c r="I1727" s="1" t="s">
        <v>3073</v>
      </c>
      <c r="J1727" t="str">
        <f t="shared" si="26"/>
        <v>http://www.badatelna.eu/reprodukce/?fondId=1073&amp;zaznamId=1108959&amp;reproId=3780192</v>
      </c>
      <c r="K1727">
        <f>IF(LEN(TRIM(E1727))=0,"",VLOOKUP(E1727,Sheet2!$B$1:$E$19,2,FALSE))</f>
        <v>1073</v>
      </c>
      <c r="L1727">
        <f>IF(LEN(TRIM(E1727))=0,"",VLOOKUP(E1727,Sheet2!$B$1:$E$19,3,FALSE))</f>
        <v>1108959</v>
      </c>
      <c r="M1727">
        <f>IF(LEN(TRIM(E1727))=0,"",VLOOKUP(E1727,Sheet2!$B$1:$E$19,4,FALSE))+(F1727-1)</f>
        <v>3780192</v>
      </c>
    </row>
    <row r="1728" spans="1:17" s="1" customFormat="1" ht="15" customHeight="1" x14ac:dyDescent="0.25">
      <c r="A1728" s="28" t="s">
        <v>9</v>
      </c>
      <c r="B1728" s="28" t="s">
        <v>25</v>
      </c>
      <c r="C1728" s="6" t="s">
        <v>2697</v>
      </c>
      <c r="D1728" s="1" t="s">
        <v>454</v>
      </c>
      <c r="E1728" s="1">
        <v>2173</v>
      </c>
      <c r="F1728" s="28">
        <v>224</v>
      </c>
      <c r="G1728" s="9">
        <v>53</v>
      </c>
      <c r="H1728" s="1" t="s">
        <v>3073</v>
      </c>
      <c r="I1728" s="1" t="s">
        <v>3073</v>
      </c>
      <c r="J1728" t="str">
        <f t="shared" si="26"/>
        <v>http://www.badatelna.eu/reprodukce/?fondId=1073&amp;zaznamId=1108959&amp;reproId=3780217</v>
      </c>
      <c r="K1728">
        <f>IF(LEN(TRIM(E1728))=0,"",VLOOKUP(E1728,Sheet2!$B$1:$E$19,2,FALSE))</f>
        <v>1073</v>
      </c>
      <c r="L1728">
        <f>IF(LEN(TRIM(E1728))=0,"",VLOOKUP(E1728,Sheet2!$B$1:$E$19,3,FALSE))</f>
        <v>1108959</v>
      </c>
      <c r="M1728">
        <f>IF(LEN(TRIM(E1728))=0,"",VLOOKUP(E1728,Sheet2!$B$1:$E$19,4,FALSE))+(F1728-1)</f>
        <v>3780217</v>
      </c>
    </row>
    <row r="1729" spans="1:17" s="1" customFormat="1" ht="15" customHeight="1" x14ac:dyDescent="0.25">
      <c r="A1729" s="28" t="s">
        <v>9</v>
      </c>
      <c r="B1729" s="28" t="s">
        <v>25</v>
      </c>
      <c r="C1729" s="6" t="s">
        <v>2271</v>
      </c>
      <c r="D1729" s="1" t="s">
        <v>454</v>
      </c>
      <c r="E1729" s="1">
        <v>2173</v>
      </c>
      <c r="F1729" s="31">
        <v>197</v>
      </c>
      <c r="G1729" s="12">
        <v>4</v>
      </c>
      <c r="H1729" s="1" t="s">
        <v>3073</v>
      </c>
      <c r="I1729" s="1" t="s">
        <v>3073</v>
      </c>
      <c r="J1729" t="str">
        <f t="shared" si="26"/>
        <v>http://www.badatelna.eu/reprodukce/?fondId=1073&amp;zaznamId=1108959&amp;reproId=3780190</v>
      </c>
      <c r="K1729">
        <f>IF(LEN(TRIM(E1729))=0,"",VLOOKUP(E1729,Sheet2!$B$1:$E$19,2,FALSE))</f>
        <v>1073</v>
      </c>
      <c r="L1729">
        <f>IF(LEN(TRIM(E1729))=0,"",VLOOKUP(E1729,Sheet2!$B$1:$E$19,3,FALSE))</f>
        <v>1108959</v>
      </c>
      <c r="M1729">
        <f>IF(LEN(TRIM(E1729))=0,"",VLOOKUP(E1729,Sheet2!$B$1:$E$19,4,FALSE))+(F1729-1)</f>
        <v>3780190</v>
      </c>
    </row>
    <row r="1730" spans="1:17" s="1" customFormat="1" ht="15" customHeight="1" x14ac:dyDescent="0.25">
      <c r="A1730" s="28" t="s">
        <v>9</v>
      </c>
      <c r="B1730" s="28" t="s">
        <v>10</v>
      </c>
      <c r="C1730" s="6" t="s">
        <v>2240</v>
      </c>
      <c r="D1730" s="1" t="s">
        <v>454</v>
      </c>
      <c r="E1730" s="1">
        <v>2173</v>
      </c>
      <c r="F1730" s="28">
        <v>196</v>
      </c>
      <c r="G1730" s="9">
        <v>1</v>
      </c>
      <c r="H1730" s="1" t="s">
        <v>3073</v>
      </c>
      <c r="I1730" s="1" t="s">
        <v>3073</v>
      </c>
      <c r="J1730" t="str">
        <f t="shared" si="26"/>
        <v>http://www.badatelna.eu/reprodukce/?fondId=1073&amp;zaznamId=1108959&amp;reproId=3780189</v>
      </c>
      <c r="K1730">
        <f>IF(LEN(TRIM(E1730))=0,"",VLOOKUP(E1730,Sheet2!$B$1:$E$19,2,FALSE))</f>
        <v>1073</v>
      </c>
      <c r="L1730">
        <f>IF(LEN(TRIM(E1730))=0,"",VLOOKUP(E1730,Sheet2!$B$1:$E$19,3,FALSE))</f>
        <v>1108959</v>
      </c>
      <c r="M1730">
        <f>IF(LEN(TRIM(E1730))=0,"",VLOOKUP(E1730,Sheet2!$B$1:$E$19,4,FALSE))+(F1730-1)</f>
        <v>3780189</v>
      </c>
    </row>
    <row r="1731" spans="1:17" s="1" customFormat="1" ht="15" customHeight="1" x14ac:dyDescent="0.25">
      <c r="A1731" s="28"/>
      <c r="B1731" s="28"/>
      <c r="C1731" s="38" t="s">
        <v>3129</v>
      </c>
      <c r="F1731" s="28"/>
      <c r="G1731" s="9"/>
      <c r="J1731" t="str">
        <f t="shared" ref="J1731:J1794" si="27">IF(LEN(TRIM(E1731))=0,"","http://www.badatelna.eu/reprodukce/?fondId="&amp;K1731&amp;"&amp;zaznamId="&amp;L1731&amp;"&amp;reproId="&amp;M1731)</f>
        <v/>
      </c>
      <c r="K1731" t="str">
        <f>IF(LEN(TRIM(E1731))=0,"",VLOOKUP(E1731,Sheet2!$B$1:$E$19,2,FALSE))</f>
        <v/>
      </c>
      <c r="L1731" t="str">
        <f>IF(LEN(TRIM(E1731))=0,"",VLOOKUP(E1731,Sheet2!$B$1:$E$19,3,FALSE))</f>
        <v/>
      </c>
      <c r="M1731" t="e">
        <f>IF(LEN(TRIM(E1731))=0,"",VLOOKUP(E1731,Sheet2!$B$1:$E$19,4,FALSE))+(F1731-1)</f>
        <v>#VALUE!</v>
      </c>
    </row>
    <row r="1732" spans="1:17" s="1" customFormat="1" ht="15" customHeight="1" x14ac:dyDescent="0.25">
      <c r="A1732" s="28" t="s">
        <v>150</v>
      </c>
      <c r="B1732" s="28" t="s">
        <v>33</v>
      </c>
      <c r="C1732" s="1">
        <v>1863</v>
      </c>
      <c r="D1732" s="1" t="s">
        <v>2919</v>
      </c>
      <c r="E1732" s="1">
        <v>999</v>
      </c>
      <c r="F1732" s="28">
        <v>85</v>
      </c>
      <c r="G1732" s="1">
        <v>6</v>
      </c>
      <c r="H1732" s="1">
        <v>106</v>
      </c>
      <c r="I1732" s="1">
        <v>165</v>
      </c>
      <c r="J1732" t="str">
        <f t="shared" si="27"/>
        <v>http://www.badatelna.eu/reprodukce/?fondId=241&amp;zaznamId=1133739&amp;reproId=3885814</v>
      </c>
      <c r="K1732">
        <f>IF(LEN(TRIM(E1732))=0,"",VLOOKUP(E1732,Sheet2!$B$1:$E$19,2,FALSE))</f>
        <v>241</v>
      </c>
      <c r="L1732">
        <f>IF(LEN(TRIM(E1732))=0,"",VLOOKUP(E1732,Sheet2!$B$1:$E$19,3,FALSE))</f>
        <v>1133739</v>
      </c>
      <c r="M1732">
        <f>IF(LEN(TRIM(E1732))=0,"",VLOOKUP(E1732,Sheet2!$B$1:$E$19,4,FALSE))+(F1732-1)</f>
        <v>3885814</v>
      </c>
    </row>
    <row r="1733" spans="1:17" s="1" customFormat="1" ht="15" customHeight="1" x14ac:dyDescent="0.25">
      <c r="A1733" s="28" t="s">
        <v>150</v>
      </c>
      <c r="B1733" s="28" t="s">
        <v>25</v>
      </c>
      <c r="C1733" s="6" t="s">
        <v>2378</v>
      </c>
      <c r="D1733" s="1" t="s">
        <v>454</v>
      </c>
      <c r="E1733" s="1">
        <v>2173</v>
      </c>
      <c r="F1733" s="28">
        <v>201</v>
      </c>
      <c r="G1733" s="9">
        <v>12</v>
      </c>
      <c r="H1733" s="1" t="s">
        <v>3073</v>
      </c>
      <c r="I1733" s="1" t="s">
        <v>3073</v>
      </c>
      <c r="J1733" t="str">
        <f t="shared" si="27"/>
        <v>http://www.badatelna.eu/reprodukce/?fondId=1073&amp;zaznamId=1108959&amp;reproId=3780194</v>
      </c>
      <c r="K1733">
        <f>IF(LEN(TRIM(E1733))=0,"",VLOOKUP(E1733,Sheet2!$B$1:$E$19,2,FALSE))</f>
        <v>1073</v>
      </c>
      <c r="L1733">
        <f>IF(LEN(TRIM(E1733))=0,"",VLOOKUP(E1733,Sheet2!$B$1:$E$19,3,FALSE))</f>
        <v>1108959</v>
      </c>
      <c r="M1733">
        <f>IF(LEN(TRIM(E1733))=0,"",VLOOKUP(E1733,Sheet2!$B$1:$E$19,4,FALSE))+(F1733-1)</f>
        <v>3780194</v>
      </c>
    </row>
    <row r="1734" spans="1:17" s="1" customFormat="1" ht="15" customHeight="1" x14ac:dyDescent="0.25">
      <c r="A1734" s="28" t="s">
        <v>150</v>
      </c>
      <c r="B1734" s="28" t="s">
        <v>39</v>
      </c>
      <c r="C1734" s="6" t="s">
        <v>2853</v>
      </c>
      <c r="D1734" s="1" t="s">
        <v>454</v>
      </c>
      <c r="E1734" s="1">
        <v>2173</v>
      </c>
      <c r="F1734" s="28">
        <v>209</v>
      </c>
      <c r="G1734" s="9" t="s">
        <v>2758</v>
      </c>
      <c r="H1734" s="1" t="s">
        <v>3073</v>
      </c>
      <c r="I1734" s="1" t="s">
        <v>3073</v>
      </c>
      <c r="J1734" t="str">
        <f t="shared" si="27"/>
        <v>http://www.badatelna.eu/reprodukce/?fondId=1073&amp;zaznamId=1108959&amp;reproId=3780202</v>
      </c>
      <c r="K1734">
        <f>IF(LEN(TRIM(E1734))=0,"",VLOOKUP(E1734,Sheet2!$B$1:$E$19,2,FALSE))</f>
        <v>1073</v>
      </c>
      <c r="L1734">
        <f>IF(LEN(TRIM(E1734))=0,"",VLOOKUP(E1734,Sheet2!$B$1:$E$19,3,FALSE))</f>
        <v>1108959</v>
      </c>
      <c r="M1734">
        <f>IF(LEN(TRIM(E1734))=0,"",VLOOKUP(E1734,Sheet2!$B$1:$E$19,4,FALSE))+(F1734-1)</f>
        <v>3780202</v>
      </c>
    </row>
    <row r="1735" spans="1:17" s="1" customFormat="1" ht="15" customHeight="1" x14ac:dyDescent="0.25">
      <c r="A1735" s="28"/>
      <c r="B1735" s="28"/>
      <c r="C1735" s="38" t="s">
        <v>3132</v>
      </c>
      <c r="F1735" s="28"/>
      <c r="G1735" s="9"/>
      <c r="J1735" t="str">
        <f t="shared" si="27"/>
        <v/>
      </c>
      <c r="K1735" t="str">
        <f>IF(LEN(TRIM(E1735))=0,"",VLOOKUP(E1735,Sheet2!$B$1:$E$19,2,FALSE))</f>
        <v/>
      </c>
      <c r="L1735" t="str">
        <f>IF(LEN(TRIM(E1735))=0,"",VLOOKUP(E1735,Sheet2!$B$1:$E$19,3,FALSE))</f>
        <v/>
      </c>
      <c r="M1735" t="e">
        <f>IF(LEN(TRIM(E1735))=0,"",VLOOKUP(E1735,Sheet2!$B$1:$E$19,4,FALSE))+(F1735-1)</f>
        <v>#VALUE!</v>
      </c>
    </row>
    <row r="1736" spans="1:17" s="1" customFormat="1" ht="15" customHeight="1" x14ac:dyDescent="0.25">
      <c r="A1736" s="28" t="s">
        <v>968</v>
      </c>
      <c r="B1736" s="28" t="s">
        <v>480</v>
      </c>
      <c r="C1736" s="6" t="s">
        <v>1520</v>
      </c>
      <c r="D1736" s="1" t="s">
        <v>454</v>
      </c>
      <c r="E1736" s="1">
        <v>2172</v>
      </c>
      <c r="F1736" s="28">
        <v>12</v>
      </c>
      <c r="G1736" s="9">
        <v>11</v>
      </c>
      <c r="H1736" s="1" t="s">
        <v>3073</v>
      </c>
      <c r="I1736" s="1" t="s">
        <v>3073</v>
      </c>
      <c r="J1736" t="str">
        <f t="shared" si="27"/>
        <v>http://www.badatelna.eu/reprodukce/?fondId=1073&amp;zaznamId=1108958&amp;reproId=3779753</v>
      </c>
      <c r="K1736">
        <f>IF(LEN(TRIM(E1736))=0,"",VLOOKUP(E1736,Sheet2!$B$1:$E$19,2,FALSE))</f>
        <v>1073</v>
      </c>
      <c r="L1736">
        <f>IF(LEN(TRIM(E1736))=0,"",VLOOKUP(E1736,Sheet2!$B$1:$E$19,3,FALSE))</f>
        <v>1108958</v>
      </c>
      <c r="M1736">
        <f>IF(LEN(TRIM(E1736))=0,"",VLOOKUP(E1736,Sheet2!$B$1:$E$19,4,FALSE))+(F1736-1)</f>
        <v>3779753</v>
      </c>
    </row>
    <row r="1737" spans="1:17" s="1" customFormat="1" ht="15" customHeight="1" x14ac:dyDescent="0.25">
      <c r="A1737" s="28" t="s">
        <v>968</v>
      </c>
      <c r="B1737" s="28" t="s">
        <v>691</v>
      </c>
      <c r="C1737" s="6" t="s">
        <v>1574</v>
      </c>
      <c r="D1737" s="1" t="s">
        <v>454</v>
      </c>
      <c r="E1737" s="1">
        <v>2172</v>
      </c>
      <c r="F1737" s="28">
        <v>19</v>
      </c>
      <c r="G1737" s="9" t="s">
        <v>1041</v>
      </c>
      <c r="H1737" s="1">
        <v>25</v>
      </c>
      <c r="I1737" s="1">
        <v>24</v>
      </c>
      <c r="J1737" t="str">
        <f t="shared" si="27"/>
        <v>http://www.badatelna.eu/reprodukce/?fondId=1073&amp;zaznamId=1108958&amp;reproId=3779760</v>
      </c>
      <c r="K1737">
        <f>IF(LEN(TRIM(E1737))=0,"",VLOOKUP(E1737,Sheet2!$B$1:$E$19,2,FALSE))</f>
        <v>1073</v>
      </c>
      <c r="L1737">
        <f>IF(LEN(TRIM(E1737))=0,"",VLOOKUP(E1737,Sheet2!$B$1:$E$19,3,FALSE))</f>
        <v>1108958</v>
      </c>
      <c r="M1737">
        <f>IF(LEN(TRIM(E1737))=0,"",VLOOKUP(E1737,Sheet2!$B$1:$E$19,4,FALSE))+(F1737-1)</f>
        <v>3779760</v>
      </c>
    </row>
    <row r="1738" spans="1:17" s="1" customFormat="1" ht="15" customHeight="1" x14ac:dyDescent="0.25">
      <c r="A1738" s="28" t="s">
        <v>968</v>
      </c>
      <c r="B1738" s="28" t="s">
        <v>969</v>
      </c>
      <c r="C1738" s="6" t="s">
        <v>1933</v>
      </c>
      <c r="D1738" s="1" t="s">
        <v>454</v>
      </c>
      <c r="E1738" s="1">
        <v>2172</v>
      </c>
      <c r="F1738" s="28">
        <v>217</v>
      </c>
      <c r="G1738" s="9">
        <v>201</v>
      </c>
      <c r="H1738" s="1" t="s">
        <v>3073</v>
      </c>
      <c r="I1738" s="1" t="s">
        <v>3073</v>
      </c>
      <c r="J1738" t="str">
        <f t="shared" si="27"/>
        <v>http://www.badatelna.eu/reprodukce/?fondId=1073&amp;zaznamId=1108958&amp;reproId=3779958</v>
      </c>
      <c r="K1738">
        <f>IF(LEN(TRIM(E1738))=0,"",VLOOKUP(E1738,Sheet2!$B$1:$E$19,2,FALSE))</f>
        <v>1073</v>
      </c>
      <c r="L1738">
        <f>IF(LEN(TRIM(E1738))=0,"",VLOOKUP(E1738,Sheet2!$B$1:$E$19,3,FALSE))</f>
        <v>1108958</v>
      </c>
      <c r="M1738">
        <f>IF(LEN(TRIM(E1738))=0,"",VLOOKUP(E1738,Sheet2!$B$1:$E$19,4,FALSE))+(F1738-1)</f>
        <v>3779958</v>
      </c>
    </row>
    <row r="1739" spans="1:17" s="1" customFormat="1" ht="15" customHeight="1" x14ac:dyDescent="0.25">
      <c r="A1739" s="28" t="s">
        <v>968</v>
      </c>
      <c r="B1739" s="28" t="s">
        <v>482</v>
      </c>
      <c r="C1739" s="1">
        <v>1885</v>
      </c>
      <c r="D1739" s="1" t="s">
        <v>454</v>
      </c>
      <c r="E1739" s="1">
        <v>2172</v>
      </c>
      <c r="F1739" s="28">
        <v>48</v>
      </c>
      <c r="G1739" s="9">
        <v>47</v>
      </c>
      <c r="H1739" s="1">
        <v>49</v>
      </c>
      <c r="I1739" s="1">
        <v>50</v>
      </c>
      <c r="J1739" t="str">
        <f t="shared" si="27"/>
        <v>http://www.badatelna.eu/reprodukce/?fondId=1073&amp;zaznamId=1108958&amp;reproId=3779789</v>
      </c>
      <c r="K1739">
        <f>IF(LEN(TRIM(E1739))=0,"",VLOOKUP(E1739,Sheet2!$B$1:$E$19,2,FALSE))</f>
        <v>1073</v>
      </c>
      <c r="L1739">
        <f>IF(LEN(TRIM(E1739))=0,"",VLOOKUP(E1739,Sheet2!$B$1:$E$19,3,FALSE))</f>
        <v>1108958</v>
      </c>
      <c r="M1739">
        <f>IF(LEN(TRIM(E1739))=0,"",VLOOKUP(E1739,Sheet2!$B$1:$E$19,4,FALSE))+(F1739-1)</f>
        <v>3779789</v>
      </c>
    </row>
    <row r="1740" spans="1:17" s="1" customFormat="1" ht="15" customHeight="1" x14ac:dyDescent="0.25">
      <c r="A1740" s="28" t="s">
        <v>968</v>
      </c>
      <c r="B1740" s="28" t="s">
        <v>475</v>
      </c>
      <c r="C1740" s="6" t="s">
        <v>1785</v>
      </c>
      <c r="D1740" s="1" t="s">
        <v>454</v>
      </c>
      <c r="E1740" s="1">
        <v>2172</v>
      </c>
      <c r="F1740" s="28">
        <v>153</v>
      </c>
      <c r="G1740" s="9">
        <v>148</v>
      </c>
      <c r="H1740" s="1">
        <v>154</v>
      </c>
      <c r="I1740" s="1">
        <v>149</v>
      </c>
      <c r="J1740" t="str">
        <f t="shared" si="27"/>
        <v>http://www.badatelna.eu/reprodukce/?fondId=1073&amp;zaznamId=1108958&amp;reproId=3779894</v>
      </c>
      <c r="K1740">
        <f>IF(LEN(TRIM(E1740))=0,"",VLOOKUP(E1740,Sheet2!$B$1:$E$19,2,FALSE))</f>
        <v>1073</v>
      </c>
      <c r="L1740">
        <f>IF(LEN(TRIM(E1740))=0,"",VLOOKUP(E1740,Sheet2!$B$1:$E$19,3,FALSE))</f>
        <v>1108958</v>
      </c>
      <c r="M1740">
        <f>IF(LEN(TRIM(E1740))=0,"",VLOOKUP(E1740,Sheet2!$B$1:$E$19,4,FALSE))+(F1740-1)</f>
        <v>3779894</v>
      </c>
      <c r="N1740"/>
      <c r="O1740"/>
      <c r="P1740"/>
      <c r="Q1740"/>
    </row>
    <row r="1741" spans="1:17" s="1" customFormat="1" ht="15" customHeight="1" x14ac:dyDescent="0.25">
      <c r="A1741" s="28" t="s">
        <v>140</v>
      </c>
      <c r="B1741" s="28" t="s">
        <v>33</v>
      </c>
      <c r="C1741" s="6" t="s">
        <v>2380</v>
      </c>
      <c r="D1741" s="1" t="s">
        <v>454</v>
      </c>
      <c r="E1741" s="1">
        <v>2173</v>
      </c>
      <c r="F1741" s="28">
        <v>201</v>
      </c>
      <c r="G1741" s="9">
        <v>12</v>
      </c>
      <c r="H1741" s="1" t="s">
        <v>3073</v>
      </c>
      <c r="I1741" s="1" t="s">
        <v>3073</v>
      </c>
      <c r="J1741" t="str">
        <f t="shared" si="27"/>
        <v>http://www.badatelna.eu/reprodukce/?fondId=1073&amp;zaznamId=1108959&amp;reproId=3780194</v>
      </c>
      <c r="K1741">
        <f>IF(LEN(TRIM(E1741))=0,"",VLOOKUP(E1741,Sheet2!$B$1:$E$19,2,FALSE))</f>
        <v>1073</v>
      </c>
      <c r="L1741">
        <f>IF(LEN(TRIM(E1741))=0,"",VLOOKUP(E1741,Sheet2!$B$1:$E$19,3,FALSE))</f>
        <v>1108959</v>
      </c>
      <c r="M1741">
        <f>IF(LEN(TRIM(E1741))=0,"",VLOOKUP(E1741,Sheet2!$B$1:$E$19,4,FALSE))+(F1741-1)</f>
        <v>3780194</v>
      </c>
    </row>
    <row r="1742" spans="1:17" s="1" customFormat="1" ht="15" customHeight="1" x14ac:dyDescent="0.25">
      <c r="A1742" s="28" t="s">
        <v>140</v>
      </c>
      <c r="B1742" s="28" t="s">
        <v>7</v>
      </c>
      <c r="C1742" s="6" t="s">
        <v>2379</v>
      </c>
      <c r="D1742" s="1" t="s">
        <v>454</v>
      </c>
      <c r="E1742" s="1">
        <v>2173</v>
      </c>
      <c r="F1742" s="28">
        <v>201</v>
      </c>
      <c r="G1742" s="9">
        <v>11</v>
      </c>
      <c r="H1742" s="1" t="s">
        <v>3073</v>
      </c>
      <c r="I1742" s="1" t="s">
        <v>3073</v>
      </c>
      <c r="J1742" t="str">
        <f t="shared" si="27"/>
        <v>http://www.badatelna.eu/reprodukce/?fondId=1073&amp;zaznamId=1108959&amp;reproId=3780194</v>
      </c>
      <c r="K1742">
        <f>IF(LEN(TRIM(E1742))=0,"",VLOOKUP(E1742,Sheet2!$B$1:$E$19,2,FALSE))</f>
        <v>1073</v>
      </c>
      <c r="L1742">
        <f>IF(LEN(TRIM(E1742))=0,"",VLOOKUP(E1742,Sheet2!$B$1:$E$19,3,FALSE))</f>
        <v>1108959</v>
      </c>
      <c r="M1742">
        <f>IF(LEN(TRIM(E1742))=0,"",VLOOKUP(E1742,Sheet2!$B$1:$E$19,4,FALSE))+(F1742-1)</f>
        <v>3780194</v>
      </c>
    </row>
    <row r="1743" spans="1:17" s="1" customFormat="1" ht="15" customHeight="1" x14ac:dyDescent="0.25">
      <c r="A1743" s="28" t="s">
        <v>140</v>
      </c>
      <c r="B1743" s="28" t="s">
        <v>181</v>
      </c>
      <c r="C1743" s="6" t="s">
        <v>2429</v>
      </c>
      <c r="D1743" s="1" t="s">
        <v>454</v>
      </c>
      <c r="E1743" s="1">
        <v>2173</v>
      </c>
      <c r="F1743" s="28">
        <v>203</v>
      </c>
      <c r="G1743" s="1">
        <v>15</v>
      </c>
      <c r="H1743" s="1" t="s">
        <v>3073</v>
      </c>
      <c r="I1743" s="1" t="s">
        <v>3073</v>
      </c>
      <c r="J1743" t="str">
        <f t="shared" si="27"/>
        <v>http://www.badatelna.eu/reprodukce/?fondId=1073&amp;zaznamId=1108959&amp;reproId=3780196</v>
      </c>
      <c r="K1743">
        <f>IF(LEN(TRIM(E1743))=0,"",VLOOKUP(E1743,Sheet2!$B$1:$E$19,2,FALSE))</f>
        <v>1073</v>
      </c>
      <c r="L1743">
        <f>IF(LEN(TRIM(E1743))=0,"",VLOOKUP(E1743,Sheet2!$B$1:$E$19,3,FALSE))</f>
        <v>1108959</v>
      </c>
      <c r="M1743">
        <f>IF(LEN(TRIM(E1743))=0,"",VLOOKUP(E1743,Sheet2!$B$1:$E$19,4,FALSE))+(F1743-1)</f>
        <v>3780196</v>
      </c>
      <c r="N1743"/>
      <c r="O1743"/>
      <c r="P1743"/>
      <c r="Q1743"/>
    </row>
    <row r="1744" spans="1:17" s="1" customFormat="1" ht="15" customHeight="1" x14ac:dyDescent="0.25">
      <c r="A1744" s="28" t="s">
        <v>333</v>
      </c>
      <c r="B1744" s="28" t="s">
        <v>33</v>
      </c>
      <c r="C1744" s="6" t="s">
        <v>2131</v>
      </c>
      <c r="D1744" s="1" t="s">
        <v>454</v>
      </c>
      <c r="E1744" s="1">
        <v>2173</v>
      </c>
      <c r="F1744" s="28">
        <v>183</v>
      </c>
      <c r="G1744" s="9">
        <v>13</v>
      </c>
      <c r="H1744" s="1">
        <v>191</v>
      </c>
      <c r="I1744" s="1">
        <v>424</v>
      </c>
      <c r="J1744" t="str">
        <f t="shared" si="27"/>
        <v>http://www.badatelna.eu/reprodukce/?fondId=1073&amp;zaznamId=1108959&amp;reproId=3780176</v>
      </c>
      <c r="K1744">
        <f>IF(LEN(TRIM(E1744))=0,"",VLOOKUP(E1744,Sheet2!$B$1:$E$19,2,FALSE))</f>
        <v>1073</v>
      </c>
      <c r="L1744">
        <f>IF(LEN(TRIM(E1744))=0,"",VLOOKUP(E1744,Sheet2!$B$1:$E$19,3,FALSE))</f>
        <v>1108959</v>
      </c>
      <c r="M1744">
        <f>IF(LEN(TRIM(E1744))=0,"",VLOOKUP(E1744,Sheet2!$B$1:$E$19,4,FALSE))+(F1744-1)</f>
        <v>3780176</v>
      </c>
    </row>
    <row r="1745" spans="1:17" s="1" customFormat="1" ht="15" customHeight="1" x14ac:dyDescent="0.25">
      <c r="A1745" s="28" t="s">
        <v>333</v>
      </c>
      <c r="B1745" s="28" t="s">
        <v>334</v>
      </c>
      <c r="C1745" s="6" t="s">
        <v>2129</v>
      </c>
      <c r="D1745" s="1" t="s">
        <v>454</v>
      </c>
      <c r="E1745" s="1">
        <v>2173</v>
      </c>
      <c r="F1745" s="28">
        <v>178</v>
      </c>
      <c r="G1745" s="9">
        <v>2</v>
      </c>
      <c r="H1745" s="1">
        <v>191</v>
      </c>
      <c r="I1745" s="1">
        <v>424</v>
      </c>
      <c r="J1745" t="str">
        <f t="shared" si="27"/>
        <v>http://www.badatelna.eu/reprodukce/?fondId=1073&amp;zaznamId=1108959&amp;reproId=3780171</v>
      </c>
      <c r="K1745">
        <f>IF(LEN(TRIM(E1745))=0,"",VLOOKUP(E1745,Sheet2!$B$1:$E$19,2,FALSE))</f>
        <v>1073</v>
      </c>
      <c r="L1745">
        <f>IF(LEN(TRIM(E1745))=0,"",VLOOKUP(E1745,Sheet2!$B$1:$E$19,3,FALSE))</f>
        <v>1108959</v>
      </c>
      <c r="M1745">
        <f>IF(LEN(TRIM(E1745))=0,"",VLOOKUP(E1745,Sheet2!$B$1:$E$19,4,FALSE))+(F1745-1)</f>
        <v>3780171</v>
      </c>
      <c r="N1745"/>
      <c r="O1745"/>
      <c r="P1745"/>
      <c r="Q1745"/>
    </row>
    <row r="1746" spans="1:17" s="1" customFormat="1" ht="15" customHeight="1" x14ac:dyDescent="0.25">
      <c r="A1746" s="28" t="s">
        <v>333</v>
      </c>
      <c r="B1746" s="28" t="s">
        <v>335</v>
      </c>
      <c r="C1746" s="6" t="s">
        <v>2132</v>
      </c>
      <c r="D1746" s="1" t="s">
        <v>454</v>
      </c>
      <c r="E1746" s="1">
        <v>2173</v>
      </c>
      <c r="F1746" s="28">
        <v>178</v>
      </c>
      <c r="G1746" s="9">
        <v>2</v>
      </c>
      <c r="H1746" s="1">
        <v>191</v>
      </c>
      <c r="I1746" s="1">
        <v>424</v>
      </c>
      <c r="J1746" t="str">
        <f t="shared" si="27"/>
        <v>http://www.badatelna.eu/reprodukce/?fondId=1073&amp;zaznamId=1108959&amp;reproId=3780171</v>
      </c>
      <c r="K1746">
        <f>IF(LEN(TRIM(E1746))=0,"",VLOOKUP(E1746,Sheet2!$B$1:$E$19,2,FALSE))</f>
        <v>1073</v>
      </c>
      <c r="L1746">
        <f>IF(LEN(TRIM(E1746))=0,"",VLOOKUP(E1746,Sheet2!$B$1:$E$19,3,FALSE))</f>
        <v>1108959</v>
      </c>
      <c r="M1746">
        <f>IF(LEN(TRIM(E1746))=0,"",VLOOKUP(E1746,Sheet2!$B$1:$E$19,4,FALSE))+(F1746-1)</f>
        <v>3780171</v>
      </c>
    </row>
    <row r="1747" spans="1:17" s="1" customFormat="1" ht="15" customHeight="1" x14ac:dyDescent="0.25">
      <c r="A1747" s="28" t="s">
        <v>333</v>
      </c>
      <c r="B1747" s="28" t="s">
        <v>183</v>
      </c>
      <c r="C1747" s="6" t="s">
        <v>2894</v>
      </c>
      <c r="D1747" s="1" t="s">
        <v>454</v>
      </c>
      <c r="E1747" s="1">
        <v>2173</v>
      </c>
      <c r="F1747" s="28">
        <v>211</v>
      </c>
      <c r="G1747" s="9" t="s">
        <v>2760</v>
      </c>
      <c r="H1747" s="1" t="s">
        <v>3073</v>
      </c>
      <c r="I1747" s="1" t="s">
        <v>3073</v>
      </c>
      <c r="J1747" t="str">
        <f t="shared" si="27"/>
        <v>http://www.badatelna.eu/reprodukce/?fondId=1073&amp;zaznamId=1108959&amp;reproId=3780204</v>
      </c>
      <c r="K1747">
        <f>IF(LEN(TRIM(E1747))=0,"",VLOOKUP(E1747,Sheet2!$B$1:$E$19,2,FALSE))</f>
        <v>1073</v>
      </c>
      <c r="L1747">
        <f>IF(LEN(TRIM(E1747))=0,"",VLOOKUP(E1747,Sheet2!$B$1:$E$19,3,FALSE))</f>
        <v>1108959</v>
      </c>
      <c r="M1747">
        <f>IF(LEN(TRIM(E1747))=0,"",VLOOKUP(E1747,Sheet2!$B$1:$E$19,4,FALSE))+(F1747-1)</f>
        <v>3780204</v>
      </c>
    </row>
    <row r="1748" spans="1:17" s="1" customFormat="1" ht="15" customHeight="1" x14ac:dyDescent="0.25">
      <c r="A1748" s="28" t="s">
        <v>333</v>
      </c>
      <c r="B1748" s="28" t="s">
        <v>336</v>
      </c>
      <c r="C1748" s="6" t="s">
        <v>2135</v>
      </c>
      <c r="D1748" s="1" t="s">
        <v>454</v>
      </c>
      <c r="E1748" s="1">
        <v>2173</v>
      </c>
      <c r="F1748" s="28">
        <v>179</v>
      </c>
      <c r="G1748" s="9">
        <v>5</v>
      </c>
      <c r="H1748" s="1">
        <v>191</v>
      </c>
      <c r="I1748" s="1">
        <v>424</v>
      </c>
      <c r="J1748" t="str">
        <f t="shared" si="27"/>
        <v>http://www.badatelna.eu/reprodukce/?fondId=1073&amp;zaznamId=1108959&amp;reproId=3780172</v>
      </c>
      <c r="K1748">
        <f>IF(LEN(TRIM(E1748))=0,"",VLOOKUP(E1748,Sheet2!$B$1:$E$19,2,FALSE))</f>
        <v>1073</v>
      </c>
      <c r="L1748">
        <f>IF(LEN(TRIM(E1748))=0,"",VLOOKUP(E1748,Sheet2!$B$1:$E$19,3,FALSE))</f>
        <v>1108959</v>
      </c>
      <c r="M1748">
        <f>IF(LEN(TRIM(E1748))=0,"",VLOOKUP(E1748,Sheet2!$B$1:$E$19,4,FALSE))+(F1748-1)</f>
        <v>3780172</v>
      </c>
    </row>
    <row r="1749" spans="1:17" s="1" customFormat="1" ht="15" customHeight="1" x14ac:dyDescent="0.25">
      <c r="A1749" s="28" t="s">
        <v>333</v>
      </c>
      <c r="B1749" s="28" t="s">
        <v>19</v>
      </c>
      <c r="C1749" s="6" t="s">
        <v>2130</v>
      </c>
      <c r="D1749" s="1" t="s">
        <v>454</v>
      </c>
      <c r="E1749" s="1">
        <v>2173</v>
      </c>
      <c r="F1749" s="28">
        <v>179</v>
      </c>
      <c r="G1749" s="9">
        <v>4</v>
      </c>
      <c r="H1749" s="1">
        <v>191</v>
      </c>
      <c r="I1749" s="1">
        <v>424</v>
      </c>
      <c r="J1749" t="str">
        <f t="shared" si="27"/>
        <v>http://www.badatelna.eu/reprodukce/?fondId=1073&amp;zaznamId=1108959&amp;reproId=3780172</v>
      </c>
      <c r="K1749">
        <f>IF(LEN(TRIM(E1749))=0,"",VLOOKUP(E1749,Sheet2!$B$1:$E$19,2,FALSE))</f>
        <v>1073</v>
      </c>
      <c r="L1749">
        <f>IF(LEN(TRIM(E1749))=0,"",VLOOKUP(E1749,Sheet2!$B$1:$E$19,3,FALSE))</f>
        <v>1108959</v>
      </c>
      <c r="M1749">
        <f>IF(LEN(TRIM(E1749))=0,"",VLOOKUP(E1749,Sheet2!$B$1:$E$19,4,FALSE))+(F1749-1)</f>
        <v>3780172</v>
      </c>
    </row>
    <row r="1750" spans="1:17" s="1" customFormat="1" ht="15" customHeight="1" x14ac:dyDescent="0.25">
      <c r="A1750" s="28" t="s">
        <v>333</v>
      </c>
      <c r="B1750" s="28" t="s">
        <v>19</v>
      </c>
      <c r="C1750" s="6" t="s">
        <v>2130</v>
      </c>
      <c r="D1750" s="1" t="s">
        <v>454</v>
      </c>
      <c r="E1750" s="1">
        <v>2173</v>
      </c>
      <c r="F1750" s="28">
        <v>209</v>
      </c>
      <c r="G1750" s="9" t="s">
        <v>2757</v>
      </c>
      <c r="H1750" s="1" t="s">
        <v>3073</v>
      </c>
      <c r="I1750" s="1" t="s">
        <v>3073</v>
      </c>
      <c r="J1750" t="str">
        <f t="shared" si="27"/>
        <v>http://www.badatelna.eu/reprodukce/?fondId=1073&amp;zaznamId=1108959&amp;reproId=3780202</v>
      </c>
      <c r="K1750">
        <f>IF(LEN(TRIM(E1750))=0,"",VLOOKUP(E1750,Sheet2!$B$1:$E$19,2,FALSE))</f>
        <v>1073</v>
      </c>
      <c r="L1750">
        <f>IF(LEN(TRIM(E1750))=0,"",VLOOKUP(E1750,Sheet2!$B$1:$E$19,3,FALSE))</f>
        <v>1108959</v>
      </c>
      <c r="M1750">
        <f>IF(LEN(TRIM(E1750))=0,"",VLOOKUP(E1750,Sheet2!$B$1:$E$19,4,FALSE))+(F1750-1)</f>
        <v>3780202</v>
      </c>
    </row>
    <row r="1751" spans="1:17" s="1" customFormat="1" ht="15" customHeight="1" x14ac:dyDescent="0.25">
      <c r="A1751" s="28" t="s">
        <v>333</v>
      </c>
      <c r="B1751" s="28" t="s">
        <v>398</v>
      </c>
      <c r="C1751" s="6" t="s">
        <v>2607</v>
      </c>
      <c r="D1751" s="1" t="s">
        <v>454</v>
      </c>
      <c r="E1751" s="1">
        <v>2173</v>
      </c>
      <c r="F1751" s="28">
        <v>218</v>
      </c>
      <c r="G1751" s="9">
        <v>45</v>
      </c>
      <c r="H1751" s="1" t="s">
        <v>3073</v>
      </c>
      <c r="I1751" s="1" t="s">
        <v>3073</v>
      </c>
      <c r="J1751" t="str">
        <f t="shared" si="27"/>
        <v>http://www.badatelna.eu/reprodukce/?fondId=1073&amp;zaznamId=1108959&amp;reproId=3780211</v>
      </c>
      <c r="K1751">
        <f>IF(LEN(TRIM(E1751))=0,"",VLOOKUP(E1751,Sheet2!$B$1:$E$19,2,FALSE))</f>
        <v>1073</v>
      </c>
      <c r="L1751">
        <f>IF(LEN(TRIM(E1751))=0,"",VLOOKUP(E1751,Sheet2!$B$1:$E$19,3,FALSE))</f>
        <v>1108959</v>
      </c>
      <c r="M1751">
        <f>IF(LEN(TRIM(E1751))=0,"",VLOOKUP(E1751,Sheet2!$B$1:$E$19,4,FALSE))+(F1751-1)</f>
        <v>3780211</v>
      </c>
      <c r="N1751"/>
      <c r="O1751"/>
      <c r="P1751"/>
      <c r="Q1751"/>
    </row>
    <row r="1752" spans="1:17" s="1" customFormat="1" ht="15" customHeight="1" x14ac:dyDescent="0.25">
      <c r="A1752" s="28" t="s">
        <v>333</v>
      </c>
      <c r="B1752" s="28" t="s">
        <v>10</v>
      </c>
      <c r="C1752" s="6" t="s">
        <v>2842</v>
      </c>
      <c r="D1752" s="1" t="s">
        <v>454</v>
      </c>
      <c r="E1752" s="1">
        <v>2173</v>
      </c>
      <c r="F1752" s="28">
        <v>209</v>
      </c>
      <c r="G1752" s="9" t="s">
        <v>2757</v>
      </c>
      <c r="H1752" s="1" t="s">
        <v>3073</v>
      </c>
      <c r="I1752" s="1" t="s">
        <v>3073</v>
      </c>
      <c r="J1752" t="str">
        <f t="shared" si="27"/>
        <v>http://www.badatelna.eu/reprodukce/?fondId=1073&amp;zaznamId=1108959&amp;reproId=3780202</v>
      </c>
      <c r="K1752">
        <f>IF(LEN(TRIM(E1752))=0,"",VLOOKUP(E1752,Sheet2!$B$1:$E$19,2,FALSE))</f>
        <v>1073</v>
      </c>
      <c r="L1752">
        <f>IF(LEN(TRIM(E1752))=0,"",VLOOKUP(E1752,Sheet2!$B$1:$E$19,3,FALSE))</f>
        <v>1108959</v>
      </c>
      <c r="M1752">
        <f>IF(LEN(TRIM(E1752))=0,"",VLOOKUP(E1752,Sheet2!$B$1:$E$19,4,FALSE))+(F1752-1)</f>
        <v>3780202</v>
      </c>
    </row>
    <row r="1753" spans="1:17" s="1" customFormat="1" ht="15" customHeight="1" x14ac:dyDescent="0.25">
      <c r="A1753" s="28" t="s">
        <v>333</v>
      </c>
      <c r="B1753" s="28" t="s">
        <v>74</v>
      </c>
      <c r="C1753" s="6" t="s">
        <v>2136</v>
      </c>
      <c r="D1753" s="1" t="s">
        <v>454</v>
      </c>
      <c r="E1753" s="1">
        <v>2173</v>
      </c>
      <c r="F1753" s="28">
        <v>178</v>
      </c>
      <c r="G1753" s="9">
        <v>3</v>
      </c>
      <c r="H1753" s="1">
        <v>191</v>
      </c>
      <c r="I1753" s="1">
        <v>424</v>
      </c>
      <c r="J1753" t="str">
        <f t="shared" si="27"/>
        <v>http://www.badatelna.eu/reprodukce/?fondId=1073&amp;zaznamId=1108959&amp;reproId=3780171</v>
      </c>
      <c r="K1753">
        <f>IF(LEN(TRIM(E1753))=0,"",VLOOKUP(E1753,Sheet2!$B$1:$E$19,2,FALSE))</f>
        <v>1073</v>
      </c>
      <c r="L1753">
        <f>IF(LEN(TRIM(E1753))=0,"",VLOOKUP(E1753,Sheet2!$B$1:$E$19,3,FALSE))</f>
        <v>1108959</v>
      </c>
      <c r="M1753">
        <f>IF(LEN(TRIM(E1753))=0,"",VLOOKUP(E1753,Sheet2!$B$1:$E$19,4,FALSE))+(F1753-1)</f>
        <v>3780171</v>
      </c>
      <c r="N1753"/>
      <c r="O1753"/>
      <c r="P1753"/>
      <c r="Q1753"/>
    </row>
    <row r="1754" spans="1:17" s="1" customFormat="1" ht="15" customHeight="1" x14ac:dyDescent="0.25">
      <c r="A1754" s="28" t="s">
        <v>333</v>
      </c>
      <c r="B1754" s="28" t="s">
        <v>49</v>
      </c>
      <c r="C1754" s="6" t="s">
        <v>2128</v>
      </c>
      <c r="D1754" s="1" t="s">
        <v>454</v>
      </c>
      <c r="E1754" s="1">
        <v>2173</v>
      </c>
      <c r="F1754" s="28">
        <v>181</v>
      </c>
      <c r="G1754" s="9">
        <v>9</v>
      </c>
      <c r="H1754" s="1">
        <v>191</v>
      </c>
      <c r="I1754" s="1">
        <v>424</v>
      </c>
      <c r="J1754" t="str">
        <f t="shared" si="27"/>
        <v>http://www.badatelna.eu/reprodukce/?fondId=1073&amp;zaznamId=1108959&amp;reproId=3780174</v>
      </c>
      <c r="K1754">
        <f>IF(LEN(TRIM(E1754))=0,"",VLOOKUP(E1754,Sheet2!$B$1:$E$19,2,FALSE))</f>
        <v>1073</v>
      </c>
      <c r="L1754">
        <f>IF(LEN(TRIM(E1754))=0,"",VLOOKUP(E1754,Sheet2!$B$1:$E$19,3,FALSE))</f>
        <v>1108959</v>
      </c>
      <c r="M1754">
        <f>IF(LEN(TRIM(E1754))=0,"",VLOOKUP(E1754,Sheet2!$B$1:$E$19,4,FALSE))+(F1754-1)</f>
        <v>3780174</v>
      </c>
    </row>
    <row r="1755" spans="1:17" s="1" customFormat="1" ht="15" customHeight="1" x14ac:dyDescent="0.25">
      <c r="A1755" s="28" t="s">
        <v>333</v>
      </c>
      <c r="B1755" s="28" t="s">
        <v>265</v>
      </c>
      <c r="C1755" s="6" t="s">
        <v>2133</v>
      </c>
      <c r="D1755" s="1" t="s">
        <v>454</v>
      </c>
      <c r="E1755" s="1">
        <v>2173</v>
      </c>
      <c r="F1755" s="28">
        <v>183</v>
      </c>
      <c r="G1755" s="9">
        <v>12</v>
      </c>
      <c r="H1755" s="1">
        <v>191</v>
      </c>
      <c r="I1755" s="1">
        <v>424</v>
      </c>
      <c r="J1755" t="str">
        <f t="shared" si="27"/>
        <v>http://www.badatelna.eu/reprodukce/?fondId=1073&amp;zaznamId=1108959&amp;reproId=3780176</v>
      </c>
      <c r="K1755">
        <f>IF(LEN(TRIM(E1755))=0,"",VLOOKUP(E1755,Sheet2!$B$1:$E$19,2,FALSE))</f>
        <v>1073</v>
      </c>
      <c r="L1755">
        <f>IF(LEN(TRIM(E1755))=0,"",VLOOKUP(E1755,Sheet2!$B$1:$E$19,3,FALSE))</f>
        <v>1108959</v>
      </c>
      <c r="M1755">
        <f>IF(LEN(TRIM(E1755))=0,"",VLOOKUP(E1755,Sheet2!$B$1:$E$19,4,FALSE))+(F1755-1)</f>
        <v>3780176</v>
      </c>
      <c r="N1755"/>
      <c r="O1755"/>
      <c r="P1755"/>
      <c r="Q1755"/>
    </row>
    <row r="1756" spans="1:17" s="1" customFormat="1" ht="15" customHeight="1" x14ac:dyDescent="0.25">
      <c r="A1756" s="28" t="s">
        <v>333</v>
      </c>
      <c r="B1756" s="28" t="s">
        <v>247</v>
      </c>
      <c r="C1756" s="6" t="s">
        <v>2134</v>
      </c>
      <c r="D1756" s="1" t="s">
        <v>454</v>
      </c>
      <c r="E1756" s="1">
        <v>2173</v>
      </c>
      <c r="F1756" s="28">
        <v>178</v>
      </c>
      <c r="G1756" s="9">
        <v>3</v>
      </c>
      <c r="H1756" s="1">
        <v>191</v>
      </c>
      <c r="I1756" s="1">
        <v>424</v>
      </c>
      <c r="J1756" t="str">
        <f t="shared" si="27"/>
        <v>http://www.badatelna.eu/reprodukce/?fondId=1073&amp;zaznamId=1108959&amp;reproId=3780171</v>
      </c>
      <c r="K1756">
        <f>IF(LEN(TRIM(E1756))=0,"",VLOOKUP(E1756,Sheet2!$B$1:$E$19,2,FALSE))</f>
        <v>1073</v>
      </c>
      <c r="L1756">
        <f>IF(LEN(TRIM(E1756))=0,"",VLOOKUP(E1756,Sheet2!$B$1:$E$19,3,FALSE))</f>
        <v>1108959</v>
      </c>
      <c r="M1756">
        <f>IF(LEN(TRIM(E1756))=0,"",VLOOKUP(E1756,Sheet2!$B$1:$E$19,4,FALSE))+(F1756-1)</f>
        <v>3780171</v>
      </c>
      <c r="N1756"/>
      <c r="O1756"/>
      <c r="P1756"/>
      <c r="Q1756"/>
    </row>
    <row r="1757" spans="1:17" s="1" customFormat="1" ht="15" customHeight="1" x14ac:dyDescent="0.25">
      <c r="A1757" s="28"/>
      <c r="B1757" s="28"/>
      <c r="C1757" s="38" t="s">
        <v>3130</v>
      </c>
      <c r="F1757" s="28"/>
      <c r="G1757" s="9"/>
      <c r="J1757" t="str">
        <f t="shared" si="27"/>
        <v/>
      </c>
      <c r="K1757" t="str">
        <f>IF(LEN(TRIM(E1757))=0,"",VLOOKUP(E1757,Sheet2!$B$1:$E$19,2,FALSE))</f>
        <v/>
      </c>
      <c r="L1757" t="str">
        <f>IF(LEN(TRIM(E1757))=0,"",VLOOKUP(E1757,Sheet2!$B$1:$E$19,3,FALSE))</f>
        <v/>
      </c>
      <c r="M1757" t="e">
        <f>IF(LEN(TRIM(E1757))=0,"",VLOOKUP(E1757,Sheet2!$B$1:$E$19,4,FALSE))+(F1757-1)</f>
        <v>#VALUE!</v>
      </c>
      <c r="N1757"/>
      <c r="O1757"/>
      <c r="P1757"/>
      <c r="Q1757"/>
    </row>
    <row r="1758" spans="1:17" s="1" customFormat="1" ht="15" customHeight="1" x14ac:dyDescent="0.25">
      <c r="A1758" s="28" t="s">
        <v>187</v>
      </c>
      <c r="B1758" s="28" t="s">
        <v>2990</v>
      </c>
      <c r="C1758" s="1">
        <v>1849</v>
      </c>
      <c r="D1758" s="1" t="s">
        <v>2919</v>
      </c>
      <c r="E1758" s="1">
        <v>998</v>
      </c>
      <c r="F1758" s="28">
        <v>27</v>
      </c>
      <c r="G1758" s="1">
        <v>25</v>
      </c>
      <c r="H1758" s="1">
        <v>76</v>
      </c>
      <c r="I1758" s="1">
        <v>73</v>
      </c>
      <c r="J1758" t="str">
        <f t="shared" si="27"/>
        <v>http://www.badatelna.eu/reprodukce/?fondId=241&amp;zaznamId=1133738&amp;reproId=3885673</v>
      </c>
      <c r="K1758">
        <f>IF(LEN(TRIM(E1758))=0,"",VLOOKUP(E1758,Sheet2!$B$1:$E$19,2,FALSE))</f>
        <v>241</v>
      </c>
      <c r="L1758">
        <f>IF(LEN(TRIM(E1758))=0,"",VLOOKUP(E1758,Sheet2!$B$1:$E$19,3,FALSE))</f>
        <v>1133738</v>
      </c>
      <c r="M1758">
        <f>IF(LEN(TRIM(E1758))=0,"",VLOOKUP(E1758,Sheet2!$B$1:$E$19,4,FALSE))+(F1758-1)</f>
        <v>3885673</v>
      </c>
    </row>
    <row r="1759" spans="1:17" s="1" customFormat="1" ht="15" customHeight="1" x14ac:dyDescent="0.25">
      <c r="A1759" s="28" t="s">
        <v>187</v>
      </c>
      <c r="B1759" s="28" t="s">
        <v>143</v>
      </c>
      <c r="C1759" s="6" t="s">
        <v>2571</v>
      </c>
      <c r="D1759" s="1" t="s">
        <v>454</v>
      </c>
      <c r="E1759" s="1">
        <v>2173</v>
      </c>
      <c r="F1759" s="28">
        <v>209</v>
      </c>
      <c r="G1759" s="9" t="s">
        <v>2757</v>
      </c>
      <c r="H1759" s="1" t="s">
        <v>3073</v>
      </c>
      <c r="I1759" s="1" t="s">
        <v>3073</v>
      </c>
      <c r="J1759" t="str">
        <f t="shared" si="27"/>
        <v>http://www.badatelna.eu/reprodukce/?fondId=1073&amp;zaznamId=1108959&amp;reproId=3780202</v>
      </c>
      <c r="K1759">
        <f>IF(LEN(TRIM(E1759))=0,"",VLOOKUP(E1759,Sheet2!$B$1:$E$19,2,FALSE))</f>
        <v>1073</v>
      </c>
      <c r="L1759">
        <f>IF(LEN(TRIM(E1759))=0,"",VLOOKUP(E1759,Sheet2!$B$1:$E$19,3,FALSE))</f>
        <v>1108959</v>
      </c>
      <c r="M1759">
        <f>IF(LEN(TRIM(E1759))=0,"",VLOOKUP(E1759,Sheet2!$B$1:$E$19,4,FALSE))+(F1759-1)</f>
        <v>3780202</v>
      </c>
    </row>
    <row r="1760" spans="1:17" s="1" customFormat="1" ht="15" customHeight="1" x14ac:dyDescent="0.25">
      <c r="A1760" s="28" t="s">
        <v>187</v>
      </c>
      <c r="B1760" s="28" t="s">
        <v>143</v>
      </c>
      <c r="C1760" s="6" t="s">
        <v>2430</v>
      </c>
      <c r="D1760" s="1" t="s">
        <v>454</v>
      </c>
      <c r="E1760" s="1">
        <v>2173</v>
      </c>
      <c r="F1760" s="28">
        <v>203</v>
      </c>
      <c r="G1760" s="1">
        <v>16</v>
      </c>
      <c r="H1760" s="1" t="s">
        <v>3073</v>
      </c>
      <c r="I1760" s="1" t="s">
        <v>3073</v>
      </c>
      <c r="J1760" t="str">
        <f t="shared" si="27"/>
        <v>http://www.badatelna.eu/reprodukce/?fondId=1073&amp;zaznamId=1108959&amp;reproId=3780196</v>
      </c>
      <c r="K1760">
        <f>IF(LEN(TRIM(E1760))=0,"",VLOOKUP(E1760,Sheet2!$B$1:$E$19,2,FALSE))</f>
        <v>1073</v>
      </c>
      <c r="L1760">
        <f>IF(LEN(TRIM(E1760))=0,"",VLOOKUP(E1760,Sheet2!$B$1:$E$19,3,FALSE))</f>
        <v>1108959</v>
      </c>
      <c r="M1760">
        <f>IF(LEN(TRIM(E1760))=0,"",VLOOKUP(E1760,Sheet2!$B$1:$E$19,4,FALSE))+(F1760-1)</f>
        <v>3780196</v>
      </c>
    </row>
    <row r="1761" spans="1:17" s="1" customFormat="1" ht="15" customHeight="1" x14ac:dyDescent="0.25">
      <c r="A1761" s="28"/>
      <c r="B1761" s="28"/>
      <c r="C1761" s="38" t="s">
        <v>3131</v>
      </c>
      <c r="F1761" s="28"/>
      <c r="J1761" t="str">
        <f t="shared" si="27"/>
        <v/>
      </c>
      <c r="K1761" t="str">
        <f>IF(LEN(TRIM(E1761))=0,"",VLOOKUP(E1761,Sheet2!$B$1:$E$19,2,FALSE))</f>
        <v/>
      </c>
      <c r="L1761" t="str">
        <f>IF(LEN(TRIM(E1761))=0,"",VLOOKUP(E1761,Sheet2!$B$1:$E$19,3,FALSE))</f>
        <v/>
      </c>
      <c r="M1761" t="e">
        <f>IF(LEN(TRIM(E1761))=0,"",VLOOKUP(E1761,Sheet2!$B$1:$E$19,4,FALSE))+(F1761-1)</f>
        <v>#VALUE!</v>
      </c>
    </row>
    <row r="1762" spans="1:17" s="1" customFormat="1" ht="15" customHeight="1" x14ac:dyDescent="0.25">
      <c r="A1762" s="28" t="s">
        <v>20</v>
      </c>
      <c r="B1762" s="28" t="s">
        <v>75</v>
      </c>
      <c r="C1762" s="6" t="s">
        <v>2544</v>
      </c>
      <c r="D1762" s="1" t="s">
        <v>454</v>
      </c>
      <c r="E1762" s="1">
        <v>2173</v>
      </c>
      <c r="F1762" s="28">
        <v>207</v>
      </c>
      <c r="G1762" s="1">
        <v>24</v>
      </c>
      <c r="H1762" s="1" t="s">
        <v>3073</v>
      </c>
      <c r="I1762" s="1" t="s">
        <v>3073</v>
      </c>
      <c r="J1762" t="str">
        <f t="shared" si="27"/>
        <v>http://www.badatelna.eu/reprodukce/?fondId=1073&amp;zaznamId=1108959&amp;reproId=3780200</v>
      </c>
      <c r="K1762">
        <f>IF(LEN(TRIM(E1762))=0,"",VLOOKUP(E1762,Sheet2!$B$1:$E$19,2,FALSE))</f>
        <v>1073</v>
      </c>
      <c r="L1762">
        <f>IF(LEN(TRIM(E1762))=0,"",VLOOKUP(E1762,Sheet2!$B$1:$E$19,3,FALSE))</f>
        <v>1108959</v>
      </c>
      <c r="M1762">
        <f>IF(LEN(TRIM(E1762))=0,"",VLOOKUP(E1762,Sheet2!$B$1:$E$19,4,FALSE))+(F1762-1)</f>
        <v>3780200</v>
      </c>
      <c r="N1762"/>
      <c r="O1762"/>
      <c r="P1762"/>
      <c r="Q1762"/>
    </row>
    <row r="1763" spans="1:17" s="1" customFormat="1" ht="15" customHeight="1" x14ac:dyDescent="0.25">
      <c r="A1763" s="28" t="s">
        <v>20</v>
      </c>
      <c r="B1763" s="28" t="s">
        <v>21</v>
      </c>
      <c r="C1763" s="6" t="s">
        <v>2227</v>
      </c>
      <c r="D1763" s="1" t="s">
        <v>454</v>
      </c>
      <c r="E1763" s="1">
        <v>2173</v>
      </c>
      <c r="F1763" s="28">
        <v>196</v>
      </c>
      <c r="G1763" s="9">
        <v>1</v>
      </c>
      <c r="H1763" s="1" t="s">
        <v>3073</v>
      </c>
      <c r="I1763" s="1" t="s">
        <v>3073</v>
      </c>
      <c r="J1763" t="str">
        <f t="shared" si="27"/>
        <v>http://www.badatelna.eu/reprodukce/?fondId=1073&amp;zaznamId=1108959&amp;reproId=3780189</v>
      </c>
      <c r="K1763">
        <f>IF(LEN(TRIM(E1763))=0,"",VLOOKUP(E1763,Sheet2!$B$1:$E$19,2,FALSE))</f>
        <v>1073</v>
      </c>
      <c r="L1763">
        <f>IF(LEN(TRIM(E1763))=0,"",VLOOKUP(E1763,Sheet2!$B$1:$E$19,3,FALSE))</f>
        <v>1108959</v>
      </c>
      <c r="M1763">
        <f>IF(LEN(TRIM(E1763))=0,"",VLOOKUP(E1763,Sheet2!$B$1:$E$19,4,FALSE))+(F1763-1)</f>
        <v>3780189</v>
      </c>
    </row>
    <row r="1764" spans="1:17" s="1" customFormat="1" ht="15" customHeight="1" x14ac:dyDescent="0.25">
      <c r="A1764" s="28" t="s">
        <v>211</v>
      </c>
      <c r="B1764" s="28" t="s">
        <v>33</v>
      </c>
      <c r="C1764" s="6" t="s">
        <v>2719</v>
      </c>
      <c r="D1764" s="1" t="s">
        <v>454</v>
      </c>
      <c r="E1764" s="1">
        <v>2173</v>
      </c>
      <c r="F1764" s="28">
        <v>225</v>
      </c>
      <c r="G1764" s="9">
        <v>56</v>
      </c>
      <c r="H1764" s="1" t="s">
        <v>3073</v>
      </c>
      <c r="I1764" s="1" t="s">
        <v>3073</v>
      </c>
      <c r="J1764" t="str">
        <f t="shared" si="27"/>
        <v>http://www.badatelna.eu/reprodukce/?fondId=1073&amp;zaznamId=1108959&amp;reproId=3780218</v>
      </c>
      <c r="K1764">
        <f>IF(LEN(TRIM(E1764))=0,"",VLOOKUP(E1764,Sheet2!$B$1:$E$19,2,FALSE))</f>
        <v>1073</v>
      </c>
      <c r="L1764">
        <f>IF(LEN(TRIM(E1764))=0,"",VLOOKUP(E1764,Sheet2!$B$1:$E$19,3,FALSE))</f>
        <v>1108959</v>
      </c>
      <c r="M1764">
        <f>IF(LEN(TRIM(E1764))=0,"",VLOOKUP(E1764,Sheet2!$B$1:$E$19,4,FALSE))+(F1764-1)</f>
        <v>3780218</v>
      </c>
      <c r="N1764"/>
      <c r="O1764"/>
      <c r="P1764"/>
      <c r="Q1764"/>
    </row>
    <row r="1765" spans="1:17" s="1" customFormat="1" ht="15" customHeight="1" x14ac:dyDescent="0.25">
      <c r="A1765" s="28" t="s">
        <v>211</v>
      </c>
      <c r="B1765" s="28" t="s">
        <v>2996</v>
      </c>
      <c r="C1765" s="1">
        <v>1852</v>
      </c>
      <c r="D1765" s="1" t="s">
        <v>2919</v>
      </c>
      <c r="E1765" s="1">
        <v>998</v>
      </c>
      <c r="F1765" s="28">
        <v>35</v>
      </c>
      <c r="G1765" s="1">
        <v>33</v>
      </c>
      <c r="H1765" s="1">
        <v>76</v>
      </c>
      <c r="I1765" s="1">
        <v>73</v>
      </c>
      <c r="J1765" t="str">
        <f t="shared" si="27"/>
        <v>http://www.badatelna.eu/reprodukce/?fondId=241&amp;zaznamId=1133738&amp;reproId=3885681</v>
      </c>
      <c r="K1765">
        <f>IF(LEN(TRIM(E1765))=0,"",VLOOKUP(E1765,Sheet2!$B$1:$E$19,2,FALSE))</f>
        <v>241</v>
      </c>
      <c r="L1765">
        <f>IF(LEN(TRIM(E1765))=0,"",VLOOKUP(E1765,Sheet2!$B$1:$E$19,3,FALSE))</f>
        <v>1133738</v>
      </c>
      <c r="M1765">
        <f>IF(LEN(TRIM(E1765))=0,"",VLOOKUP(E1765,Sheet2!$B$1:$E$19,4,FALSE))+(F1765-1)</f>
        <v>3885681</v>
      </c>
      <c r="N1765"/>
      <c r="O1765"/>
      <c r="P1765"/>
      <c r="Q1765"/>
    </row>
    <row r="1766" spans="1:17" s="1" customFormat="1" ht="15" customHeight="1" x14ac:dyDescent="0.25">
      <c r="A1766" s="27" t="s">
        <v>211</v>
      </c>
      <c r="B1766" s="27" t="s">
        <v>579</v>
      </c>
      <c r="C1766" s="5" t="s">
        <v>1291</v>
      </c>
      <c r="D1766" s="3" t="s">
        <v>454</v>
      </c>
      <c r="E1766" s="3">
        <v>2170</v>
      </c>
      <c r="F1766" s="28">
        <v>27</v>
      </c>
      <c r="G1766" s="10">
        <v>23</v>
      </c>
      <c r="H1766" s="3">
        <v>68</v>
      </c>
      <c r="I1766" s="3">
        <v>64</v>
      </c>
      <c r="J1766" t="str">
        <f t="shared" si="27"/>
        <v>http://www.badatelna.eu/reprodukce/?fondId=1073&amp;zaznamId=1108956&amp;reproId=3779619</v>
      </c>
      <c r="K1766">
        <f>IF(LEN(TRIM(E1766))=0,"",VLOOKUP(E1766,Sheet2!$B$1:$E$19,2,FALSE))</f>
        <v>1073</v>
      </c>
      <c r="L1766">
        <f>IF(LEN(TRIM(E1766))=0,"",VLOOKUP(E1766,Sheet2!$B$1:$E$19,3,FALSE))</f>
        <v>1108956</v>
      </c>
      <c r="M1766">
        <f>IF(LEN(TRIM(E1766))=0,"",VLOOKUP(E1766,Sheet2!$B$1:$E$19,4,FALSE))+(F1766-1)</f>
        <v>3779619</v>
      </c>
      <c r="N1766"/>
      <c r="O1766"/>
      <c r="P1766"/>
      <c r="Q1766"/>
    </row>
    <row r="1767" spans="1:17" s="1" customFormat="1" ht="15" customHeight="1" x14ac:dyDescent="0.25">
      <c r="A1767" s="28" t="s">
        <v>211</v>
      </c>
      <c r="B1767" s="28" t="s">
        <v>465</v>
      </c>
      <c r="C1767" s="1">
        <v>1851</v>
      </c>
      <c r="D1767" s="1" t="s">
        <v>2919</v>
      </c>
      <c r="E1767" s="1">
        <v>998</v>
      </c>
      <c r="F1767" s="28">
        <v>32</v>
      </c>
      <c r="G1767" s="1">
        <v>30</v>
      </c>
      <c r="H1767" s="1">
        <v>76</v>
      </c>
      <c r="I1767" s="1">
        <v>73</v>
      </c>
      <c r="J1767" t="str">
        <f t="shared" si="27"/>
        <v>http://www.badatelna.eu/reprodukce/?fondId=241&amp;zaznamId=1133738&amp;reproId=3885678</v>
      </c>
      <c r="K1767">
        <f>IF(LEN(TRIM(E1767))=0,"",VLOOKUP(E1767,Sheet2!$B$1:$E$19,2,FALSE))</f>
        <v>241</v>
      </c>
      <c r="L1767">
        <f>IF(LEN(TRIM(E1767))=0,"",VLOOKUP(E1767,Sheet2!$B$1:$E$19,3,FALSE))</f>
        <v>1133738</v>
      </c>
      <c r="M1767">
        <f>IF(LEN(TRIM(E1767))=0,"",VLOOKUP(E1767,Sheet2!$B$1:$E$19,4,FALSE))+(F1767-1)</f>
        <v>3885678</v>
      </c>
    </row>
    <row r="1768" spans="1:17" s="1" customFormat="1" ht="15" customHeight="1" x14ac:dyDescent="0.25">
      <c r="A1768" s="28" t="s">
        <v>211</v>
      </c>
      <c r="B1768" s="28" t="s">
        <v>492</v>
      </c>
      <c r="C1768" s="1">
        <v>1889</v>
      </c>
      <c r="D1768" s="1" t="s">
        <v>454</v>
      </c>
      <c r="E1768" s="1">
        <v>2172</v>
      </c>
      <c r="F1768" s="28">
        <v>68</v>
      </c>
      <c r="G1768" s="9" t="s">
        <v>3083</v>
      </c>
      <c r="H1768" s="1">
        <v>71</v>
      </c>
      <c r="I1768" s="1">
        <v>70</v>
      </c>
      <c r="J1768" t="str">
        <f t="shared" si="27"/>
        <v>http://www.badatelna.eu/reprodukce/?fondId=1073&amp;zaznamId=1108958&amp;reproId=3779809</v>
      </c>
      <c r="K1768">
        <f>IF(LEN(TRIM(E1768))=0,"",VLOOKUP(E1768,Sheet2!$B$1:$E$19,2,FALSE))</f>
        <v>1073</v>
      </c>
      <c r="L1768">
        <f>IF(LEN(TRIM(E1768))=0,"",VLOOKUP(E1768,Sheet2!$B$1:$E$19,3,FALSE))</f>
        <v>1108958</v>
      </c>
      <c r="M1768">
        <f>IF(LEN(TRIM(E1768))=0,"",VLOOKUP(E1768,Sheet2!$B$1:$E$19,4,FALSE))+(F1768-1)</f>
        <v>3779809</v>
      </c>
      <c r="N1768"/>
      <c r="O1768"/>
      <c r="P1768"/>
      <c r="Q1768"/>
    </row>
    <row r="1769" spans="1:17" s="1" customFormat="1" ht="15" customHeight="1" x14ac:dyDescent="0.25">
      <c r="A1769" s="27" t="s">
        <v>211</v>
      </c>
      <c r="B1769" s="27" t="s">
        <v>363</v>
      </c>
      <c r="C1769" s="5" t="s">
        <v>1280</v>
      </c>
      <c r="D1769" s="3" t="s">
        <v>454</v>
      </c>
      <c r="E1769" s="3">
        <v>2170</v>
      </c>
      <c r="F1769" s="37">
        <v>21</v>
      </c>
      <c r="G1769" s="10">
        <v>17</v>
      </c>
      <c r="H1769" s="3">
        <v>68</v>
      </c>
      <c r="I1769" s="3">
        <v>64</v>
      </c>
      <c r="J1769" t="str">
        <f t="shared" si="27"/>
        <v>http://www.badatelna.eu/reprodukce/?fondId=1073&amp;zaznamId=1108956&amp;reproId=3779613</v>
      </c>
      <c r="K1769">
        <f>IF(LEN(TRIM(E1769))=0,"",VLOOKUP(E1769,Sheet2!$B$1:$E$19,2,FALSE))</f>
        <v>1073</v>
      </c>
      <c r="L1769">
        <f>IF(LEN(TRIM(E1769))=0,"",VLOOKUP(E1769,Sheet2!$B$1:$E$19,3,FALSE))</f>
        <v>1108956</v>
      </c>
      <c r="M1769">
        <f>IF(LEN(TRIM(E1769))=0,"",VLOOKUP(E1769,Sheet2!$B$1:$E$19,4,FALSE))+(F1769-1)</f>
        <v>3779613</v>
      </c>
      <c r="N1769"/>
      <c r="O1769"/>
      <c r="P1769"/>
      <c r="Q1769"/>
    </row>
    <row r="1770" spans="1:17" s="1" customFormat="1" ht="15" customHeight="1" x14ac:dyDescent="0.25">
      <c r="A1770" s="27" t="s">
        <v>211</v>
      </c>
      <c r="B1770" s="27" t="s">
        <v>560</v>
      </c>
      <c r="C1770" s="5" t="s">
        <v>1287</v>
      </c>
      <c r="D1770" s="3" t="s">
        <v>454</v>
      </c>
      <c r="E1770" s="3">
        <v>2170</v>
      </c>
      <c r="F1770" s="28">
        <v>22</v>
      </c>
      <c r="G1770" s="10">
        <v>18</v>
      </c>
      <c r="H1770" s="3">
        <v>68</v>
      </c>
      <c r="I1770" s="3">
        <v>64</v>
      </c>
      <c r="J1770" t="str">
        <f t="shared" si="27"/>
        <v>http://www.badatelna.eu/reprodukce/?fondId=1073&amp;zaznamId=1108956&amp;reproId=3779614</v>
      </c>
      <c r="K1770">
        <f>IF(LEN(TRIM(E1770))=0,"",VLOOKUP(E1770,Sheet2!$B$1:$E$19,2,FALSE))</f>
        <v>1073</v>
      </c>
      <c r="L1770">
        <f>IF(LEN(TRIM(E1770))=0,"",VLOOKUP(E1770,Sheet2!$B$1:$E$19,3,FALSE))</f>
        <v>1108956</v>
      </c>
      <c r="M1770">
        <f>IF(LEN(TRIM(E1770))=0,"",VLOOKUP(E1770,Sheet2!$B$1:$E$19,4,FALSE))+(F1770-1)</f>
        <v>3779614</v>
      </c>
    </row>
    <row r="1771" spans="1:17" s="1" customFormat="1" ht="15" customHeight="1" x14ac:dyDescent="0.25">
      <c r="A1771" s="28" t="s">
        <v>211</v>
      </c>
      <c r="B1771" s="28" t="s">
        <v>493</v>
      </c>
      <c r="C1771" s="1">
        <v>1865</v>
      </c>
      <c r="D1771" s="1" t="s">
        <v>2919</v>
      </c>
      <c r="E1771" s="1">
        <v>999</v>
      </c>
      <c r="F1771" s="28">
        <v>89</v>
      </c>
      <c r="G1771" s="1">
        <v>10</v>
      </c>
      <c r="H1771" s="1">
        <v>106</v>
      </c>
      <c r="I1771" s="1">
        <v>165</v>
      </c>
      <c r="J1771" t="str">
        <f t="shared" si="27"/>
        <v>http://www.badatelna.eu/reprodukce/?fondId=241&amp;zaznamId=1133739&amp;reproId=3885818</v>
      </c>
      <c r="K1771">
        <f>IF(LEN(TRIM(E1771))=0,"",VLOOKUP(E1771,Sheet2!$B$1:$E$19,2,FALSE))</f>
        <v>241</v>
      </c>
      <c r="L1771">
        <f>IF(LEN(TRIM(E1771))=0,"",VLOOKUP(E1771,Sheet2!$B$1:$E$19,3,FALSE))</f>
        <v>1133739</v>
      </c>
      <c r="M1771">
        <f>IF(LEN(TRIM(E1771))=0,"",VLOOKUP(E1771,Sheet2!$B$1:$E$19,4,FALSE))+(F1771-1)</f>
        <v>3885818</v>
      </c>
    </row>
    <row r="1772" spans="1:17" s="1" customFormat="1" ht="15" customHeight="1" x14ac:dyDescent="0.25">
      <c r="A1772" s="27" t="s">
        <v>211</v>
      </c>
      <c r="B1772" s="27" t="s">
        <v>493</v>
      </c>
      <c r="C1772" s="5" t="s">
        <v>1279</v>
      </c>
      <c r="D1772" s="3" t="s">
        <v>454</v>
      </c>
      <c r="E1772" s="3">
        <v>2170</v>
      </c>
      <c r="F1772" s="28">
        <v>16</v>
      </c>
      <c r="G1772" s="10">
        <v>12</v>
      </c>
      <c r="H1772" s="3">
        <v>68</v>
      </c>
      <c r="I1772" s="3">
        <v>64</v>
      </c>
      <c r="J1772" t="str">
        <f t="shared" si="27"/>
        <v>http://www.badatelna.eu/reprodukce/?fondId=1073&amp;zaznamId=1108956&amp;reproId=3779608</v>
      </c>
      <c r="K1772">
        <f>IF(LEN(TRIM(E1772))=0,"",VLOOKUP(E1772,Sheet2!$B$1:$E$19,2,FALSE))</f>
        <v>1073</v>
      </c>
      <c r="L1772">
        <f>IF(LEN(TRIM(E1772))=0,"",VLOOKUP(E1772,Sheet2!$B$1:$E$19,3,FALSE))</f>
        <v>1108956</v>
      </c>
      <c r="M1772">
        <f>IF(LEN(TRIM(E1772))=0,"",VLOOKUP(E1772,Sheet2!$B$1:$E$19,4,FALSE))+(F1772-1)</f>
        <v>3779608</v>
      </c>
      <c r="N1772"/>
      <c r="O1772"/>
      <c r="P1772"/>
      <c r="Q1772"/>
    </row>
    <row r="1773" spans="1:17" s="1" customFormat="1" ht="15" customHeight="1" x14ac:dyDescent="0.25">
      <c r="A1773" s="27" t="s">
        <v>211</v>
      </c>
      <c r="B1773" s="27" t="s">
        <v>580</v>
      </c>
      <c r="C1773" s="5" t="s">
        <v>1285</v>
      </c>
      <c r="D1773" s="3" t="s">
        <v>454</v>
      </c>
      <c r="E1773" s="3">
        <v>2170</v>
      </c>
      <c r="F1773" s="28">
        <v>10</v>
      </c>
      <c r="G1773" s="10">
        <v>6</v>
      </c>
      <c r="H1773" s="3">
        <v>68</v>
      </c>
      <c r="I1773" s="3">
        <v>64</v>
      </c>
      <c r="J1773" t="str">
        <f t="shared" si="27"/>
        <v>http://www.badatelna.eu/reprodukce/?fondId=1073&amp;zaznamId=1108956&amp;reproId=3779602</v>
      </c>
      <c r="K1773">
        <f>IF(LEN(TRIM(E1773))=0,"",VLOOKUP(E1773,Sheet2!$B$1:$E$19,2,FALSE))</f>
        <v>1073</v>
      </c>
      <c r="L1773">
        <f>IF(LEN(TRIM(E1773))=0,"",VLOOKUP(E1773,Sheet2!$B$1:$E$19,3,FALSE))</f>
        <v>1108956</v>
      </c>
      <c r="M1773">
        <f>IF(LEN(TRIM(E1773))=0,"",VLOOKUP(E1773,Sheet2!$B$1:$E$19,4,FALSE))+(F1773-1)</f>
        <v>3779602</v>
      </c>
    </row>
    <row r="1774" spans="1:17" s="1" customFormat="1" ht="15" customHeight="1" x14ac:dyDescent="0.25">
      <c r="A1774" s="28" t="s">
        <v>211</v>
      </c>
      <c r="B1774" s="28" t="s">
        <v>799</v>
      </c>
      <c r="C1774" s="1">
        <v>1864</v>
      </c>
      <c r="D1774" s="1" t="s">
        <v>2919</v>
      </c>
      <c r="E1774" s="1">
        <v>999</v>
      </c>
      <c r="F1774" s="28">
        <v>85</v>
      </c>
      <c r="G1774" s="1">
        <v>6</v>
      </c>
      <c r="H1774" s="1">
        <v>106</v>
      </c>
      <c r="I1774" s="1">
        <v>165</v>
      </c>
      <c r="J1774" t="str">
        <f t="shared" si="27"/>
        <v>http://www.badatelna.eu/reprodukce/?fondId=241&amp;zaznamId=1133739&amp;reproId=3885814</v>
      </c>
      <c r="K1774">
        <f>IF(LEN(TRIM(E1774))=0,"",VLOOKUP(E1774,Sheet2!$B$1:$E$19,2,FALSE))</f>
        <v>241</v>
      </c>
      <c r="L1774">
        <f>IF(LEN(TRIM(E1774))=0,"",VLOOKUP(E1774,Sheet2!$B$1:$E$19,3,FALSE))</f>
        <v>1133739</v>
      </c>
      <c r="M1774">
        <f>IF(LEN(TRIM(E1774))=0,"",VLOOKUP(E1774,Sheet2!$B$1:$E$19,4,FALSE))+(F1774-1)</f>
        <v>3885814</v>
      </c>
    </row>
    <row r="1775" spans="1:17" s="1" customFormat="1" ht="15" customHeight="1" x14ac:dyDescent="0.25">
      <c r="A1775" s="28" t="s">
        <v>211</v>
      </c>
      <c r="B1775" s="28" t="s">
        <v>562</v>
      </c>
      <c r="C1775" s="1">
        <v>1851</v>
      </c>
      <c r="D1775" s="1" t="s">
        <v>2919</v>
      </c>
      <c r="E1775" s="1">
        <v>998</v>
      </c>
      <c r="F1775" s="28">
        <v>34</v>
      </c>
      <c r="G1775" s="1">
        <v>32</v>
      </c>
      <c r="H1775" s="1">
        <v>76</v>
      </c>
      <c r="I1775" s="1">
        <v>73</v>
      </c>
      <c r="J1775" t="str">
        <f t="shared" si="27"/>
        <v>http://www.badatelna.eu/reprodukce/?fondId=241&amp;zaznamId=1133738&amp;reproId=3885680</v>
      </c>
      <c r="K1775">
        <f>IF(LEN(TRIM(E1775))=0,"",VLOOKUP(E1775,Sheet2!$B$1:$E$19,2,FALSE))</f>
        <v>241</v>
      </c>
      <c r="L1775">
        <f>IF(LEN(TRIM(E1775))=0,"",VLOOKUP(E1775,Sheet2!$B$1:$E$19,3,FALSE))</f>
        <v>1133738</v>
      </c>
      <c r="M1775">
        <f>IF(LEN(TRIM(E1775))=0,"",VLOOKUP(E1775,Sheet2!$B$1:$E$19,4,FALSE))+(F1775-1)</f>
        <v>3885680</v>
      </c>
    </row>
    <row r="1776" spans="1:17" s="1" customFormat="1" ht="15" customHeight="1" x14ac:dyDescent="0.25">
      <c r="A1776" s="28" t="s">
        <v>211</v>
      </c>
      <c r="B1776" s="28" t="s">
        <v>538</v>
      </c>
      <c r="C1776" s="1">
        <v>1864</v>
      </c>
      <c r="D1776" s="1" t="s">
        <v>2919</v>
      </c>
      <c r="E1776" s="1">
        <v>999</v>
      </c>
      <c r="F1776" s="28">
        <v>86</v>
      </c>
      <c r="G1776" s="1">
        <v>7</v>
      </c>
      <c r="H1776" s="1">
        <v>106</v>
      </c>
      <c r="I1776" s="1">
        <v>165</v>
      </c>
      <c r="J1776" t="str">
        <f t="shared" si="27"/>
        <v>http://www.badatelna.eu/reprodukce/?fondId=241&amp;zaznamId=1133739&amp;reproId=3885815</v>
      </c>
      <c r="K1776">
        <f>IF(LEN(TRIM(E1776))=0,"",VLOOKUP(E1776,Sheet2!$B$1:$E$19,2,FALSE))</f>
        <v>241</v>
      </c>
      <c r="L1776">
        <f>IF(LEN(TRIM(E1776))=0,"",VLOOKUP(E1776,Sheet2!$B$1:$E$19,3,FALSE))</f>
        <v>1133739</v>
      </c>
      <c r="M1776">
        <f>IF(LEN(TRIM(E1776))=0,"",VLOOKUP(E1776,Sheet2!$B$1:$E$19,4,FALSE))+(F1776-1)</f>
        <v>3885815</v>
      </c>
    </row>
    <row r="1777" spans="1:17" s="1" customFormat="1" ht="15" customHeight="1" x14ac:dyDescent="0.25">
      <c r="A1777" s="27" t="s">
        <v>211</v>
      </c>
      <c r="B1777" s="27" t="s">
        <v>538</v>
      </c>
      <c r="C1777" s="5" t="s">
        <v>1276</v>
      </c>
      <c r="D1777" s="3" t="s">
        <v>454</v>
      </c>
      <c r="E1777" s="3">
        <v>2170</v>
      </c>
      <c r="F1777" s="28">
        <v>11</v>
      </c>
      <c r="G1777" s="10">
        <v>7</v>
      </c>
      <c r="H1777" s="3">
        <v>68</v>
      </c>
      <c r="I1777" s="3">
        <v>64</v>
      </c>
      <c r="J1777" t="str">
        <f t="shared" si="27"/>
        <v>http://www.badatelna.eu/reprodukce/?fondId=1073&amp;zaznamId=1108956&amp;reproId=3779603</v>
      </c>
      <c r="K1777">
        <f>IF(LEN(TRIM(E1777))=0,"",VLOOKUP(E1777,Sheet2!$B$1:$E$19,2,FALSE))</f>
        <v>1073</v>
      </c>
      <c r="L1777">
        <f>IF(LEN(TRIM(E1777))=0,"",VLOOKUP(E1777,Sheet2!$B$1:$E$19,3,FALSE))</f>
        <v>1108956</v>
      </c>
      <c r="M1777">
        <f>IF(LEN(TRIM(E1777))=0,"",VLOOKUP(E1777,Sheet2!$B$1:$E$19,4,FALSE))+(F1777-1)</f>
        <v>3779603</v>
      </c>
    </row>
    <row r="1778" spans="1:17" s="1" customFormat="1" ht="15" customHeight="1" x14ac:dyDescent="0.25">
      <c r="A1778" s="27" t="s">
        <v>211</v>
      </c>
      <c r="B1778" s="27" t="s">
        <v>538</v>
      </c>
      <c r="C1778" s="5" t="s">
        <v>1284</v>
      </c>
      <c r="D1778" s="3" t="s">
        <v>454</v>
      </c>
      <c r="E1778" s="3">
        <v>2170</v>
      </c>
      <c r="F1778" s="28">
        <v>30</v>
      </c>
      <c r="G1778" s="10">
        <v>26</v>
      </c>
      <c r="H1778" s="3">
        <v>68</v>
      </c>
      <c r="I1778" s="3">
        <v>64</v>
      </c>
      <c r="J1778" t="str">
        <f t="shared" si="27"/>
        <v>http://www.badatelna.eu/reprodukce/?fondId=1073&amp;zaznamId=1108956&amp;reproId=3779622</v>
      </c>
      <c r="K1778">
        <f>IF(LEN(TRIM(E1778))=0,"",VLOOKUP(E1778,Sheet2!$B$1:$E$19,2,FALSE))</f>
        <v>1073</v>
      </c>
      <c r="L1778">
        <f>IF(LEN(TRIM(E1778))=0,"",VLOOKUP(E1778,Sheet2!$B$1:$E$19,3,FALSE))</f>
        <v>1108956</v>
      </c>
      <c r="M1778">
        <f>IF(LEN(TRIM(E1778))=0,"",VLOOKUP(E1778,Sheet2!$B$1:$E$19,4,FALSE))+(F1778-1)</f>
        <v>3779622</v>
      </c>
      <c r="N1778"/>
      <c r="O1778"/>
      <c r="P1778"/>
      <c r="Q1778"/>
    </row>
    <row r="1779" spans="1:17" s="1" customFormat="1" ht="15" customHeight="1" x14ac:dyDescent="0.25">
      <c r="A1779" s="28" t="s">
        <v>211</v>
      </c>
      <c r="B1779" s="28" t="s">
        <v>970</v>
      </c>
      <c r="C1779" s="1">
        <v>1891</v>
      </c>
      <c r="D1779" s="1" t="s">
        <v>454</v>
      </c>
      <c r="E1779" s="1">
        <v>2172</v>
      </c>
      <c r="F1779" s="28">
        <v>82</v>
      </c>
      <c r="G1779" s="9">
        <v>81</v>
      </c>
      <c r="H1779" s="1">
        <v>83</v>
      </c>
      <c r="I1779" s="1">
        <v>82</v>
      </c>
      <c r="J1779" t="str">
        <f t="shared" si="27"/>
        <v>http://www.badatelna.eu/reprodukce/?fondId=1073&amp;zaznamId=1108958&amp;reproId=3779823</v>
      </c>
      <c r="K1779">
        <f>IF(LEN(TRIM(E1779))=0,"",VLOOKUP(E1779,Sheet2!$B$1:$E$19,2,FALSE))</f>
        <v>1073</v>
      </c>
      <c r="L1779">
        <f>IF(LEN(TRIM(E1779))=0,"",VLOOKUP(E1779,Sheet2!$B$1:$E$19,3,FALSE))</f>
        <v>1108958</v>
      </c>
      <c r="M1779">
        <f>IF(LEN(TRIM(E1779))=0,"",VLOOKUP(E1779,Sheet2!$B$1:$E$19,4,FALSE))+(F1779-1)</f>
        <v>3779823</v>
      </c>
    </row>
    <row r="1780" spans="1:17" s="1" customFormat="1" ht="15" customHeight="1" x14ac:dyDescent="0.25">
      <c r="A1780" s="28" t="s">
        <v>211</v>
      </c>
      <c r="B1780" s="28" t="s">
        <v>111</v>
      </c>
      <c r="C1780" s="1">
        <v>1889</v>
      </c>
      <c r="D1780" s="1" t="s">
        <v>454</v>
      </c>
      <c r="E1780" s="1">
        <v>2172</v>
      </c>
      <c r="F1780" s="28">
        <v>68</v>
      </c>
      <c r="G1780" s="9" t="s">
        <v>3083</v>
      </c>
      <c r="H1780" s="1">
        <v>70</v>
      </c>
      <c r="I1780" s="1">
        <v>69</v>
      </c>
      <c r="J1780" t="str">
        <f t="shared" si="27"/>
        <v>http://www.badatelna.eu/reprodukce/?fondId=1073&amp;zaznamId=1108958&amp;reproId=3779809</v>
      </c>
      <c r="K1780">
        <f>IF(LEN(TRIM(E1780))=0,"",VLOOKUP(E1780,Sheet2!$B$1:$E$19,2,FALSE))</f>
        <v>1073</v>
      </c>
      <c r="L1780">
        <f>IF(LEN(TRIM(E1780))=0,"",VLOOKUP(E1780,Sheet2!$B$1:$E$19,3,FALSE))</f>
        <v>1108958</v>
      </c>
      <c r="M1780">
        <f>IF(LEN(TRIM(E1780))=0,"",VLOOKUP(E1780,Sheet2!$B$1:$E$19,4,FALSE))+(F1780-1)</f>
        <v>3779809</v>
      </c>
    </row>
    <row r="1781" spans="1:17" s="1" customFormat="1" ht="15" customHeight="1" x14ac:dyDescent="0.25">
      <c r="A1781" s="28" t="s">
        <v>211</v>
      </c>
      <c r="B1781" s="28" t="s">
        <v>274</v>
      </c>
      <c r="C1781" s="1">
        <v>1865</v>
      </c>
      <c r="D1781" s="1" t="s">
        <v>2919</v>
      </c>
      <c r="E1781" s="1">
        <v>999</v>
      </c>
      <c r="F1781" s="28">
        <v>89</v>
      </c>
      <c r="G1781" s="1">
        <v>10</v>
      </c>
      <c r="H1781" s="1">
        <v>106</v>
      </c>
      <c r="I1781" s="1">
        <v>165</v>
      </c>
      <c r="J1781" t="str">
        <f t="shared" si="27"/>
        <v>http://www.badatelna.eu/reprodukce/?fondId=241&amp;zaznamId=1133739&amp;reproId=3885818</v>
      </c>
      <c r="K1781">
        <f>IF(LEN(TRIM(E1781))=0,"",VLOOKUP(E1781,Sheet2!$B$1:$E$19,2,FALSE))</f>
        <v>241</v>
      </c>
      <c r="L1781">
        <f>IF(LEN(TRIM(E1781))=0,"",VLOOKUP(E1781,Sheet2!$B$1:$E$19,3,FALSE))</f>
        <v>1133739</v>
      </c>
      <c r="M1781">
        <f>IF(LEN(TRIM(E1781))=0,"",VLOOKUP(E1781,Sheet2!$B$1:$E$19,4,FALSE))+(F1781-1)</f>
        <v>3885818</v>
      </c>
      <c r="N1781"/>
      <c r="O1781"/>
      <c r="P1781"/>
      <c r="Q1781"/>
    </row>
    <row r="1782" spans="1:17" s="1" customFormat="1" ht="15" customHeight="1" x14ac:dyDescent="0.25">
      <c r="A1782" s="27" t="s">
        <v>211</v>
      </c>
      <c r="B1782" s="27" t="s">
        <v>274</v>
      </c>
      <c r="C1782" s="5" t="s">
        <v>1278</v>
      </c>
      <c r="D1782" s="3" t="s">
        <v>454</v>
      </c>
      <c r="E1782" s="3">
        <v>2170</v>
      </c>
      <c r="F1782" s="28">
        <v>16</v>
      </c>
      <c r="G1782" s="10">
        <v>12</v>
      </c>
      <c r="H1782" s="3">
        <v>68</v>
      </c>
      <c r="I1782" s="3">
        <v>64</v>
      </c>
      <c r="J1782" t="str">
        <f t="shared" si="27"/>
        <v>http://www.badatelna.eu/reprodukce/?fondId=1073&amp;zaznamId=1108956&amp;reproId=3779608</v>
      </c>
      <c r="K1782">
        <f>IF(LEN(TRIM(E1782))=0,"",VLOOKUP(E1782,Sheet2!$B$1:$E$19,2,FALSE))</f>
        <v>1073</v>
      </c>
      <c r="L1782">
        <f>IF(LEN(TRIM(E1782))=0,"",VLOOKUP(E1782,Sheet2!$B$1:$E$19,3,FALSE))</f>
        <v>1108956</v>
      </c>
      <c r="M1782">
        <f>IF(LEN(TRIM(E1782))=0,"",VLOOKUP(E1782,Sheet2!$B$1:$E$19,4,FALSE))+(F1782-1)</f>
        <v>3779608</v>
      </c>
    </row>
    <row r="1783" spans="1:17" s="1" customFormat="1" ht="15" customHeight="1" x14ac:dyDescent="0.25">
      <c r="A1783" s="28" t="s">
        <v>211</v>
      </c>
      <c r="B1783" s="28" t="s">
        <v>847</v>
      </c>
      <c r="C1783" s="6" t="s">
        <v>1527</v>
      </c>
      <c r="D1783" s="1" t="s">
        <v>454</v>
      </c>
      <c r="E1783" s="1">
        <v>2172</v>
      </c>
      <c r="F1783" s="28">
        <v>13</v>
      </c>
      <c r="G1783" s="9">
        <v>12</v>
      </c>
      <c r="H1783" s="1" t="s">
        <v>3073</v>
      </c>
      <c r="I1783" s="1" t="s">
        <v>3073</v>
      </c>
      <c r="J1783" t="str">
        <f t="shared" si="27"/>
        <v>http://www.badatelna.eu/reprodukce/?fondId=1073&amp;zaznamId=1108958&amp;reproId=3779754</v>
      </c>
      <c r="K1783">
        <f>IF(LEN(TRIM(E1783))=0,"",VLOOKUP(E1783,Sheet2!$B$1:$E$19,2,FALSE))</f>
        <v>1073</v>
      </c>
      <c r="L1783">
        <f>IF(LEN(TRIM(E1783))=0,"",VLOOKUP(E1783,Sheet2!$B$1:$E$19,3,FALSE))</f>
        <v>1108958</v>
      </c>
      <c r="M1783">
        <f>IF(LEN(TRIM(E1783))=0,"",VLOOKUP(E1783,Sheet2!$B$1:$E$19,4,FALSE))+(F1783-1)</f>
        <v>3779754</v>
      </c>
    </row>
    <row r="1784" spans="1:17" s="1" customFormat="1" ht="15" customHeight="1" x14ac:dyDescent="0.25">
      <c r="A1784" s="27" t="s">
        <v>211</v>
      </c>
      <c r="B1784" s="27" t="s">
        <v>478</v>
      </c>
      <c r="C1784" s="5" t="s">
        <v>1288</v>
      </c>
      <c r="D1784" s="3" t="s">
        <v>454</v>
      </c>
      <c r="E1784" s="3">
        <v>2170</v>
      </c>
      <c r="F1784" s="28">
        <v>34</v>
      </c>
      <c r="G1784" s="10">
        <v>30</v>
      </c>
      <c r="H1784" s="3">
        <v>68</v>
      </c>
      <c r="I1784" s="3">
        <v>64</v>
      </c>
      <c r="J1784" t="str">
        <f t="shared" si="27"/>
        <v>http://www.badatelna.eu/reprodukce/?fondId=1073&amp;zaznamId=1108956&amp;reproId=3779626</v>
      </c>
      <c r="K1784">
        <f>IF(LEN(TRIM(E1784))=0,"",VLOOKUP(E1784,Sheet2!$B$1:$E$19,2,FALSE))</f>
        <v>1073</v>
      </c>
      <c r="L1784">
        <f>IF(LEN(TRIM(E1784))=0,"",VLOOKUP(E1784,Sheet2!$B$1:$E$19,3,FALSE))</f>
        <v>1108956</v>
      </c>
      <c r="M1784">
        <f>IF(LEN(TRIM(E1784))=0,"",VLOOKUP(E1784,Sheet2!$B$1:$E$19,4,FALSE))+(F1784-1)</f>
        <v>3779626</v>
      </c>
      <c r="N1784"/>
      <c r="O1784"/>
      <c r="P1784"/>
      <c r="Q1784"/>
    </row>
    <row r="1785" spans="1:17" s="1" customFormat="1" ht="15" customHeight="1" x14ac:dyDescent="0.25">
      <c r="A1785" s="28" t="s">
        <v>211</v>
      </c>
      <c r="B1785" s="28" t="s">
        <v>2982</v>
      </c>
      <c r="C1785" s="1">
        <v>1861</v>
      </c>
      <c r="D1785" s="1" t="s">
        <v>2919</v>
      </c>
      <c r="E1785" s="1">
        <v>998</v>
      </c>
      <c r="F1785" s="28">
        <v>60</v>
      </c>
      <c r="G1785" s="1">
        <v>57</v>
      </c>
      <c r="H1785" s="1">
        <v>76</v>
      </c>
      <c r="I1785" s="1">
        <v>73</v>
      </c>
      <c r="J1785" t="str">
        <f t="shared" si="27"/>
        <v>http://www.badatelna.eu/reprodukce/?fondId=241&amp;zaznamId=1133738&amp;reproId=3885706</v>
      </c>
      <c r="K1785">
        <f>IF(LEN(TRIM(E1785))=0,"",VLOOKUP(E1785,Sheet2!$B$1:$E$19,2,FALSE))</f>
        <v>241</v>
      </c>
      <c r="L1785">
        <f>IF(LEN(TRIM(E1785))=0,"",VLOOKUP(E1785,Sheet2!$B$1:$E$19,3,FALSE))</f>
        <v>1133738</v>
      </c>
      <c r="M1785">
        <f>IF(LEN(TRIM(E1785))=0,"",VLOOKUP(E1785,Sheet2!$B$1:$E$19,4,FALSE))+(F1785-1)</f>
        <v>3885706</v>
      </c>
      <c r="N1785"/>
      <c r="O1785"/>
      <c r="P1785"/>
      <c r="Q1785"/>
    </row>
    <row r="1786" spans="1:17" s="1" customFormat="1" ht="15" customHeight="1" x14ac:dyDescent="0.25">
      <c r="A1786" s="28" t="s">
        <v>211</v>
      </c>
      <c r="B1786" s="28" t="s">
        <v>84</v>
      </c>
      <c r="C1786" s="6" t="s">
        <v>1575</v>
      </c>
      <c r="D1786" s="1" t="s">
        <v>454</v>
      </c>
      <c r="E1786" s="1">
        <v>2172</v>
      </c>
      <c r="F1786" s="28">
        <v>21</v>
      </c>
      <c r="G1786" s="9">
        <v>20</v>
      </c>
      <c r="H1786" s="1">
        <v>25</v>
      </c>
      <c r="I1786" s="1">
        <v>24</v>
      </c>
      <c r="J1786" t="str">
        <f t="shared" si="27"/>
        <v>http://www.badatelna.eu/reprodukce/?fondId=1073&amp;zaznamId=1108958&amp;reproId=3779762</v>
      </c>
      <c r="K1786">
        <f>IF(LEN(TRIM(E1786))=0,"",VLOOKUP(E1786,Sheet2!$B$1:$E$19,2,FALSE))</f>
        <v>1073</v>
      </c>
      <c r="L1786">
        <f>IF(LEN(TRIM(E1786))=0,"",VLOOKUP(E1786,Sheet2!$B$1:$E$19,3,FALSE))</f>
        <v>1108958</v>
      </c>
      <c r="M1786">
        <f>IF(LEN(TRIM(E1786))=0,"",VLOOKUP(E1786,Sheet2!$B$1:$E$19,4,FALSE))+(F1786-1)</f>
        <v>3779762</v>
      </c>
    </row>
    <row r="1787" spans="1:17" s="1" customFormat="1" ht="15" customHeight="1" x14ac:dyDescent="0.25">
      <c r="A1787" s="27" t="s">
        <v>211</v>
      </c>
      <c r="B1787" s="27" t="s">
        <v>581</v>
      </c>
      <c r="C1787" s="5" t="s">
        <v>1289</v>
      </c>
      <c r="D1787" s="3" t="s">
        <v>454</v>
      </c>
      <c r="E1787" s="3">
        <v>2170</v>
      </c>
      <c r="F1787" s="28">
        <v>41</v>
      </c>
      <c r="G1787" s="10">
        <v>37</v>
      </c>
      <c r="H1787" s="3">
        <v>68</v>
      </c>
      <c r="I1787" s="3">
        <v>64</v>
      </c>
      <c r="J1787" t="str">
        <f t="shared" si="27"/>
        <v>http://www.badatelna.eu/reprodukce/?fondId=1073&amp;zaznamId=1108956&amp;reproId=3779633</v>
      </c>
      <c r="K1787">
        <f>IF(LEN(TRIM(E1787))=0,"",VLOOKUP(E1787,Sheet2!$B$1:$E$19,2,FALSE))</f>
        <v>1073</v>
      </c>
      <c r="L1787">
        <f>IF(LEN(TRIM(E1787))=0,"",VLOOKUP(E1787,Sheet2!$B$1:$E$19,3,FALSE))</f>
        <v>1108956</v>
      </c>
      <c r="M1787">
        <f>IF(LEN(TRIM(E1787))=0,"",VLOOKUP(E1787,Sheet2!$B$1:$E$19,4,FALSE))+(F1787-1)</f>
        <v>3779633</v>
      </c>
    </row>
    <row r="1788" spans="1:17" s="1" customFormat="1" ht="15" customHeight="1" x14ac:dyDescent="0.25">
      <c r="A1788" s="28" t="s">
        <v>211</v>
      </c>
      <c r="B1788" s="28" t="s">
        <v>496</v>
      </c>
      <c r="C1788" s="1">
        <v>1862</v>
      </c>
      <c r="D1788" s="1" t="s">
        <v>2919</v>
      </c>
      <c r="E1788" s="1">
        <v>999</v>
      </c>
      <c r="F1788" s="28">
        <v>80</v>
      </c>
      <c r="G1788" s="1">
        <v>1</v>
      </c>
      <c r="H1788" s="1">
        <v>106</v>
      </c>
      <c r="I1788" s="1">
        <v>165</v>
      </c>
      <c r="J1788" t="str">
        <f t="shared" si="27"/>
        <v>http://www.badatelna.eu/reprodukce/?fondId=241&amp;zaznamId=1133739&amp;reproId=3885809</v>
      </c>
      <c r="K1788">
        <f>IF(LEN(TRIM(E1788))=0,"",VLOOKUP(E1788,Sheet2!$B$1:$E$19,2,FALSE))</f>
        <v>241</v>
      </c>
      <c r="L1788">
        <f>IF(LEN(TRIM(E1788))=0,"",VLOOKUP(E1788,Sheet2!$B$1:$E$19,3,FALSE))</f>
        <v>1133739</v>
      </c>
      <c r="M1788">
        <f>IF(LEN(TRIM(E1788))=0,"",VLOOKUP(E1788,Sheet2!$B$1:$E$19,4,FALSE))+(F1788-1)</f>
        <v>3885809</v>
      </c>
    </row>
    <row r="1789" spans="1:17" s="1" customFormat="1" ht="15" customHeight="1" x14ac:dyDescent="0.25">
      <c r="A1789" s="28" t="s">
        <v>211</v>
      </c>
      <c r="B1789" s="28" t="s">
        <v>25</v>
      </c>
      <c r="C1789" s="1">
        <v>1865</v>
      </c>
      <c r="D1789" s="1" t="s">
        <v>2919</v>
      </c>
      <c r="E1789" s="1">
        <v>999</v>
      </c>
      <c r="F1789" s="28">
        <v>88</v>
      </c>
      <c r="G1789" s="1">
        <v>9</v>
      </c>
      <c r="H1789" s="1">
        <v>106</v>
      </c>
      <c r="I1789" s="1">
        <v>165</v>
      </c>
      <c r="J1789" t="str">
        <f t="shared" si="27"/>
        <v>http://www.badatelna.eu/reprodukce/?fondId=241&amp;zaznamId=1133739&amp;reproId=3885817</v>
      </c>
      <c r="K1789">
        <f>IF(LEN(TRIM(E1789))=0,"",VLOOKUP(E1789,Sheet2!$B$1:$E$19,2,FALSE))</f>
        <v>241</v>
      </c>
      <c r="L1789">
        <f>IF(LEN(TRIM(E1789))=0,"",VLOOKUP(E1789,Sheet2!$B$1:$E$19,3,FALSE))</f>
        <v>1133739</v>
      </c>
      <c r="M1789">
        <f>IF(LEN(TRIM(E1789))=0,"",VLOOKUP(E1789,Sheet2!$B$1:$E$19,4,FALSE))+(F1789-1)</f>
        <v>3885817</v>
      </c>
      <c r="N1789"/>
      <c r="O1789"/>
      <c r="P1789"/>
      <c r="Q1789"/>
    </row>
    <row r="1790" spans="1:17" s="1" customFormat="1" ht="15" customHeight="1" x14ac:dyDescent="0.25">
      <c r="A1790" s="27" t="s">
        <v>211</v>
      </c>
      <c r="B1790" s="27" t="s">
        <v>25</v>
      </c>
      <c r="C1790" s="5" t="s">
        <v>1292</v>
      </c>
      <c r="D1790" s="3" t="s">
        <v>454</v>
      </c>
      <c r="E1790" s="3">
        <v>2170</v>
      </c>
      <c r="F1790" s="28">
        <v>15</v>
      </c>
      <c r="G1790" s="10">
        <v>11</v>
      </c>
      <c r="H1790" s="3">
        <v>68</v>
      </c>
      <c r="I1790" s="3">
        <v>64</v>
      </c>
      <c r="J1790" t="str">
        <f t="shared" si="27"/>
        <v>http://www.badatelna.eu/reprodukce/?fondId=1073&amp;zaznamId=1108956&amp;reproId=3779607</v>
      </c>
      <c r="K1790">
        <f>IF(LEN(TRIM(E1790))=0,"",VLOOKUP(E1790,Sheet2!$B$1:$E$19,2,FALSE))</f>
        <v>1073</v>
      </c>
      <c r="L1790">
        <f>IF(LEN(TRIM(E1790))=0,"",VLOOKUP(E1790,Sheet2!$B$1:$E$19,3,FALSE))</f>
        <v>1108956</v>
      </c>
      <c r="M1790">
        <f>IF(LEN(TRIM(E1790))=0,"",VLOOKUP(E1790,Sheet2!$B$1:$E$19,4,FALSE))+(F1790-1)</f>
        <v>3779607</v>
      </c>
    </row>
    <row r="1791" spans="1:17" s="1" customFormat="1" ht="15" customHeight="1" x14ac:dyDescent="0.25">
      <c r="A1791" s="28" t="s">
        <v>211</v>
      </c>
      <c r="B1791" s="28" t="s">
        <v>971</v>
      </c>
      <c r="C1791" s="6" t="s">
        <v>1821</v>
      </c>
      <c r="D1791" s="1" t="s">
        <v>454</v>
      </c>
      <c r="E1791" s="1">
        <v>2172</v>
      </c>
      <c r="F1791" s="28">
        <v>168</v>
      </c>
      <c r="G1791" s="9">
        <v>161</v>
      </c>
      <c r="H1791" s="1" t="s">
        <v>3073</v>
      </c>
      <c r="I1791" s="1" t="s">
        <v>3073</v>
      </c>
      <c r="J1791" t="str">
        <f t="shared" si="27"/>
        <v>http://www.badatelna.eu/reprodukce/?fondId=1073&amp;zaznamId=1108958&amp;reproId=3779909</v>
      </c>
      <c r="K1791">
        <f>IF(LEN(TRIM(E1791))=0,"",VLOOKUP(E1791,Sheet2!$B$1:$E$19,2,FALSE))</f>
        <v>1073</v>
      </c>
      <c r="L1791">
        <f>IF(LEN(TRIM(E1791))=0,"",VLOOKUP(E1791,Sheet2!$B$1:$E$19,3,FALSE))</f>
        <v>1108958</v>
      </c>
      <c r="M1791">
        <f>IF(LEN(TRIM(E1791))=0,"",VLOOKUP(E1791,Sheet2!$B$1:$E$19,4,FALSE))+(F1791-1)</f>
        <v>3779909</v>
      </c>
      <c r="N1791"/>
      <c r="O1791"/>
      <c r="P1791"/>
      <c r="Q1791"/>
    </row>
    <row r="1792" spans="1:17" s="1" customFormat="1" ht="15" customHeight="1" x14ac:dyDescent="0.25">
      <c r="A1792" s="28" t="s">
        <v>211</v>
      </c>
      <c r="B1792" s="28" t="s">
        <v>480</v>
      </c>
      <c r="C1792" s="1">
        <v>1860</v>
      </c>
      <c r="D1792" s="1" t="s">
        <v>2919</v>
      </c>
      <c r="E1792" s="1">
        <v>998</v>
      </c>
      <c r="F1792" s="28">
        <v>59</v>
      </c>
      <c r="G1792" s="1">
        <v>56</v>
      </c>
      <c r="H1792" s="1">
        <v>76</v>
      </c>
      <c r="I1792" s="1">
        <v>73</v>
      </c>
      <c r="J1792" t="str">
        <f t="shared" si="27"/>
        <v>http://www.badatelna.eu/reprodukce/?fondId=241&amp;zaznamId=1133738&amp;reproId=3885705</v>
      </c>
      <c r="K1792">
        <f>IF(LEN(TRIM(E1792))=0,"",VLOOKUP(E1792,Sheet2!$B$1:$E$19,2,FALSE))</f>
        <v>241</v>
      </c>
      <c r="L1792">
        <f>IF(LEN(TRIM(E1792))=0,"",VLOOKUP(E1792,Sheet2!$B$1:$E$19,3,FALSE))</f>
        <v>1133738</v>
      </c>
      <c r="M1792">
        <f>IF(LEN(TRIM(E1792))=0,"",VLOOKUP(E1792,Sheet2!$B$1:$E$19,4,FALSE))+(F1792-1)</f>
        <v>3885705</v>
      </c>
    </row>
    <row r="1793" spans="1:17" s="1" customFormat="1" ht="15" customHeight="1" x14ac:dyDescent="0.25">
      <c r="A1793" s="27" t="s">
        <v>211</v>
      </c>
      <c r="B1793" s="27" t="s">
        <v>545</v>
      </c>
      <c r="C1793" s="5" t="s">
        <v>1290</v>
      </c>
      <c r="D1793" s="3" t="s">
        <v>454</v>
      </c>
      <c r="E1793" s="3">
        <v>2170</v>
      </c>
      <c r="F1793" s="28">
        <v>43</v>
      </c>
      <c r="G1793" s="10">
        <v>39</v>
      </c>
      <c r="H1793" s="3">
        <v>68</v>
      </c>
      <c r="I1793" s="3">
        <v>64</v>
      </c>
      <c r="J1793" t="str">
        <f t="shared" si="27"/>
        <v>http://www.badatelna.eu/reprodukce/?fondId=1073&amp;zaznamId=1108956&amp;reproId=3779635</v>
      </c>
      <c r="K1793">
        <f>IF(LEN(TRIM(E1793))=0,"",VLOOKUP(E1793,Sheet2!$B$1:$E$19,2,FALSE))</f>
        <v>1073</v>
      </c>
      <c r="L1793">
        <f>IF(LEN(TRIM(E1793))=0,"",VLOOKUP(E1793,Sheet2!$B$1:$E$19,3,FALSE))</f>
        <v>1108956</v>
      </c>
      <c r="M1793">
        <f>IF(LEN(TRIM(E1793))=0,"",VLOOKUP(E1793,Sheet2!$B$1:$E$19,4,FALSE))+(F1793-1)</f>
        <v>3779635</v>
      </c>
    </row>
    <row r="1794" spans="1:17" s="1" customFormat="1" ht="15" customHeight="1" x14ac:dyDescent="0.25">
      <c r="A1794" s="27" t="s">
        <v>211</v>
      </c>
      <c r="B1794" s="30" t="s">
        <v>586</v>
      </c>
      <c r="C1794" s="5" t="s">
        <v>1325</v>
      </c>
      <c r="D1794" s="3" t="s">
        <v>454</v>
      </c>
      <c r="E1794" s="3">
        <v>2170</v>
      </c>
      <c r="F1794" s="28">
        <v>50</v>
      </c>
      <c r="G1794" s="11">
        <v>46</v>
      </c>
      <c r="H1794" s="3">
        <v>69</v>
      </c>
      <c r="I1794" s="3">
        <v>65</v>
      </c>
      <c r="J1794" t="str">
        <f t="shared" si="27"/>
        <v>http://www.badatelna.eu/reprodukce/?fondId=1073&amp;zaznamId=1108956&amp;reproId=3779642</v>
      </c>
      <c r="K1794">
        <f>IF(LEN(TRIM(E1794))=0,"",VLOOKUP(E1794,Sheet2!$B$1:$E$19,2,FALSE))</f>
        <v>1073</v>
      </c>
      <c r="L1794">
        <f>IF(LEN(TRIM(E1794))=0,"",VLOOKUP(E1794,Sheet2!$B$1:$E$19,3,FALSE))</f>
        <v>1108956</v>
      </c>
      <c r="M1794">
        <f>IF(LEN(TRIM(E1794))=0,"",VLOOKUP(E1794,Sheet2!$B$1:$E$19,4,FALSE))+(F1794-1)</f>
        <v>3779642</v>
      </c>
    </row>
    <row r="1795" spans="1:17" s="1" customFormat="1" ht="15" customHeight="1" x14ac:dyDescent="0.25">
      <c r="A1795" s="28" t="s">
        <v>211</v>
      </c>
      <c r="B1795" s="28" t="s">
        <v>213</v>
      </c>
      <c r="C1795" s="1">
        <v>1847</v>
      </c>
      <c r="D1795" s="1" t="s">
        <v>2919</v>
      </c>
      <c r="E1795" s="1">
        <v>998</v>
      </c>
      <c r="F1795" s="28">
        <v>3</v>
      </c>
      <c r="G1795" s="1">
        <v>1</v>
      </c>
      <c r="H1795" s="1">
        <v>76</v>
      </c>
      <c r="I1795" s="1">
        <v>73</v>
      </c>
      <c r="J1795" t="str">
        <f t="shared" ref="J1795:J1858" si="28">IF(LEN(TRIM(E1795))=0,"","http://www.badatelna.eu/reprodukce/?fondId="&amp;K1795&amp;"&amp;zaznamId="&amp;L1795&amp;"&amp;reproId="&amp;M1795)</f>
        <v>http://www.badatelna.eu/reprodukce/?fondId=241&amp;zaznamId=1133738&amp;reproId=3885649</v>
      </c>
      <c r="K1795">
        <f>IF(LEN(TRIM(E1795))=0,"",VLOOKUP(E1795,Sheet2!$B$1:$E$19,2,FALSE))</f>
        <v>241</v>
      </c>
      <c r="L1795">
        <f>IF(LEN(TRIM(E1795))=0,"",VLOOKUP(E1795,Sheet2!$B$1:$E$19,3,FALSE))</f>
        <v>1133738</v>
      </c>
      <c r="M1795">
        <f>IF(LEN(TRIM(E1795))=0,"",VLOOKUP(E1795,Sheet2!$B$1:$E$19,4,FALSE))+(F1795-1)</f>
        <v>3885649</v>
      </c>
    </row>
    <row r="1796" spans="1:17" s="1" customFormat="1" ht="15" customHeight="1" x14ac:dyDescent="0.25">
      <c r="A1796" s="28" t="s">
        <v>211</v>
      </c>
      <c r="B1796" s="28" t="s">
        <v>28</v>
      </c>
      <c r="C1796" s="1">
        <v>1849</v>
      </c>
      <c r="D1796" s="1" t="s">
        <v>2919</v>
      </c>
      <c r="E1796" s="1">
        <v>998</v>
      </c>
      <c r="F1796" s="28">
        <v>24</v>
      </c>
      <c r="G1796" s="1">
        <v>22</v>
      </c>
      <c r="H1796" s="1">
        <v>76</v>
      </c>
      <c r="I1796" s="1">
        <v>73</v>
      </c>
      <c r="J1796" t="str">
        <f t="shared" si="28"/>
        <v>http://www.badatelna.eu/reprodukce/?fondId=241&amp;zaznamId=1133738&amp;reproId=3885670</v>
      </c>
      <c r="K1796">
        <f>IF(LEN(TRIM(E1796))=0,"",VLOOKUP(E1796,Sheet2!$B$1:$E$19,2,FALSE))</f>
        <v>241</v>
      </c>
      <c r="L1796">
        <f>IF(LEN(TRIM(E1796))=0,"",VLOOKUP(E1796,Sheet2!$B$1:$E$19,3,FALSE))</f>
        <v>1133738</v>
      </c>
      <c r="M1796">
        <f>IF(LEN(TRIM(E1796))=0,"",VLOOKUP(E1796,Sheet2!$B$1:$E$19,4,FALSE))+(F1796-1)</f>
        <v>3885670</v>
      </c>
      <c r="N1796"/>
      <c r="O1796"/>
      <c r="P1796"/>
      <c r="Q1796"/>
    </row>
    <row r="1797" spans="1:17" s="1" customFormat="1" ht="15" customHeight="1" x14ac:dyDescent="0.25">
      <c r="A1797" s="28" t="s">
        <v>211</v>
      </c>
      <c r="B1797" s="28" t="s">
        <v>2994</v>
      </c>
      <c r="C1797" s="1">
        <v>1851</v>
      </c>
      <c r="D1797" s="1" t="s">
        <v>2919</v>
      </c>
      <c r="E1797" s="1">
        <v>998</v>
      </c>
      <c r="F1797" s="28">
        <v>33</v>
      </c>
      <c r="G1797" s="1">
        <v>31</v>
      </c>
      <c r="H1797" s="1">
        <v>76</v>
      </c>
      <c r="I1797" s="1">
        <v>73</v>
      </c>
      <c r="J1797" t="str">
        <f t="shared" si="28"/>
        <v>http://www.badatelna.eu/reprodukce/?fondId=241&amp;zaznamId=1133738&amp;reproId=3885679</v>
      </c>
      <c r="K1797">
        <f>IF(LEN(TRIM(E1797))=0,"",VLOOKUP(E1797,Sheet2!$B$1:$E$19,2,FALSE))</f>
        <v>241</v>
      </c>
      <c r="L1797">
        <f>IF(LEN(TRIM(E1797))=0,"",VLOOKUP(E1797,Sheet2!$B$1:$E$19,3,FALSE))</f>
        <v>1133738</v>
      </c>
      <c r="M1797">
        <f>IF(LEN(TRIM(E1797))=0,"",VLOOKUP(E1797,Sheet2!$B$1:$E$19,4,FALSE))+(F1797-1)</f>
        <v>3885679</v>
      </c>
    </row>
    <row r="1798" spans="1:17" s="1" customFormat="1" ht="15" customHeight="1" x14ac:dyDescent="0.25">
      <c r="A1798" s="27" t="s">
        <v>211</v>
      </c>
      <c r="B1798" s="27" t="s">
        <v>582</v>
      </c>
      <c r="C1798" s="5" t="s">
        <v>1286</v>
      </c>
      <c r="D1798" s="3" t="s">
        <v>454</v>
      </c>
      <c r="E1798" s="3">
        <v>2170</v>
      </c>
      <c r="F1798" s="28">
        <v>35</v>
      </c>
      <c r="G1798" s="10">
        <v>31</v>
      </c>
      <c r="H1798" s="3">
        <v>68</v>
      </c>
      <c r="I1798" s="3">
        <v>64</v>
      </c>
      <c r="J1798" t="str">
        <f t="shared" si="28"/>
        <v>http://www.badatelna.eu/reprodukce/?fondId=1073&amp;zaznamId=1108956&amp;reproId=3779627</v>
      </c>
      <c r="K1798">
        <f>IF(LEN(TRIM(E1798))=0,"",VLOOKUP(E1798,Sheet2!$B$1:$E$19,2,FALSE))</f>
        <v>1073</v>
      </c>
      <c r="L1798">
        <f>IF(LEN(TRIM(E1798))=0,"",VLOOKUP(E1798,Sheet2!$B$1:$E$19,3,FALSE))</f>
        <v>1108956</v>
      </c>
      <c r="M1798">
        <f>IF(LEN(TRIM(E1798))=0,"",VLOOKUP(E1798,Sheet2!$B$1:$E$19,4,FALSE))+(F1798-1)</f>
        <v>3779627</v>
      </c>
    </row>
    <row r="1799" spans="1:17" s="1" customFormat="1" ht="15" customHeight="1" x14ac:dyDescent="0.25">
      <c r="A1799" s="28" t="s">
        <v>211</v>
      </c>
      <c r="B1799" s="28" t="s">
        <v>314</v>
      </c>
      <c r="C1799" s="1">
        <v>1884</v>
      </c>
      <c r="D1799" s="1" t="s">
        <v>454</v>
      </c>
      <c r="E1799" s="1">
        <v>2172</v>
      </c>
      <c r="F1799" s="37">
        <v>41</v>
      </c>
      <c r="G1799" s="9" t="s">
        <v>2763</v>
      </c>
      <c r="H1799" s="1">
        <v>42</v>
      </c>
      <c r="I1799" s="1">
        <v>41</v>
      </c>
      <c r="J1799" t="str">
        <f t="shared" si="28"/>
        <v>http://www.badatelna.eu/reprodukce/?fondId=1073&amp;zaznamId=1108958&amp;reproId=3779782</v>
      </c>
      <c r="K1799">
        <f>IF(LEN(TRIM(E1799))=0,"",VLOOKUP(E1799,Sheet2!$B$1:$E$19,2,FALSE))</f>
        <v>1073</v>
      </c>
      <c r="L1799">
        <f>IF(LEN(TRIM(E1799))=0,"",VLOOKUP(E1799,Sheet2!$B$1:$E$19,3,FALSE))</f>
        <v>1108958</v>
      </c>
      <c r="M1799">
        <f>IF(LEN(TRIM(E1799))=0,"",VLOOKUP(E1799,Sheet2!$B$1:$E$19,4,FALSE))+(F1799-1)</f>
        <v>3779782</v>
      </c>
    </row>
    <row r="1800" spans="1:17" s="1" customFormat="1" ht="15" customHeight="1" x14ac:dyDescent="0.25">
      <c r="A1800" s="28" t="s">
        <v>211</v>
      </c>
      <c r="B1800" s="28" t="s">
        <v>39</v>
      </c>
      <c r="C1800" s="1">
        <v>1858</v>
      </c>
      <c r="D1800" s="1" t="s">
        <v>2919</v>
      </c>
      <c r="E1800" s="1">
        <v>998</v>
      </c>
      <c r="F1800" s="28">
        <v>54</v>
      </c>
      <c r="G1800" s="1">
        <v>52</v>
      </c>
      <c r="H1800" s="1">
        <v>76</v>
      </c>
      <c r="I1800" s="1">
        <v>73</v>
      </c>
      <c r="J1800" t="str">
        <f t="shared" si="28"/>
        <v>http://www.badatelna.eu/reprodukce/?fondId=241&amp;zaznamId=1133738&amp;reproId=3885700</v>
      </c>
      <c r="K1800">
        <f>IF(LEN(TRIM(E1800))=0,"",VLOOKUP(E1800,Sheet2!$B$1:$E$19,2,FALSE))</f>
        <v>241</v>
      </c>
      <c r="L1800">
        <f>IF(LEN(TRIM(E1800))=0,"",VLOOKUP(E1800,Sheet2!$B$1:$E$19,3,FALSE))</f>
        <v>1133738</v>
      </c>
      <c r="M1800">
        <f>IF(LEN(TRIM(E1800))=0,"",VLOOKUP(E1800,Sheet2!$B$1:$E$19,4,FALSE))+(F1800-1)</f>
        <v>3885700</v>
      </c>
    </row>
    <row r="1801" spans="1:17" s="1" customFormat="1" ht="15" customHeight="1" x14ac:dyDescent="0.25">
      <c r="A1801" s="28" t="s">
        <v>211</v>
      </c>
      <c r="B1801" s="28" t="s">
        <v>483</v>
      </c>
      <c r="C1801" s="1">
        <v>1861</v>
      </c>
      <c r="D1801" s="1" t="s">
        <v>2919</v>
      </c>
      <c r="E1801" s="1">
        <v>998</v>
      </c>
      <c r="F1801" s="28">
        <v>61</v>
      </c>
      <c r="G1801" s="1">
        <v>58</v>
      </c>
      <c r="H1801" s="1">
        <v>76</v>
      </c>
      <c r="I1801" s="1">
        <v>73</v>
      </c>
      <c r="J1801" t="str">
        <f t="shared" si="28"/>
        <v>http://www.badatelna.eu/reprodukce/?fondId=241&amp;zaznamId=1133738&amp;reproId=3885707</v>
      </c>
      <c r="K1801">
        <f>IF(LEN(TRIM(E1801))=0,"",VLOOKUP(E1801,Sheet2!$B$1:$E$19,2,FALSE))</f>
        <v>241</v>
      </c>
      <c r="L1801">
        <f>IF(LEN(TRIM(E1801))=0,"",VLOOKUP(E1801,Sheet2!$B$1:$E$19,3,FALSE))</f>
        <v>1133738</v>
      </c>
      <c r="M1801">
        <f>IF(LEN(TRIM(E1801))=0,"",VLOOKUP(E1801,Sheet2!$B$1:$E$19,4,FALSE))+(F1801-1)</f>
        <v>3885707</v>
      </c>
    </row>
    <row r="1802" spans="1:17" s="1" customFormat="1" ht="15" customHeight="1" x14ac:dyDescent="0.25">
      <c r="A1802" s="28" t="s">
        <v>211</v>
      </c>
      <c r="B1802" s="28" t="s">
        <v>475</v>
      </c>
      <c r="C1802" s="1">
        <v>1853</v>
      </c>
      <c r="D1802" s="1" t="s">
        <v>2919</v>
      </c>
      <c r="E1802" s="1">
        <v>998</v>
      </c>
      <c r="F1802" s="28">
        <v>38</v>
      </c>
      <c r="G1802" s="1">
        <v>36</v>
      </c>
      <c r="H1802" s="1">
        <v>76</v>
      </c>
      <c r="I1802" s="1">
        <v>73</v>
      </c>
      <c r="J1802" t="str">
        <f t="shared" si="28"/>
        <v>http://www.badatelna.eu/reprodukce/?fondId=241&amp;zaznamId=1133738&amp;reproId=3885684</v>
      </c>
      <c r="K1802">
        <f>IF(LEN(TRIM(E1802))=0,"",VLOOKUP(E1802,Sheet2!$B$1:$E$19,2,FALSE))</f>
        <v>241</v>
      </c>
      <c r="L1802">
        <f>IF(LEN(TRIM(E1802))=0,"",VLOOKUP(E1802,Sheet2!$B$1:$E$19,3,FALSE))</f>
        <v>1133738</v>
      </c>
      <c r="M1802">
        <f>IF(LEN(TRIM(E1802))=0,"",VLOOKUP(E1802,Sheet2!$B$1:$E$19,4,FALSE))+(F1802-1)</f>
        <v>3885684</v>
      </c>
    </row>
    <row r="1803" spans="1:17" s="1" customFormat="1" ht="15" customHeight="1" x14ac:dyDescent="0.25">
      <c r="A1803" s="28" t="s">
        <v>211</v>
      </c>
      <c r="B1803" s="28" t="s">
        <v>731</v>
      </c>
      <c r="C1803" s="1">
        <v>1847</v>
      </c>
      <c r="D1803" s="1" t="s">
        <v>2919</v>
      </c>
      <c r="E1803" s="1">
        <v>998</v>
      </c>
      <c r="F1803" s="28">
        <v>12</v>
      </c>
      <c r="G1803" s="1">
        <v>10</v>
      </c>
      <c r="H1803" s="1">
        <v>76</v>
      </c>
      <c r="I1803" s="1">
        <v>73</v>
      </c>
      <c r="J1803" t="str">
        <f t="shared" si="28"/>
        <v>http://www.badatelna.eu/reprodukce/?fondId=241&amp;zaznamId=1133738&amp;reproId=3885658</v>
      </c>
      <c r="K1803">
        <f>IF(LEN(TRIM(E1803))=0,"",VLOOKUP(E1803,Sheet2!$B$1:$E$19,2,FALSE))</f>
        <v>241</v>
      </c>
      <c r="L1803">
        <f>IF(LEN(TRIM(E1803))=0,"",VLOOKUP(E1803,Sheet2!$B$1:$E$19,3,FALSE))</f>
        <v>1133738</v>
      </c>
      <c r="M1803">
        <f>IF(LEN(TRIM(E1803))=0,"",VLOOKUP(E1803,Sheet2!$B$1:$E$19,4,FALSE))+(F1803-1)</f>
        <v>3885658</v>
      </c>
      <c r="N1803"/>
      <c r="O1803"/>
      <c r="P1803"/>
      <c r="Q1803"/>
    </row>
    <row r="1804" spans="1:17" s="1" customFormat="1" ht="15" customHeight="1" x14ac:dyDescent="0.25">
      <c r="A1804" s="27" t="s">
        <v>211</v>
      </c>
      <c r="B1804" s="27" t="s">
        <v>328</v>
      </c>
      <c r="C1804" s="5" t="s">
        <v>1283</v>
      </c>
      <c r="D1804" s="3" t="s">
        <v>454</v>
      </c>
      <c r="E1804" s="3">
        <v>2170</v>
      </c>
      <c r="F1804" s="28">
        <v>42</v>
      </c>
      <c r="G1804" s="10">
        <v>38</v>
      </c>
      <c r="H1804" s="3">
        <v>68</v>
      </c>
      <c r="I1804" s="3">
        <v>64</v>
      </c>
      <c r="J1804" t="str">
        <f t="shared" si="28"/>
        <v>http://www.badatelna.eu/reprodukce/?fondId=1073&amp;zaznamId=1108956&amp;reproId=3779634</v>
      </c>
      <c r="K1804">
        <f>IF(LEN(TRIM(E1804))=0,"",VLOOKUP(E1804,Sheet2!$B$1:$E$19,2,FALSE))</f>
        <v>1073</v>
      </c>
      <c r="L1804">
        <f>IF(LEN(TRIM(E1804))=0,"",VLOOKUP(E1804,Sheet2!$B$1:$E$19,3,FALSE))</f>
        <v>1108956</v>
      </c>
      <c r="M1804">
        <f>IF(LEN(TRIM(E1804))=0,"",VLOOKUP(E1804,Sheet2!$B$1:$E$19,4,FALSE))+(F1804-1)</f>
        <v>3779634</v>
      </c>
    </row>
    <row r="1805" spans="1:17" s="1" customFormat="1" ht="15" customHeight="1" x14ac:dyDescent="0.25">
      <c r="A1805" s="28" t="s">
        <v>211</v>
      </c>
      <c r="B1805" s="29" t="s">
        <v>306</v>
      </c>
      <c r="C1805" s="1">
        <v>1851</v>
      </c>
      <c r="D1805" s="1" t="s">
        <v>2919</v>
      </c>
      <c r="E1805" s="1">
        <v>998</v>
      </c>
      <c r="F1805" s="28">
        <v>34</v>
      </c>
      <c r="G1805" s="1">
        <v>32</v>
      </c>
      <c r="H1805" s="1">
        <v>76</v>
      </c>
      <c r="I1805" s="1">
        <v>73</v>
      </c>
      <c r="J1805" t="str">
        <f t="shared" si="28"/>
        <v>http://www.badatelna.eu/reprodukce/?fondId=241&amp;zaznamId=1133738&amp;reproId=3885680</v>
      </c>
      <c r="K1805">
        <f>IF(LEN(TRIM(E1805))=0,"",VLOOKUP(E1805,Sheet2!$B$1:$E$19,2,FALSE))</f>
        <v>241</v>
      </c>
      <c r="L1805">
        <f>IF(LEN(TRIM(E1805))=0,"",VLOOKUP(E1805,Sheet2!$B$1:$E$19,3,FALSE))</f>
        <v>1133738</v>
      </c>
      <c r="M1805">
        <f>IF(LEN(TRIM(E1805))=0,"",VLOOKUP(E1805,Sheet2!$B$1:$E$19,4,FALSE))+(F1805-1)</f>
        <v>3885680</v>
      </c>
      <c r="N1805"/>
      <c r="O1805"/>
      <c r="P1805"/>
      <c r="Q1805"/>
    </row>
    <row r="1806" spans="1:17" s="1" customFormat="1" ht="15" customHeight="1" x14ac:dyDescent="0.25">
      <c r="A1806" s="28" t="s">
        <v>211</v>
      </c>
      <c r="B1806" s="28" t="s">
        <v>591</v>
      </c>
      <c r="C1806" s="6" t="s">
        <v>1523</v>
      </c>
      <c r="D1806" s="1" t="s">
        <v>454</v>
      </c>
      <c r="E1806" s="1">
        <v>2172</v>
      </c>
      <c r="F1806" s="28">
        <v>13</v>
      </c>
      <c r="G1806" s="9">
        <v>12</v>
      </c>
      <c r="H1806" s="1" t="s">
        <v>3073</v>
      </c>
      <c r="I1806" s="1" t="s">
        <v>3073</v>
      </c>
      <c r="J1806" t="str">
        <f t="shared" si="28"/>
        <v>http://www.badatelna.eu/reprodukce/?fondId=1073&amp;zaznamId=1108958&amp;reproId=3779754</v>
      </c>
      <c r="K1806">
        <f>IF(LEN(TRIM(E1806))=0,"",VLOOKUP(E1806,Sheet2!$B$1:$E$19,2,FALSE))</f>
        <v>1073</v>
      </c>
      <c r="L1806">
        <f>IF(LEN(TRIM(E1806))=0,"",VLOOKUP(E1806,Sheet2!$B$1:$E$19,3,FALSE))</f>
        <v>1108958</v>
      </c>
      <c r="M1806">
        <f>IF(LEN(TRIM(E1806))=0,"",VLOOKUP(E1806,Sheet2!$B$1:$E$19,4,FALSE))+(F1806-1)</f>
        <v>3779754</v>
      </c>
    </row>
    <row r="1807" spans="1:17" s="1" customFormat="1" ht="15" customHeight="1" x14ac:dyDescent="0.25">
      <c r="A1807" s="28" t="s">
        <v>211</v>
      </c>
      <c r="B1807" s="28" t="s">
        <v>254</v>
      </c>
      <c r="C1807" s="1">
        <v>1859</v>
      </c>
      <c r="D1807" s="1" t="s">
        <v>2919</v>
      </c>
      <c r="E1807" s="1">
        <v>998</v>
      </c>
      <c r="F1807" s="28">
        <v>57</v>
      </c>
      <c r="G1807" s="1">
        <v>54</v>
      </c>
      <c r="H1807" s="1">
        <v>76</v>
      </c>
      <c r="I1807" s="1">
        <v>73</v>
      </c>
      <c r="J1807" t="str">
        <f t="shared" si="28"/>
        <v>http://www.badatelna.eu/reprodukce/?fondId=241&amp;zaznamId=1133738&amp;reproId=3885703</v>
      </c>
      <c r="K1807">
        <f>IF(LEN(TRIM(E1807))=0,"",VLOOKUP(E1807,Sheet2!$B$1:$E$19,2,FALSE))</f>
        <v>241</v>
      </c>
      <c r="L1807">
        <f>IF(LEN(TRIM(E1807))=0,"",VLOOKUP(E1807,Sheet2!$B$1:$E$19,3,FALSE))</f>
        <v>1133738</v>
      </c>
      <c r="M1807">
        <f>IF(LEN(TRIM(E1807))=0,"",VLOOKUP(E1807,Sheet2!$B$1:$E$19,4,FALSE))+(F1807-1)</f>
        <v>3885703</v>
      </c>
    </row>
    <row r="1808" spans="1:17" s="1" customFormat="1" ht="15" customHeight="1" x14ac:dyDescent="0.25">
      <c r="A1808" s="28" t="s">
        <v>211</v>
      </c>
      <c r="B1808" s="28" t="s">
        <v>645</v>
      </c>
      <c r="C1808" s="1">
        <v>1849</v>
      </c>
      <c r="D1808" s="1" t="s">
        <v>2919</v>
      </c>
      <c r="E1808" s="1">
        <v>998</v>
      </c>
      <c r="F1808" s="28">
        <v>22</v>
      </c>
      <c r="G1808" s="1">
        <v>20</v>
      </c>
      <c r="H1808" s="1">
        <v>76</v>
      </c>
      <c r="I1808" s="1">
        <v>73</v>
      </c>
      <c r="J1808" t="str">
        <f t="shared" si="28"/>
        <v>http://www.badatelna.eu/reprodukce/?fondId=241&amp;zaznamId=1133738&amp;reproId=3885668</v>
      </c>
      <c r="K1808">
        <f>IF(LEN(TRIM(E1808))=0,"",VLOOKUP(E1808,Sheet2!$B$1:$E$19,2,FALSE))</f>
        <v>241</v>
      </c>
      <c r="L1808">
        <f>IF(LEN(TRIM(E1808))=0,"",VLOOKUP(E1808,Sheet2!$B$1:$E$19,3,FALSE))</f>
        <v>1133738</v>
      </c>
      <c r="M1808">
        <f>IF(LEN(TRIM(E1808))=0,"",VLOOKUP(E1808,Sheet2!$B$1:$E$19,4,FALSE))+(F1808-1)</f>
        <v>3885668</v>
      </c>
    </row>
    <row r="1809" spans="1:17" s="1" customFormat="1" ht="15" customHeight="1" x14ac:dyDescent="0.25">
      <c r="A1809" s="27" t="s">
        <v>211</v>
      </c>
      <c r="B1809" s="27" t="s">
        <v>469</v>
      </c>
      <c r="C1809" s="5" t="s">
        <v>1281</v>
      </c>
      <c r="D1809" s="3" t="s">
        <v>454</v>
      </c>
      <c r="E1809" s="3">
        <v>2170</v>
      </c>
      <c r="F1809" s="28">
        <v>33</v>
      </c>
      <c r="G1809" s="10">
        <v>29</v>
      </c>
      <c r="H1809" s="3">
        <v>68</v>
      </c>
      <c r="I1809" s="3">
        <v>64</v>
      </c>
      <c r="J1809" t="str">
        <f t="shared" si="28"/>
        <v>http://www.badatelna.eu/reprodukce/?fondId=1073&amp;zaznamId=1108956&amp;reproId=3779625</v>
      </c>
      <c r="K1809">
        <f>IF(LEN(TRIM(E1809))=0,"",VLOOKUP(E1809,Sheet2!$B$1:$E$19,2,FALSE))</f>
        <v>1073</v>
      </c>
      <c r="L1809">
        <f>IF(LEN(TRIM(E1809))=0,"",VLOOKUP(E1809,Sheet2!$B$1:$E$19,3,FALSE))</f>
        <v>1108956</v>
      </c>
      <c r="M1809">
        <f>IF(LEN(TRIM(E1809))=0,"",VLOOKUP(E1809,Sheet2!$B$1:$E$19,4,FALSE))+(F1809-1)</f>
        <v>3779625</v>
      </c>
      <c r="N1809"/>
      <c r="O1809"/>
      <c r="P1809"/>
      <c r="Q1809"/>
    </row>
    <row r="1810" spans="1:17" s="1" customFormat="1" ht="15" customHeight="1" x14ac:dyDescent="0.25">
      <c r="A1810" s="28" t="s">
        <v>211</v>
      </c>
      <c r="B1810" s="28" t="s">
        <v>21</v>
      </c>
      <c r="C1810" s="6" t="s">
        <v>2494</v>
      </c>
      <c r="D1810" s="1" t="s">
        <v>454</v>
      </c>
      <c r="E1810" s="1">
        <v>2173</v>
      </c>
      <c r="F1810" s="28">
        <v>205</v>
      </c>
      <c r="G1810" s="1">
        <v>20</v>
      </c>
      <c r="H1810" s="1" t="s">
        <v>3073</v>
      </c>
      <c r="I1810" s="1" t="s">
        <v>3073</v>
      </c>
      <c r="J1810" t="str">
        <f t="shared" si="28"/>
        <v>http://www.badatelna.eu/reprodukce/?fondId=1073&amp;zaznamId=1108959&amp;reproId=3780198</v>
      </c>
      <c r="K1810">
        <f>IF(LEN(TRIM(E1810))=0,"",VLOOKUP(E1810,Sheet2!$B$1:$E$19,2,FALSE))</f>
        <v>1073</v>
      </c>
      <c r="L1810">
        <f>IF(LEN(TRIM(E1810))=0,"",VLOOKUP(E1810,Sheet2!$B$1:$E$19,3,FALSE))</f>
        <v>1108959</v>
      </c>
      <c r="M1810">
        <f>IF(LEN(TRIM(E1810))=0,"",VLOOKUP(E1810,Sheet2!$B$1:$E$19,4,FALSE))+(F1810-1)</f>
        <v>3780198</v>
      </c>
      <c r="N1810"/>
      <c r="O1810"/>
      <c r="P1810"/>
      <c r="Q1810"/>
    </row>
    <row r="1811" spans="1:17" s="1" customFormat="1" ht="15" customHeight="1" x14ac:dyDescent="0.25">
      <c r="A1811" s="27" t="s">
        <v>211</v>
      </c>
      <c r="B1811" s="27" t="s">
        <v>54</v>
      </c>
      <c r="C1811" s="5" t="s">
        <v>1316</v>
      </c>
      <c r="D1811" s="3" t="s">
        <v>454</v>
      </c>
      <c r="E1811" s="3">
        <v>2170</v>
      </c>
      <c r="F1811" s="28">
        <v>56</v>
      </c>
      <c r="G1811" s="10">
        <v>52</v>
      </c>
      <c r="H1811" s="3">
        <v>69</v>
      </c>
      <c r="I1811" s="3">
        <v>65</v>
      </c>
      <c r="J1811" t="str">
        <f t="shared" si="28"/>
        <v>http://www.badatelna.eu/reprodukce/?fondId=1073&amp;zaznamId=1108956&amp;reproId=3779648</v>
      </c>
      <c r="K1811">
        <f>IF(LEN(TRIM(E1811))=0,"",VLOOKUP(E1811,Sheet2!$B$1:$E$19,2,FALSE))</f>
        <v>1073</v>
      </c>
      <c r="L1811">
        <f>IF(LEN(TRIM(E1811))=0,"",VLOOKUP(E1811,Sheet2!$B$1:$E$19,3,FALSE))</f>
        <v>1108956</v>
      </c>
      <c r="M1811">
        <f>IF(LEN(TRIM(E1811))=0,"",VLOOKUP(E1811,Sheet2!$B$1:$E$19,4,FALSE))+(F1811-1)</f>
        <v>3779648</v>
      </c>
    </row>
    <row r="1812" spans="1:17" s="1" customFormat="1" ht="15" customHeight="1" x14ac:dyDescent="0.25">
      <c r="A1812" s="27" t="s">
        <v>211</v>
      </c>
      <c r="B1812" s="27" t="s">
        <v>54</v>
      </c>
      <c r="C1812" s="5" t="s">
        <v>1282</v>
      </c>
      <c r="D1812" s="3" t="s">
        <v>454</v>
      </c>
      <c r="E1812" s="3">
        <v>2170</v>
      </c>
      <c r="F1812" s="28">
        <v>31</v>
      </c>
      <c r="G1812" s="10">
        <v>27</v>
      </c>
      <c r="H1812" s="3">
        <v>68</v>
      </c>
      <c r="I1812" s="3">
        <v>64</v>
      </c>
      <c r="J1812" t="str">
        <f t="shared" si="28"/>
        <v>http://www.badatelna.eu/reprodukce/?fondId=1073&amp;zaznamId=1108956&amp;reproId=3779623</v>
      </c>
      <c r="K1812">
        <f>IF(LEN(TRIM(E1812))=0,"",VLOOKUP(E1812,Sheet2!$B$1:$E$19,2,FALSE))</f>
        <v>1073</v>
      </c>
      <c r="L1812">
        <f>IF(LEN(TRIM(E1812))=0,"",VLOOKUP(E1812,Sheet2!$B$1:$E$19,3,FALSE))</f>
        <v>1108956</v>
      </c>
      <c r="M1812">
        <f>IF(LEN(TRIM(E1812))=0,"",VLOOKUP(E1812,Sheet2!$B$1:$E$19,4,FALSE))+(F1812-1)</f>
        <v>3779623</v>
      </c>
      <c r="N1812"/>
      <c r="O1812"/>
      <c r="P1812"/>
      <c r="Q1812"/>
    </row>
    <row r="1813" spans="1:17" s="1" customFormat="1" ht="15" customHeight="1" x14ac:dyDescent="0.25">
      <c r="A1813" s="28" t="s">
        <v>211</v>
      </c>
      <c r="B1813" s="28" t="s">
        <v>13</v>
      </c>
      <c r="C1813" s="1">
        <v>1849</v>
      </c>
      <c r="D1813" s="1" t="s">
        <v>2919</v>
      </c>
      <c r="E1813" s="1">
        <v>998</v>
      </c>
      <c r="F1813" s="28">
        <v>24</v>
      </c>
      <c r="G1813" s="1">
        <v>22</v>
      </c>
      <c r="H1813" s="1">
        <v>76</v>
      </c>
      <c r="I1813" s="1">
        <v>73</v>
      </c>
      <c r="J1813" t="str">
        <f t="shared" si="28"/>
        <v>http://www.badatelna.eu/reprodukce/?fondId=241&amp;zaznamId=1133738&amp;reproId=3885670</v>
      </c>
      <c r="K1813">
        <f>IF(LEN(TRIM(E1813))=0,"",VLOOKUP(E1813,Sheet2!$B$1:$E$19,2,FALSE))</f>
        <v>241</v>
      </c>
      <c r="L1813">
        <f>IF(LEN(TRIM(E1813))=0,"",VLOOKUP(E1813,Sheet2!$B$1:$E$19,3,FALSE))</f>
        <v>1133738</v>
      </c>
      <c r="M1813">
        <f>IF(LEN(TRIM(E1813))=0,"",VLOOKUP(E1813,Sheet2!$B$1:$E$19,4,FALSE))+(F1813-1)</f>
        <v>3885670</v>
      </c>
    </row>
    <row r="1814" spans="1:17" s="1" customFormat="1" ht="15" customHeight="1" x14ac:dyDescent="0.25">
      <c r="A1814" s="28" t="s">
        <v>211</v>
      </c>
      <c r="B1814" s="28" t="s">
        <v>13</v>
      </c>
      <c r="C1814" s="1">
        <v>1849</v>
      </c>
      <c r="D1814" s="1" t="s">
        <v>2919</v>
      </c>
      <c r="E1814" s="1">
        <v>998</v>
      </c>
      <c r="F1814" s="28">
        <v>25</v>
      </c>
      <c r="G1814" s="1">
        <v>23</v>
      </c>
      <c r="H1814" s="1">
        <v>76</v>
      </c>
      <c r="I1814" s="1">
        <v>73</v>
      </c>
      <c r="J1814" t="str">
        <f t="shared" si="28"/>
        <v>http://www.badatelna.eu/reprodukce/?fondId=241&amp;zaznamId=1133738&amp;reproId=3885671</v>
      </c>
      <c r="K1814">
        <f>IF(LEN(TRIM(E1814))=0,"",VLOOKUP(E1814,Sheet2!$B$1:$E$19,2,FALSE))</f>
        <v>241</v>
      </c>
      <c r="L1814">
        <f>IF(LEN(TRIM(E1814))=0,"",VLOOKUP(E1814,Sheet2!$B$1:$E$19,3,FALSE))</f>
        <v>1133738</v>
      </c>
      <c r="M1814">
        <f>IF(LEN(TRIM(E1814))=0,"",VLOOKUP(E1814,Sheet2!$B$1:$E$19,4,FALSE))+(F1814-1)</f>
        <v>3885671</v>
      </c>
      <c r="N1814"/>
      <c r="O1814"/>
      <c r="P1814"/>
      <c r="Q1814"/>
    </row>
    <row r="1815" spans="1:17" s="1" customFormat="1" ht="15" customHeight="1" x14ac:dyDescent="0.25">
      <c r="A1815" s="28" t="s">
        <v>211</v>
      </c>
      <c r="B1815" s="28" t="s">
        <v>13</v>
      </c>
      <c r="C1815" s="15">
        <v>2444</v>
      </c>
      <c r="D1815" s="1" t="s">
        <v>454</v>
      </c>
      <c r="E1815" s="1">
        <v>2172</v>
      </c>
      <c r="F1815" s="28">
        <v>167</v>
      </c>
      <c r="G1815" s="9">
        <v>160</v>
      </c>
      <c r="H1815" s="1" t="s">
        <v>3073</v>
      </c>
      <c r="I1815" s="1" t="s">
        <v>3073</v>
      </c>
      <c r="J1815" t="str">
        <f t="shared" si="28"/>
        <v>http://www.badatelna.eu/reprodukce/?fondId=1073&amp;zaznamId=1108958&amp;reproId=3779908</v>
      </c>
      <c r="K1815">
        <f>IF(LEN(TRIM(E1815))=0,"",VLOOKUP(E1815,Sheet2!$B$1:$E$19,2,FALSE))</f>
        <v>1073</v>
      </c>
      <c r="L1815">
        <f>IF(LEN(TRIM(E1815))=0,"",VLOOKUP(E1815,Sheet2!$B$1:$E$19,3,FALSE))</f>
        <v>1108958</v>
      </c>
      <c r="M1815">
        <f>IF(LEN(TRIM(E1815))=0,"",VLOOKUP(E1815,Sheet2!$B$1:$E$19,4,FALSE))+(F1815-1)</f>
        <v>3779908</v>
      </c>
    </row>
    <row r="1816" spans="1:17" s="1" customFormat="1" ht="15" customHeight="1" x14ac:dyDescent="0.25">
      <c r="A1816" s="28" t="s">
        <v>211</v>
      </c>
      <c r="B1816" s="28" t="s">
        <v>13</v>
      </c>
      <c r="C1816" s="6" t="s">
        <v>2696</v>
      </c>
      <c r="D1816" s="1" t="s">
        <v>454</v>
      </c>
      <c r="E1816" s="1">
        <v>2173</v>
      </c>
      <c r="F1816" s="28">
        <v>225</v>
      </c>
      <c r="G1816" s="9">
        <v>55</v>
      </c>
      <c r="H1816" s="1" t="s">
        <v>3073</v>
      </c>
      <c r="I1816" s="1" t="s">
        <v>3073</v>
      </c>
      <c r="J1816" t="str">
        <f t="shared" si="28"/>
        <v>http://www.badatelna.eu/reprodukce/?fondId=1073&amp;zaznamId=1108959&amp;reproId=3780218</v>
      </c>
      <c r="K1816">
        <f>IF(LEN(TRIM(E1816))=0,"",VLOOKUP(E1816,Sheet2!$B$1:$E$19,2,FALSE))</f>
        <v>1073</v>
      </c>
      <c r="L1816">
        <f>IF(LEN(TRIM(E1816))=0,"",VLOOKUP(E1816,Sheet2!$B$1:$E$19,3,FALSE))</f>
        <v>1108959</v>
      </c>
      <c r="M1816">
        <f>IF(LEN(TRIM(E1816))=0,"",VLOOKUP(E1816,Sheet2!$B$1:$E$19,4,FALSE))+(F1816-1)</f>
        <v>3780218</v>
      </c>
    </row>
    <row r="1817" spans="1:17" s="1" customFormat="1" ht="15" customHeight="1" x14ac:dyDescent="0.25">
      <c r="A1817" s="28" t="s">
        <v>211</v>
      </c>
      <c r="B1817" s="28" t="s">
        <v>181</v>
      </c>
      <c r="C1817" s="6" t="s">
        <v>2661</v>
      </c>
      <c r="D1817" s="1" t="s">
        <v>454</v>
      </c>
      <c r="E1817" s="1">
        <v>2173</v>
      </c>
      <c r="F1817" s="28">
        <v>222</v>
      </c>
      <c r="G1817" s="9">
        <v>50</v>
      </c>
      <c r="H1817" s="1" t="s">
        <v>3073</v>
      </c>
      <c r="I1817" s="1" t="s">
        <v>3073</v>
      </c>
      <c r="J1817" t="str">
        <f t="shared" si="28"/>
        <v>http://www.badatelna.eu/reprodukce/?fondId=1073&amp;zaznamId=1108959&amp;reproId=3780215</v>
      </c>
      <c r="K1817">
        <f>IF(LEN(TRIM(E1817))=0,"",VLOOKUP(E1817,Sheet2!$B$1:$E$19,2,FALSE))</f>
        <v>1073</v>
      </c>
      <c r="L1817">
        <f>IF(LEN(TRIM(E1817))=0,"",VLOOKUP(E1817,Sheet2!$B$1:$E$19,3,FALSE))</f>
        <v>1108959</v>
      </c>
      <c r="M1817">
        <f>IF(LEN(TRIM(E1817))=0,"",VLOOKUP(E1817,Sheet2!$B$1:$E$19,4,FALSE))+(F1817-1)</f>
        <v>3780215</v>
      </c>
    </row>
    <row r="1818" spans="1:17" s="1" customFormat="1" ht="15" customHeight="1" x14ac:dyDescent="0.25">
      <c r="A1818" s="27" t="s">
        <v>211</v>
      </c>
      <c r="B1818" s="27" t="s">
        <v>532</v>
      </c>
      <c r="C1818" s="5" t="s">
        <v>1277</v>
      </c>
      <c r="D1818" s="3" t="s">
        <v>454</v>
      </c>
      <c r="E1818" s="3">
        <v>2170</v>
      </c>
      <c r="F1818" s="28">
        <v>23</v>
      </c>
      <c r="G1818" s="10">
        <v>19</v>
      </c>
      <c r="H1818" s="3">
        <v>68</v>
      </c>
      <c r="I1818" s="3">
        <v>64</v>
      </c>
      <c r="J1818" t="str">
        <f t="shared" si="28"/>
        <v>http://www.badatelna.eu/reprodukce/?fondId=1073&amp;zaznamId=1108956&amp;reproId=3779615</v>
      </c>
      <c r="K1818">
        <f>IF(LEN(TRIM(E1818))=0,"",VLOOKUP(E1818,Sheet2!$B$1:$E$19,2,FALSE))</f>
        <v>1073</v>
      </c>
      <c r="L1818">
        <f>IF(LEN(TRIM(E1818))=0,"",VLOOKUP(E1818,Sheet2!$B$1:$E$19,3,FALSE))</f>
        <v>1108956</v>
      </c>
      <c r="M1818">
        <f>IF(LEN(TRIM(E1818))=0,"",VLOOKUP(E1818,Sheet2!$B$1:$E$19,4,FALSE))+(F1818-1)</f>
        <v>3779615</v>
      </c>
    </row>
    <row r="1819" spans="1:17" s="1" customFormat="1" ht="15" customHeight="1" x14ac:dyDescent="0.25">
      <c r="A1819" s="28" t="s">
        <v>211</v>
      </c>
      <c r="B1819" s="28" t="s">
        <v>486</v>
      </c>
      <c r="C1819" s="6" t="s">
        <v>1534</v>
      </c>
      <c r="D1819" s="1" t="s">
        <v>454</v>
      </c>
      <c r="E1819" s="1">
        <v>2172</v>
      </c>
      <c r="F1819" s="28">
        <v>14</v>
      </c>
      <c r="G1819" s="9">
        <v>13</v>
      </c>
      <c r="H1819" s="1" t="s">
        <v>3073</v>
      </c>
      <c r="I1819" s="1" t="s">
        <v>3073</v>
      </c>
      <c r="J1819" t="str">
        <f t="shared" si="28"/>
        <v>http://www.badatelna.eu/reprodukce/?fondId=1073&amp;zaznamId=1108958&amp;reproId=3779755</v>
      </c>
      <c r="K1819">
        <f>IF(LEN(TRIM(E1819))=0,"",VLOOKUP(E1819,Sheet2!$B$1:$E$19,2,FALSE))</f>
        <v>1073</v>
      </c>
      <c r="L1819">
        <f>IF(LEN(TRIM(E1819))=0,"",VLOOKUP(E1819,Sheet2!$B$1:$E$19,3,FALSE))</f>
        <v>1108958</v>
      </c>
      <c r="M1819">
        <f>IF(LEN(TRIM(E1819))=0,"",VLOOKUP(E1819,Sheet2!$B$1:$E$19,4,FALSE))+(F1819-1)</f>
        <v>3779755</v>
      </c>
    </row>
    <row r="1820" spans="1:17" s="1" customFormat="1" ht="15" customHeight="1" x14ac:dyDescent="0.25">
      <c r="A1820" s="28" t="s">
        <v>972</v>
      </c>
      <c r="B1820" s="28" t="s">
        <v>363</v>
      </c>
      <c r="C1820" s="6" t="s">
        <v>1948</v>
      </c>
      <c r="D1820" s="1" t="s">
        <v>454</v>
      </c>
      <c r="E1820" s="1">
        <v>2172</v>
      </c>
      <c r="F1820" s="28">
        <v>226</v>
      </c>
      <c r="G1820" s="9">
        <v>207</v>
      </c>
      <c r="H1820" s="1" t="s">
        <v>3073</v>
      </c>
      <c r="I1820" s="1" t="s">
        <v>3073</v>
      </c>
      <c r="J1820" t="str">
        <f t="shared" si="28"/>
        <v>http://www.badatelna.eu/reprodukce/?fondId=1073&amp;zaznamId=1108958&amp;reproId=3779967</v>
      </c>
      <c r="K1820">
        <f>IF(LEN(TRIM(E1820))=0,"",VLOOKUP(E1820,Sheet2!$B$1:$E$19,2,FALSE))</f>
        <v>1073</v>
      </c>
      <c r="L1820">
        <f>IF(LEN(TRIM(E1820))=0,"",VLOOKUP(E1820,Sheet2!$B$1:$E$19,3,FALSE))</f>
        <v>1108958</v>
      </c>
      <c r="M1820">
        <f>IF(LEN(TRIM(E1820))=0,"",VLOOKUP(E1820,Sheet2!$B$1:$E$19,4,FALSE))+(F1820-1)</f>
        <v>3779967</v>
      </c>
    </row>
    <row r="1821" spans="1:17" s="1" customFormat="1" ht="15" customHeight="1" x14ac:dyDescent="0.25">
      <c r="A1821" s="28" t="s">
        <v>583</v>
      </c>
      <c r="B1821" s="28" t="s">
        <v>33</v>
      </c>
      <c r="C1821" s="1">
        <v>1889</v>
      </c>
      <c r="D1821" s="1" t="s">
        <v>454</v>
      </c>
      <c r="E1821" s="1">
        <v>2172</v>
      </c>
      <c r="F1821" s="28">
        <v>67</v>
      </c>
      <c r="G1821" s="9" t="s">
        <v>3082</v>
      </c>
      <c r="H1821" s="1">
        <v>70</v>
      </c>
      <c r="I1821" s="1">
        <v>69</v>
      </c>
      <c r="J1821" t="str">
        <f t="shared" si="28"/>
        <v>http://www.badatelna.eu/reprodukce/?fondId=1073&amp;zaznamId=1108958&amp;reproId=3779808</v>
      </c>
      <c r="K1821">
        <f>IF(LEN(TRIM(E1821))=0,"",VLOOKUP(E1821,Sheet2!$B$1:$E$19,2,FALSE))</f>
        <v>1073</v>
      </c>
      <c r="L1821">
        <f>IF(LEN(TRIM(E1821))=0,"",VLOOKUP(E1821,Sheet2!$B$1:$E$19,3,FALSE))</f>
        <v>1108958</v>
      </c>
      <c r="M1821">
        <f>IF(LEN(TRIM(E1821))=0,"",VLOOKUP(E1821,Sheet2!$B$1:$E$19,4,FALSE))+(F1821-1)</f>
        <v>3779808</v>
      </c>
    </row>
    <row r="1822" spans="1:17" s="1" customFormat="1" ht="15" customHeight="1" x14ac:dyDescent="0.25">
      <c r="A1822" s="28" t="s">
        <v>583</v>
      </c>
      <c r="B1822" s="28" t="s">
        <v>766</v>
      </c>
      <c r="C1822" s="15">
        <v>3107</v>
      </c>
      <c r="D1822" s="1" t="s">
        <v>454</v>
      </c>
      <c r="E1822" s="1">
        <v>2172</v>
      </c>
      <c r="F1822" s="28">
        <v>172</v>
      </c>
      <c r="G1822" s="9" t="s">
        <v>3092</v>
      </c>
      <c r="H1822" s="1" t="s">
        <v>3073</v>
      </c>
      <c r="I1822" s="1" t="s">
        <v>3073</v>
      </c>
      <c r="J1822" t="str">
        <f t="shared" si="28"/>
        <v>http://www.badatelna.eu/reprodukce/?fondId=1073&amp;zaznamId=1108958&amp;reproId=3779913</v>
      </c>
      <c r="K1822">
        <f>IF(LEN(TRIM(E1822))=0,"",VLOOKUP(E1822,Sheet2!$B$1:$E$19,2,FALSE))</f>
        <v>1073</v>
      </c>
      <c r="L1822">
        <f>IF(LEN(TRIM(E1822))=0,"",VLOOKUP(E1822,Sheet2!$B$1:$E$19,3,FALSE))</f>
        <v>1108958</v>
      </c>
      <c r="M1822">
        <f>IF(LEN(TRIM(E1822))=0,"",VLOOKUP(E1822,Sheet2!$B$1:$E$19,4,FALSE))+(F1822-1)</f>
        <v>3779913</v>
      </c>
    </row>
    <row r="1823" spans="1:17" s="1" customFormat="1" ht="15" customHeight="1" x14ac:dyDescent="0.25">
      <c r="A1823" s="28" t="s">
        <v>583</v>
      </c>
      <c r="B1823" s="28" t="s">
        <v>686</v>
      </c>
      <c r="C1823" s="6" t="s">
        <v>1719</v>
      </c>
      <c r="D1823" s="1" t="s">
        <v>454</v>
      </c>
      <c r="E1823" s="1">
        <v>2172</v>
      </c>
      <c r="F1823" s="28">
        <v>121</v>
      </c>
      <c r="G1823" s="9">
        <v>120</v>
      </c>
      <c r="H1823" s="1">
        <v>123</v>
      </c>
      <c r="I1823" s="1">
        <v>122</v>
      </c>
      <c r="J1823" t="str">
        <f t="shared" si="28"/>
        <v>http://www.badatelna.eu/reprodukce/?fondId=1073&amp;zaznamId=1108958&amp;reproId=3779862</v>
      </c>
      <c r="K1823">
        <f>IF(LEN(TRIM(E1823))=0,"",VLOOKUP(E1823,Sheet2!$B$1:$E$19,2,FALSE))</f>
        <v>1073</v>
      </c>
      <c r="L1823">
        <f>IF(LEN(TRIM(E1823))=0,"",VLOOKUP(E1823,Sheet2!$B$1:$E$19,3,FALSE))</f>
        <v>1108958</v>
      </c>
      <c r="M1823">
        <f>IF(LEN(TRIM(E1823))=0,"",VLOOKUP(E1823,Sheet2!$B$1:$E$19,4,FALSE))+(F1823-1)</f>
        <v>3779862</v>
      </c>
    </row>
    <row r="1824" spans="1:17" s="1" customFormat="1" ht="15" customHeight="1" x14ac:dyDescent="0.25">
      <c r="A1824" s="27" t="s">
        <v>583</v>
      </c>
      <c r="B1824" s="27" t="s">
        <v>538</v>
      </c>
      <c r="C1824" s="5" t="s">
        <v>1317</v>
      </c>
      <c r="D1824" s="3" t="s">
        <v>454</v>
      </c>
      <c r="E1824" s="3">
        <v>2170</v>
      </c>
      <c r="F1824" s="28">
        <v>52</v>
      </c>
      <c r="G1824" s="10">
        <v>48</v>
      </c>
      <c r="H1824" s="3">
        <v>69</v>
      </c>
      <c r="I1824" s="3">
        <v>65</v>
      </c>
      <c r="J1824" t="str">
        <f t="shared" si="28"/>
        <v>http://www.badatelna.eu/reprodukce/?fondId=1073&amp;zaznamId=1108956&amp;reproId=3779644</v>
      </c>
      <c r="K1824">
        <f>IF(LEN(TRIM(E1824))=0,"",VLOOKUP(E1824,Sheet2!$B$1:$E$19,2,FALSE))</f>
        <v>1073</v>
      </c>
      <c r="L1824">
        <f>IF(LEN(TRIM(E1824))=0,"",VLOOKUP(E1824,Sheet2!$B$1:$E$19,3,FALSE))</f>
        <v>1108956</v>
      </c>
      <c r="M1824">
        <f>IF(LEN(TRIM(E1824))=0,"",VLOOKUP(E1824,Sheet2!$B$1:$E$19,4,FALSE))+(F1824-1)</f>
        <v>3779644</v>
      </c>
    </row>
    <row r="1825" spans="1:17" s="1" customFormat="1" ht="15" customHeight="1" x14ac:dyDescent="0.25">
      <c r="A1825" s="28" t="s">
        <v>583</v>
      </c>
      <c r="B1825" s="28" t="s">
        <v>973</v>
      </c>
      <c r="C1825" s="6" t="s">
        <v>1044</v>
      </c>
      <c r="D1825" s="1" t="s">
        <v>454</v>
      </c>
      <c r="E1825" s="1">
        <v>2172</v>
      </c>
      <c r="F1825" s="28">
        <v>172</v>
      </c>
      <c r="G1825" s="9" t="s">
        <v>3092</v>
      </c>
      <c r="H1825" s="1" t="s">
        <v>3073</v>
      </c>
      <c r="I1825" s="1" t="s">
        <v>3073</v>
      </c>
      <c r="J1825" t="str">
        <f t="shared" si="28"/>
        <v>http://www.badatelna.eu/reprodukce/?fondId=1073&amp;zaznamId=1108958&amp;reproId=3779913</v>
      </c>
      <c r="K1825">
        <f>IF(LEN(TRIM(E1825))=0,"",VLOOKUP(E1825,Sheet2!$B$1:$E$19,2,FALSE))</f>
        <v>1073</v>
      </c>
      <c r="L1825">
        <f>IF(LEN(TRIM(E1825))=0,"",VLOOKUP(E1825,Sheet2!$B$1:$E$19,3,FALSE))</f>
        <v>1108958</v>
      </c>
      <c r="M1825">
        <f>IF(LEN(TRIM(E1825))=0,"",VLOOKUP(E1825,Sheet2!$B$1:$E$19,4,FALSE))+(F1825-1)</f>
        <v>3779913</v>
      </c>
    </row>
    <row r="1826" spans="1:17" s="1" customFormat="1" ht="15" customHeight="1" x14ac:dyDescent="0.25">
      <c r="A1826" s="28" t="s">
        <v>583</v>
      </c>
      <c r="B1826" s="28" t="s">
        <v>314</v>
      </c>
      <c r="C1826" s="1">
        <v>1889</v>
      </c>
      <c r="D1826" s="1" t="s">
        <v>454</v>
      </c>
      <c r="E1826" s="1">
        <v>2172</v>
      </c>
      <c r="F1826" s="28">
        <v>68</v>
      </c>
      <c r="G1826" s="9" t="s">
        <v>3083</v>
      </c>
      <c r="H1826" s="1">
        <v>71</v>
      </c>
      <c r="I1826" s="1">
        <v>70</v>
      </c>
      <c r="J1826" t="str">
        <f t="shared" si="28"/>
        <v>http://www.badatelna.eu/reprodukce/?fondId=1073&amp;zaznamId=1108958&amp;reproId=3779809</v>
      </c>
      <c r="K1826">
        <f>IF(LEN(TRIM(E1826))=0,"",VLOOKUP(E1826,Sheet2!$B$1:$E$19,2,FALSE))</f>
        <v>1073</v>
      </c>
      <c r="L1826">
        <f>IF(LEN(TRIM(E1826))=0,"",VLOOKUP(E1826,Sheet2!$B$1:$E$19,3,FALSE))</f>
        <v>1108958</v>
      </c>
      <c r="M1826">
        <f>IF(LEN(TRIM(E1826))=0,"",VLOOKUP(E1826,Sheet2!$B$1:$E$19,4,FALSE))+(F1826-1)</f>
        <v>3779809</v>
      </c>
      <c r="N1826"/>
      <c r="O1826"/>
      <c r="P1826"/>
      <c r="Q1826"/>
    </row>
    <row r="1827" spans="1:17" s="1" customFormat="1" ht="15" customHeight="1" x14ac:dyDescent="0.25">
      <c r="A1827" s="27" t="s">
        <v>583</v>
      </c>
      <c r="B1827" s="27" t="s">
        <v>584</v>
      </c>
      <c r="C1827" s="5" t="s">
        <v>1318</v>
      </c>
      <c r="D1827" s="3" t="s">
        <v>454</v>
      </c>
      <c r="E1827" s="3">
        <v>2170</v>
      </c>
      <c r="F1827" s="28">
        <v>55</v>
      </c>
      <c r="G1827" s="10">
        <v>51</v>
      </c>
      <c r="H1827" s="3">
        <v>69</v>
      </c>
      <c r="I1827" s="3">
        <v>65</v>
      </c>
      <c r="J1827" t="str">
        <f t="shared" si="28"/>
        <v>http://www.badatelna.eu/reprodukce/?fondId=1073&amp;zaznamId=1108956&amp;reproId=3779647</v>
      </c>
      <c r="K1827">
        <f>IF(LEN(TRIM(E1827))=0,"",VLOOKUP(E1827,Sheet2!$B$1:$E$19,2,FALSE))</f>
        <v>1073</v>
      </c>
      <c r="L1827">
        <f>IF(LEN(TRIM(E1827))=0,"",VLOOKUP(E1827,Sheet2!$B$1:$E$19,3,FALSE))</f>
        <v>1108956</v>
      </c>
      <c r="M1827">
        <f>IF(LEN(TRIM(E1827))=0,"",VLOOKUP(E1827,Sheet2!$B$1:$E$19,4,FALSE))+(F1827-1)</f>
        <v>3779647</v>
      </c>
    </row>
    <row r="1828" spans="1:17" s="1" customFormat="1" ht="15" customHeight="1" x14ac:dyDescent="0.25">
      <c r="A1828" s="28" t="s">
        <v>583</v>
      </c>
      <c r="B1828" s="28" t="s">
        <v>542</v>
      </c>
      <c r="C1828" s="6" t="s">
        <v>1786</v>
      </c>
      <c r="D1828" s="1" t="s">
        <v>454</v>
      </c>
      <c r="E1828" s="1">
        <v>2172</v>
      </c>
      <c r="F1828" s="28">
        <v>153</v>
      </c>
      <c r="G1828" s="9">
        <v>148</v>
      </c>
      <c r="H1828" s="1">
        <v>154</v>
      </c>
      <c r="I1828" s="1">
        <v>149</v>
      </c>
      <c r="J1828" t="str">
        <f t="shared" si="28"/>
        <v>http://www.badatelna.eu/reprodukce/?fondId=1073&amp;zaznamId=1108958&amp;reproId=3779894</v>
      </c>
      <c r="K1828">
        <f>IF(LEN(TRIM(E1828))=0,"",VLOOKUP(E1828,Sheet2!$B$1:$E$19,2,FALSE))</f>
        <v>1073</v>
      </c>
      <c r="L1828">
        <f>IF(LEN(TRIM(E1828))=0,"",VLOOKUP(E1828,Sheet2!$B$1:$E$19,3,FALSE))</f>
        <v>1108958</v>
      </c>
      <c r="M1828">
        <f>IF(LEN(TRIM(E1828))=0,"",VLOOKUP(E1828,Sheet2!$B$1:$E$19,4,FALSE))+(F1828-1)</f>
        <v>3779894</v>
      </c>
    </row>
    <row r="1829" spans="1:17" s="1" customFormat="1" ht="15" customHeight="1" x14ac:dyDescent="0.25">
      <c r="A1829" s="28" t="s">
        <v>583</v>
      </c>
      <c r="B1829" s="28" t="s">
        <v>13</v>
      </c>
      <c r="C1829" s="6" t="s">
        <v>1891</v>
      </c>
      <c r="D1829" s="1" t="s">
        <v>454</v>
      </c>
      <c r="E1829" s="1">
        <v>2172</v>
      </c>
      <c r="F1829" s="28">
        <v>197</v>
      </c>
      <c r="G1829" s="9" t="s">
        <v>3095</v>
      </c>
      <c r="H1829" s="1" t="s">
        <v>3073</v>
      </c>
      <c r="I1829" s="1" t="s">
        <v>3073</v>
      </c>
      <c r="J1829" t="str">
        <f t="shared" si="28"/>
        <v>http://www.badatelna.eu/reprodukce/?fondId=1073&amp;zaznamId=1108958&amp;reproId=3779938</v>
      </c>
      <c r="K1829">
        <f>IF(LEN(TRIM(E1829))=0,"",VLOOKUP(E1829,Sheet2!$B$1:$E$19,2,FALSE))</f>
        <v>1073</v>
      </c>
      <c r="L1829">
        <f>IF(LEN(TRIM(E1829))=0,"",VLOOKUP(E1829,Sheet2!$B$1:$E$19,3,FALSE))</f>
        <v>1108958</v>
      </c>
      <c r="M1829">
        <f>IF(LEN(TRIM(E1829))=0,"",VLOOKUP(E1829,Sheet2!$B$1:$E$19,4,FALSE))+(F1829-1)</f>
        <v>3779938</v>
      </c>
    </row>
    <row r="1830" spans="1:17" s="1" customFormat="1" ht="15" customHeight="1" x14ac:dyDescent="0.25">
      <c r="A1830" s="28" t="s">
        <v>583</v>
      </c>
      <c r="B1830" s="28" t="s">
        <v>486</v>
      </c>
      <c r="C1830" s="6" t="s">
        <v>1515</v>
      </c>
      <c r="D1830" s="1" t="s">
        <v>454</v>
      </c>
      <c r="E1830" s="1">
        <v>2172</v>
      </c>
      <c r="F1830" s="28">
        <v>11</v>
      </c>
      <c r="G1830" s="9">
        <v>10</v>
      </c>
      <c r="H1830" s="1" t="s">
        <v>3073</v>
      </c>
      <c r="I1830" s="1" t="s">
        <v>3073</v>
      </c>
      <c r="J1830" t="str">
        <f t="shared" si="28"/>
        <v>http://www.badatelna.eu/reprodukce/?fondId=1073&amp;zaznamId=1108958&amp;reproId=3779752</v>
      </c>
      <c r="K1830">
        <f>IF(LEN(TRIM(E1830))=0,"",VLOOKUP(E1830,Sheet2!$B$1:$E$19,2,FALSE))</f>
        <v>1073</v>
      </c>
      <c r="L1830">
        <f>IF(LEN(TRIM(E1830))=0,"",VLOOKUP(E1830,Sheet2!$B$1:$E$19,3,FALSE))</f>
        <v>1108958</v>
      </c>
      <c r="M1830">
        <f>IF(LEN(TRIM(E1830))=0,"",VLOOKUP(E1830,Sheet2!$B$1:$E$19,4,FALSE))+(F1830-1)</f>
        <v>3779752</v>
      </c>
      <c r="N1830"/>
      <c r="O1830"/>
      <c r="P1830"/>
      <c r="Q1830"/>
    </row>
    <row r="1831" spans="1:17" s="1" customFormat="1" ht="15" customHeight="1" x14ac:dyDescent="0.25">
      <c r="A1831" s="28" t="s">
        <v>2988</v>
      </c>
      <c r="B1831" s="28" t="s">
        <v>33</v>
      </c>
      <c r="C1831" s="1">
        <v>1850</v>
      </c>
      <c r="D1831" s="1" t="s">
        <v>2919</v>
      </c>
      <c r="E1831" s="1">
        <v>998</v>
      </c>
      <c r="F1831" s="28">
        <v>31</v>
      </c>
      <c r="G1831" s="1">
        <v>29</v>
      </c>
      <c r="H1831" s="1">
        <v>76</v>
      </c>
      <c r="I1831" s="1">
        <v>73</v>
      </c>
      <c r="J1831" t="str">
        <f t="shared" si="28"/>
        <v>http://www.badatelna.eu/reprodukce/?fondId=241&amp;zaznamId=1133738&amp;reproId=3885677</v>
      </c>
      <c r="K1831">
        <f>IF(LEN(TRIM(E1831))=0,"",VLOOKUP(E1831,Sheet2!$B$1:$E$19,2,FALSE))</f>
        <v>241</v>
      </c>
      <c r="L1831">
        <f>IF(LEN(TRIM(E1831))=0,"",VLOOKUP(E1831,Sheet2!$B$1:$E$19,3,FALSE))</f>
        <v>1133738</v>
      </c>
      <c r="M1831">
        <f>IF(LEN(TRIM(E1831))=0,"",VLOOKUP(E1831,Sheet2!$B$1:$E$19,4,FALSE))+(F1831-1)</f>
        <v>3885677</v>
      </c>
      <c r="N1831"/>
      <c r="O1831"/>
      <c r="P1831"/>
      <c r="Q1831"/>
    </row>
    <row r="1832" spans="1:17" s="1" customFormat="1" ht="15" customHeight="1" x14ac:dyDescent="0.25">
      <c r="A1832" s="28" t="s">
        <v>2988</v>
      </c>
      <c r="B1832" s="28" t="s">
        <v>335</v>
      </c>
      <c r="C1832" s="1">
        <v>1859</v>
      </c>
      <c r="D1832" s="1" t="s">
        <v>2919</v>
      </c>
      <c r="E1832" s="1">
        <v>998</v>
      </c>
      <c r="F1832" s="28">
        <v>57</v>
      </c>
      <c r="G1832" s="1">
        <v>54</v>
      </c>
      <c r="H1832" s="1">
        <v>76</v>
      </c>
      <c r="I1832" s="1">
        <v>73</v>
      </c>
      <c r="J1832" t="str">
        <f t="shared" si="28"/>
        <v>http://www.badatelna.eu/reprodukce/?fondId=241&amp;zaznamId=1133738&amp;reproId=3885703</v>
      </c>
      <c r="K1832">
        <f>IF(LEN(TRIM(E1832))=0,"",VLOOKUP(E1832,Sheet2!$B$1:$E$19,2,FALSE))</f>
        <v>241</v>
      </c>
      <c r="L1832">
        <f>IF(LEN(TRIM(E1832))=0,"",VLOOKUP(E1832,Sheet2!$B$1:$E$19,3,FALSE))</f>
        <v>1133738</v>
      </c>
      <c r="M1832">
        <f>IF(LEN(TRIM(E1832))=0,"",VLOOKUP(E1832,Sheet2!$B$1:$E$19,4,FALSE))+(F1832-1)</f>
        <v>3885703</v>
      </c>
      <c r="N1832"/>
      <c r="O1832"/>
      <c r="P1832"/>
      <c r="Q1832"/>
    </row>
    <row r="1833" spans="1:17" s="1" customFormat="1" ht="15" customHeight="1" x14ac:dyDescent="0.25">
      <c r="A1833" s="28" t="s">
        <v>2988</v>
      </c>
      <c r="B1833" s="28" t="s">
        <v>2933</v>
      </c>
      <c r="C1833" s="1">
        <v>1855</v>
      </c>
      <c r="D1833" s="1" t="s">
        <v>2919</v>
      </c>
      <c r="E1833" s="1">
        <v>998</v>
      </c>
      <c r="F1833" s="28">
        <v>46</v>
      </c>
      <c r="G1833" s="1">
        <v>44</v>
      </c>
      <c r="H1833" s="1">
        <v>76</v>
      </c>
      <c r="I1833" s="1">
        <v>73</v>
      </c>
      <c r="J1833" t="str">
        <f t="shared" si="28"/>
        <v>http://www.badatelna.eu/reprodukce/?fondId=241&amp;zaznamId=1133738&amp;reproId=3885692</v>
      </c>
      <c r="K1833">
        <f>IF(LEN(TRIM(E1833))=0,"",VLOOKUP(E1833,Sheet2!$B$1:$E$19,2,FALSE))</f>
        <v>241</v>
      </c>
      <c r="L1833">
        <f>IF(LEN(TRIM(E1833))=0,"",VLOOKUP(E1833,Sheet2!$B$1:$E$19,3,FALSE))</f>
        <v>1133738</v>
      </c>
      <c r="M1833">
        <f>IF(LEN(TRIM(E1833))=0,"",VLOOKUP(E1833,Sheet2!$B$1:$E$19,4,FALSE))+(F1833-1)</f>
        <v>3885692</v>
      </c>
    </row>
    <row r="1834" spans="1:17" s="1" customFormat="1" ht="15" customHeight="1" x14ac:dyDescent="0.25">
      <c r="A1834" s="28" t="s">
        <v>2988</v>
      </c>
      <c r="B1834" s="28" t="s">
        <v>462</v>
      </c>
      <c r="C1834" s="1">
        <v>1856</v>
      </c>
      <c r="D1834" s="1" t="s">
        <v>2919</v>
      </c>
      <c r="E1834" s="1">
        <v>998</v>
      </c>
      <c r="F1834" s="28">
        <v>50</v>
      </c>
      <c r="G1834" s="1">
        <v>48</v>
      </c>
      <c r="H1834" s="1">
        <v>76</v>
      </c>
      <c r="I1834" s="1">
        <v>73</v>
      </c>
      <c r="J1834" t="str">
        <f t="shared" si="28"/>
        <v>http://www.badatelna.eu/reprodukce/?fondId=241&amp;zaznamId=1133738&amp;reproId=3885696</v>
      </c>
      <c r="K1834">
        <f>IF(LEN(TRIM(E1834))=0,"",VLOOKUP(E1834,Sheet2!$B$1:$E$19,2,FALSE))</f>
        <v>241</v>
      </c>
      <c r="L1834">
        <f>IF(LEN(TRIM(E1834))=0,"",VLOOKUP(E1834,Sheet2!$B$1:$E$19,3,FALSE))</f>
        <v>1133738</v>
      </c>
      <c r="M1834">
        <f>IF(LEN(TRIM(E1834))=0,"",VLOOKUP(E1834,Sheet2!$B$1:$E$19,4,FALSE))+(F1834-1)</f>
        <v>3885696</v>
      </c>
    </row>
    <row r="1835" spans="1:17" s="1" customFormat="1" ht="15" customHeight="1" x14ac:dyDescent="0.25">
      <c r="A1835" s="28" t="s">
        <v>2988</v>
      </c>
      <c r="B1835" s="28" t="s">
        <v>314</v>
      </c>
      <c r="C1835" s="1">
        <v>1851</v>
      </c>
      <c r="D1835" s="1" t="s">
        <v>2919</v>
      </c>
      <c r="E1835" s="1">
        <v>998</v>
      </c>
      <c r="F1835" s="28">
        <v>31</v>
      </c>
      <c r="G1835" s="1">
        <v>29</v>
      </c>
      <c r="H1835" s="1">
        <v>76</v>
      </c>
      <c r="I1835" s="1">
        <v>73</v>
      </c>
      <c r="J1835" t="str">
        <f t="shared" si="28"/>
        <v>http://www.badatelna.eu/reprodukce/?fondId=241&amp;zaznamId=1133738&amp;reproId=3885677</v>
      </c>
      <c r="K1835">
        <f>IF(LEN(TRIM(E1835))=0,"",VLOOKUP(E1835,Sheet2!$B$1:$E$19,2,FALSE))</f>
        <v>241</v>
      </c>
      <c r="L1835">
        <f>IF(LEN(TRIM(E1835))=0,"",VLOOKUP(E1835,Sheet2!$B$1:$E$19,3,FALSE))</f>
        <v>1133738</v>
      </c>
      <c r="M1835">
        <f>IF(LEN(TRIM(E1835))=0,"",VLOOKUP(E1835,Sheet2!$B$1:$E$19,4,FALSE))+(F1835-1)</f>
        <v>3885677</v>
      </c>
    </row>
    <row r="1836" spans="1:17" s="1" customFormat="1" ht="15" customHeight="1" x14ac:dyDescent="0.25">
      <c r="A1836" s="28" t="s">
        <v>2988</v>
      </c>
      <c r="B1836" s="28" t="s">
        <v>314</v>
      </c>
      <c r="C1836" s="1">
        <v>1852</v>
      </c>
      <c r="D1836" s="1" t="s">
        <v>2919</v>
      </c>
      <c r="E1836" s="1">
        <v>998</v>
      </c>
      <c r="F1836" s="28">
        <v>35</v>
      </c>
      <c r="G1836" s="1">
        <v>33</v>
      </c>
      <c r="H1836" s="1">
        <v>76</v>
      </c>
      <c r="I1836" s="1">
        <v>73</v>
      </c>
      <c r="J1836" t="str">
        <f t="shared" si="28"/>
        <v>http://www.badatelna.eu/reprodukce/?fondId=241&amp;zaznamId=1133738&amp;reproId=3885681</v>
      </c>
      <c r="K1836">
        <f>IF(LEN(TRIM(E1836))=0,"",VLOOKUP(E1836,Sheet2!$B$1:$E$19,2,FALSE))</f>
        <v>241</v>
      </c>
      <c r="L1836">
        <f>IF(LEN(TRIM(E1836))=0,"",VLOOKUP(E1836,Sheet2!$B$1:$E$19,3,FALSE))</f>
        <v>1133738</v>
      </c>
      <c r="M1836">
        <f>IF(LEN(TRIM(E1836))=0,"",VLOOKUP(E1836,Sheet2!$B$1:$E$19,4,FALSE))+(F1836-1)</f>
        <v>3885681</v>
      </c>
    </row>
    <row r="1837" spans="1:17" s="1" customFormat="1" ht="15" customHeight="1" x14ac:dyDescent="0.25">
      <c r="A1837" s="28" t="s">
        <v>2988</v>
      </c>
      <c r="B1837" s="28" t="s">
        <v>314</v>
      </c>
      <c r="C1837" s="1">
        <v>1855</v>
      </c>
      <c r="D1837" s="1" t="s">
        <v>2919</v>
      </c>
      <c r="E1837" s="1">
        <v>998</v>
      </c>
      <c r="F1837" s="28">
        <v>47</v>
      </c>
      <c r="G1837" s="1">
        <v>45</v>
      </c>
      <c r="H1837" s="1">
        <v>76</v>
      </c>
      <c r="I1837" s="1">
        <v>73</v>
      </c>
      <c r="J1837" t="str">
        <f t="shared" si="28"/>
        <v>http://www.badatelna.eu/reprodukce/?fondId=241&amp;zaznamId=1133738&amp;reproId=3885693</v>
      </c>
      <c r="K1837">
        <f>IF(LEN(TRIM(E1837))=0,"",VLOOKUP(E1837,Sheet2!$B$1:$E$19,2,FALSE))</f>
        <v>241</v>
      </c>
      <c r="L1837">
        <f>IF(LEN(TRIM(E1837))=0,"",VLOOKUP(E1837,Sheet2!$B$1:$E$19,3,FALSE))</f>
        <v>1133738</v>
      </c>
      <c r="M1837">
        <f>IF(LEN(TRIM(E1837))=0,"",VLOOKUP(E1837,Sheet2!$B$1:$E$19,4,FALSE))+(F1837-1)</f>
        <v>3885693</v>
      </c>
    </row>
    <row r="1838" spans="1:17" s="1" customFormat="1" ht="15" customHeight="1" x14ac:dyDescent="0.25">
      <c r="A1838" s="28" t="s">
        <v>2988</v>
      </c>
      <c r="B1838" s="28" t="s">
        <v>314</v>
      </c>
      <c r="C1838" s="1">
        <v>1861</v>
      </c>
      <c r="D1838" s="1" t="s">
        <v>2919</v>
      </c>
      <c r="E1838" s="1">
        <v>998</v>
      </c>
      <c r="F1838" s="28">
        <v>61</v>
      </c>
      <c r="G1838" s="1">
        <v>58</v>
      </c>
      <c r="H1838" s="1">
        <v>76</v>
      </c>
      <c r="I1838" s="1">
        <v>73</v>
      </c>
      <c r="J1838" t="str">
        <f t="shared" si="28"/>
        <v>http://www.badatelna.eu/reprodukce/?fondId=241&amp;zaznamId=1133738&amp;reproId=3885707</v>
      </c>
      <c r="K1838">
        <f>IF(LEN(TRIM(E1838))=0,"",VLOOKUP(E1838,Sheet2!$B$1:$E$19,2,FALSE))</f>
        <v>241</v>
      </c>
      <c r="L1838">
        <f>IF(LEN(TRIM(E1838))=0,"",VLOOKUP(E1838,Sheet2!$B$1:$E$19,3,FALSE))</f>
        <v>1133738</v>
      </c>
      <c r="M1838">
        <f>IF(LEN(TRIM(E1838))=0,"",VLOOKUP(E1838,Sheet2!$B$1:$E$19,4,FALSE))+(F1838-1)</f>
        <v>3885707</v>
      </c>
    </row>
    <row r="1839" spans="1:17" s="1" customFormat="1" ht="15" customHeight="1" x14ac:dyDescent="0.25">
      <c r="A1839" s="28" t="s">
        <v>2988</v>
      </c>
      <c r="B1839" s="28" t="s">
        <v>39</v>
      </c>
      <c r="C1839" s="1">
        <v>1850</v>
      </c>
      <c r="D1839" s="1" t="s">
        <v>2919</v>
      </c>
      <c r="E1839" s="1">
        <v>998</v>
      </c>
      <c r="F1839" s="28">
        <v>29</v>
      </c>
      <c r="G1839" s="1">
        <v>27</v>
      </c>
      <c r="H1839" s="1">
        <v>76</v>
      </c>
      <c r="I1839" s="1">
        <v>73</v>
      </c>
      <c r="J1839" t="str">
        <f t="shared" si="28"/>
        <v>http://www.badatelna.eu/reprodukce/?fondId=241&amp;zaznamId=1133738&amp;reproId=3885675</v>
      </c>
      <c r="K1839">
        <f>IF(LEN(TRIM(E1839))=0,"",VLOOKUP(E1839,Sheet2!$B$1:$E$19,2,FALSE))</f>
        <v>241</v>
      </c>
      <c r="L1839">
        <f>IF(LEN(TRIM(E1839))=0,"",VLOOKUP(E1839,Sheet2!$B$1:$E$19,3,FALSE))</f>
        <v>1133738</v>
      </c>
      <c r="M1839">
        <f>IF(LEN(TRIM(E1839))=0,"",VLOOKUP(E1839,Sheet2!$B$1:$E$19,4,FALSE))+(F1839-1)</f>
        <v>3885675</v>
      </c>
      <c r="N1839"/>
      <c r="O1839"/>
      <c r="P1839"/>
      <c r="Q1839"/>
    </row>
    <row r="1840" spans="1:17" s="1" customFormat="1" ht="15" customHeight="1" x14ac:dyDescent="0.25">
      <c r="A1840" s="28" t="s">
        <v>2988</v>
      </c>
      <c r="B1840" s="28" t="s">
        <v>2989</v>
      </c>
      <c r="C1840" s="1">
        <v>1847</v>
      </c>
      <c r="D1840" s="1" t="s">
        <v>2919</v>
      </c>
      <c r="E1840" s="1">
        <v>998</v>
      </c>
      <c r="F1840" s="28">
        <v>15</v>
      </c>
      <c r="G1840" s="1">
        <v>13</v>
      </c>
      <c r="H1840" s="1">
        <v>76</v>
      </c>
      <c r="I1840" s="1">
        <v>73</v>
      </c>
      <c r="J1840" t="str">
        <f t="shared" si="28"/>
        <v>http://www.badatelna.eu/reprodukce/?fondId=241&amp;zaznamId=1133738&amp;reproId=3885661</v>
      </c>
      <c r="K1840">
        <f>IF(LEN(TRIM(E1840))=0,"",VLOOKUP(E1840,Sheet2!$B$1:$E$19,2,FALSE))</f>
        <v>241</v>
      </c>
      <c r="L1840">
        <f>IF(LEN(TRIM(E1840))=0,"",VLOOKUP(E1840,Sheet2!$B$1:$E$19,3,FALSE))</f>
        <v>1133738</v>
      </c>
      <c r="M1840">
        <f>IF(LEN(TRIM(E1840))=0,"",VLOOKUP(E1840,Sheet2!$B$1:$E$19,4,FALSE))+(F1840-1)</f>
        <v>3885661</v>
      </c>
    </row>
    <row r="1841" spans="1:17" s="1" customFormat="1" ht="15" customHeight="1" x14ac:dyDescent="0.25">
      <c r="A1841" s="28" t="s">
        <v>2988</v>
      </c>
      <c r="B1841" s="28" t="s">
        <v>500</v>
      </c>
      <c r="C1841" s="1">
        <v>1857</v>
      </c>
      <c r="D1841" s="1" t="s">
        <v>2919</v>
      </c>
      <c r="E1841" s="1">
        <v>998</v>
      </c>
      <c r="F1841" s="28">
        <v>52</v>
      </c>
      <c r="G1841" s="1">
        <v>50</v>
      </c>
      <c r="H1841" s="1">
        <v>76</v>
      </c>
      <c r="I1841" s="1">
        <v>73</v>
      </c>
      <c r="J1841" t="str">
        <f t="shared" si="28"/>
        <v>http://www.badatelna.eu/reprodukce/?fondId=241&amp;zaznamId=1133738&amp;reproId=3885698</v>
      </c>
      <c r="K1841">
        <f>IF(LEN(TRIM(E1841))=0,"",VLOOKUP(E1841,Sheet2!$B$1:$E$19,2,FALSE))</f>
        <v>241</v>
      </c>
      <c r="L1841">
        <f>IF(LEN(TRIM(E1841))=0,"",VLOOKUP(E1841,Sheet2!$B$1:$E$19,3,FALSE))</f>
        <v>1133738</v>
      </c>
      <c r="M1841">
        <f>IF(LEN(TRIM(E1841))=0,"",VLOOKUP(E1841,Sheet2!$B$1:$E$19,4,FALSE))+(F1841-1)</f>
        <v>3885698</v>
      </c>
    </row>
    <row r="1842" spans="1:17" s="1" customFormat="1" ht="15" customHeight="1" x14ac:dyDescent="0.25">
      <c r="A1842" s="28" t="s">
        <v>2988</v>
      </c>
      <c r="B1842" s="28" t="s">
        <v>82</v>
      </c>
      <c r="C1842" s="1">
        <v>1854</v>
      </c>
      <c r="D1842" s="1" t="s">
        <v>2919</v>
      </c>
      <c r="E1842" s="1">
        <v>998</v>
      </c>
      <c r="F1842" s="28">
        <v>40</v>
      </c>
      <c r="G1842" s="1">
        <v>38</v>
      </c>
      <c r="H1842" s="1">
        <v>76</v>
      </c>
      <c r="I1842" s="1">
        <v>73</v>
      </c>
      <c r="J1842" t="str">
        <f t="shared" si="28"/>
        <v>http://www.badatelna.eu/reprodukce/?fondId=241&amp;zaznamId=1133738&amp;reproId=3885686</v>
      </c>
      <c r="K1842">
        <f>IF(LEN(TRIM(E1842))=0,"",VLOOKUP(E1842,Sheet2!$B$1:$E$19,2,FALSE))</f>
        <v>241</v>
      </c>
      <c r="L1842">
        <f>IF(LEN(TRIM(E1842))=0,"",VLOOKUP(E1842,Sheet2!$B$1:$E$19,3,FALSE))</f>
        <v>1133738</v>
      </c>
      <c r="M1842">
        <f>IF(LEN(TRIM(E1842))=0,"",VLOOKUP(E1842,Sheet2!$B$1:$E$19,4,FALSE))+(F1842-1)</f>
        <v>3885686</v>
      </c>
    </row>
    <row r="1843" spans="1:17" s="1" customFormat="1" ht="15" customHeight="1" x14ac:dyDescent="0.25">
      <c r="A1843" s="28" t="s">
        <v>101</v>
      </c>
      <c r="B1843" s="28" t="s">
        <v>33</v>
      </c>
      <c r="C1843" s="6" t="s">
        <v>2381</v>
      </c>
      <c r="D1843" s="1" t="s">
        <v>454</v>
      </c>
      <c r="E1843" s="1">
        <v>2173</v>
      </c>
      <c r="F1843" s="28">
        <v>201</v>
      </c>
      <c r="G1843" s="9">
        <v>11</v>
      </c>
      <c r="H1843" s="1" t="s">
        <v>3073</v>
      </c>
      <c r="I1843" s="1" t="s">
        <v>3073</v>
      </c>
      <c r="J1843" t="str">
        <f t="shared" si="28"/>
        <v>http://www.badatelna.eu/reprodukce/?fondId=1073&amp;zaznamId=1108959&amp;reproId=3780194</v>
      </c>
      <c r="K1843">
        <f>IF(LEN(TRIM(E1843))=0,"",VLOOKUP(E1843,Sheet2!$B$1:$E$19,2,FALSE))</f>
        <v>1073</v>
      </c>
      <c r="L1843">
        <f>IF(LEN(TRIM(E1843))=0,"",VLOOKUP(E1843,Sheet2!$B$1:$E$19,3,FALSE))</f>
        <v>1108959</v>
      </c>
      <c r="M1843">
        <f>IF(LEN(TRIM(E1843))=0,"",VLOOKUP(E1843,Sheet2!$B$1:$E$19,4,FALSE))+(F1843-1)</f>
        <v>3780194</v>
      </c>
    </row>
    <row r="1844" spans="1:17" s="1" customFormat="1" ht="15" customHeight="1" x14ac:dyDescent="0.25">
      <c r="A1844" s="28" t="s">
        <v>101</v>
      </c>
      <c r="B1844" s="28" t="s">
        <v>33</v>
      </c>
      <c r="C1844" s="6" t="s">
        <v>1721</v>
      </c>
      <c r="D1844" s="1" t="s">
        <v>454</v>
      </c>
      <c r="E1844" s="1">
        <v>2172</v>
      </c>
      <c r="F1844" s="28">
        <v>120</v>
      </c>
      <c r="G1844" s="9">
        <v>119</v>
      </c>
      <c r="H1844" s="1">
        <v>123</v>
      </c>
      <c r="I1844" s="1">
        <v>122</v>
      </c>
      <c r="J1844" t="str">
        <f t="shared" si="28"/>
        <v>http://www.badatelna.eu/reprodukce/?fondId=1073&amp;zaznamId=1108958&amp;reproId=3779861</v>
      </c>
      <c r="K1844">
        <f>IF(LEN(TRIM(E1844))=0,"",VLOOKUP(E1844,Sheet2!$B$1:$E$19,2,FALSE))</f>
        <v>1073</v>
      </c>
      <c r="L1844">
        <f>IF(LEN(TRIM(E1844))=0,"",VLOOKUP(E1844,Sheet2!$B$1:$E$19,3,FALSE))</f>
        <v>1108958</v>
      </c>
      <c r="M1844">
        <f>IF(LEN(TRIM(E1844))=0,"",VLOOKUP(E1844,Sheet2!$B$1:$E$19,4,FALSE))+(F1844-1)</f>
        <v>3779861</v>
      </c>
    </row>
    <row r="1845" spans="1:17" s="1" customFormat="1" ht="15" customHeight="1" x14ac:dyDescent="0.25">
      <c r="A1845" s="27" t="s">
        <v>101</v>
      </c>
      <c r="B1845" s="27" t="s">
        <v>585</v>
      </c>
      <c r="C1845" s="5" t="s">
        <v>1300</v>
      </c>
      <c r="D1845" s="3" t="s">
        <v>454</v>
      </c>
      <c r="E1845" s="3">
        <v>2170</v>
      </c>
      <c r="F1845" s="28">
        <v>41</v>
      </c>
      <c r="G1845" s="10">
        <v>37</v>
      </c>
      <c r="H1845" s="3">
        <v>68</v>
      </c>
      <c r="I1845" s="3">
        <v>64</v>
      </c>
      <c r="J1845" t="str">
        <f t="shared" si="28"/>
        <v>http://www.badatelna.eu/reprodukce/?fondId=1073&amp;zaznamId=1108956&amp;reproId=3779633</v>
      </c>
      <c r="K1845">
        <f>IF(LEN(TRIM(E1845))=0,"",VLOOKUP(E1845,Sheet2!$B$1:$E$19,2,FALSE))</f>
        <v>1073</v>
      </c>
      <c r="L1845">
        <f>IF(LEN(TRIM(E1845))=0,"",VLOOKUP(E1845,Sheet2!$B$1:$E$19,3,FALSE))</f>
        <v>1108956</v>
      </c>
      <c r="M1845">
        <f>IF(LEN(TRIM(E1845))=0,"",VLOOKUP(E1845,Sheet2!$B$1:$E$19,4,FALSE))+(F1845-1)</f>
        <v>3779633</v>
      </c>
    </row>
    <row r="1846" spans="1:17" s="1" customFormat="1" ht="15" customHeight="1" x14ac:dyDescent="0.25">
      <c r="A1846" s="27" t="s">
        <v>101</v>
      </c>
      <c r="B1846" s="27" t="s">
        <v>465</v>
      </c>
      <c r="C1846" s="5" t="s">
        <v>1294</v>
      </c>
      <c r="D1846" s="3" t="s">
        <v>454</v>
      </c>
      <c r="E1846" s="3">
        <v>2170</v>
      </c>
      <c r="F1846" s="28">
        <v>46</v>
      </c>
      <c r="G1846" s="10" t="s">
        <v>3078</v>
      </c>
      <c r="H1846" s="3">
        <v>68</v>
      </c>
      <c r="I1846" s="3">
        <v>64</v>
      </c>
      <c r="J1846" t="str">
        <f t="shared" si="28"/>
        <v>http://www.badatelna.eu/reprodukce/?fondId=1073&amp;zaznamId=1108956&amp;reproId=3779638</v>
      </c>
      <c r="K1846">
        <f>IF(LEN(TRIM(E1846))=0,"",VLOOKUP(E1846,Sheet2!$B$1:$E$19,2,FALSE))</f>
        <v>1073</v>
      </c>
      <c r="L1846">
        <f>IF(LEN(TRIM(E1846))=0,"",VLOOKUP(E1846,Sheet2!$B$1:$E$19,3,FALSE))</f>
        <v>1108956</v>
      </c>
      <c r="M1846">
        <f>IF(LEN(TRIM(E1846))=0,"",VLOOKUP(E1846,Sheet2!$B$1:$E$19,4,FALSE))+(F1846-1)</f>
        <v>3779638</v>
      </c>
    </row>
    <row r="1847" spans="1:17" s="1" customFormat="1" ht="15" customHeight="1" x14ac:dyDescent="0.25">
      <c r="A1847" s="27" t="s">
        <v>101</v>
      </c>
      <c r="B1847" s="27" t="s">
        <v>465</v>
      </c>
      <c r="C1847" s="5" t="s">
        <v>1320</v>
      </c>
      <c r="D1847" s="3" t="s">
        <v>454</v>
      </c>
      <c r="E1847" s="3">
        <v>2170</v>
      </c>
      <c r="F1847" s="28">
        <v>55</v>
      </c>
      <c r="G1847" s="10">
        <v>51</v>
      </c>
      <c r="H1847" s="3">
        <v>69</v>
      </c>
      <c r="I1847" s="3">
        <v>65</v>
      </c>
      <c r="J1847" t="str">
        <f t="shared" si="28"/>
        <v>http://www.badatelna.eu/reprodukce/?fondId=1073&amp;zaznamId=1108956&amp;reproId=3779647</v>
      </c>
      <c r="K1847">
        <f>IF(LEN(TRIM(E1847))=0,"",VLOOKUP(E1847,Sheet2!$B$1:$E$19,2,FALSE))</f>
        <v>1073</v>
      </c>
      <c r="L1847">
        <f>IF(LEN(TRIM(E1847))=0,"",VLOOKUP(E1847,Sheet2!$B$1:$E$19,3,FALSE))</f>
        <v>1108956</v>
      </c>
      <c r="M1847">
        <f>IF(LEN(TRIM(E1847))=0,"",VLOOKUP(E1847,Sheet2!$B$1:$E$19,4,FALSE))+(F1847-1)</f>
        <v>3779647</v>
      </c>
    </row>
    <row r="1848" spans="1:17" s="1" customFormat="1" ht="15" customHeight="1" x14ac:dyDescent="0.25">
      <c r="A1848" s="28" t="s">
        <v>101</v>
      </c>
      <c r="B1848" s="28" t="s">
        <v>465</v>
      </c>
      <c r="C1848" s="6" t="s">
        <v>1916</v>
      </c>
      <c r="D1848" s="1" t="s">
        <v>454</v>
      </c>
      <c r="E1848" s="1">
        <v>2172</v>
      </c>
      <c r="F1848" s="28">
        <v>211</v>
      </c>
      <c r="G1848" s="9">
        <v>195</v>
      </c>
      <c r="H1848" s="1" t="s">
        <v>3073</v>
      </c>
      <c r="I1848" s="1" t="s">
        <v>3073</v>
      </c>
      <c r="J1848" t="str">
        <f t="shared" si="28"/>
        <v>http://www.badatelna.eu/reprodukce/?fondId=1073&amp;zaznamId=1108958&amp;reproId=3779952</v>
      </c>
      <c r="K1848">
        <f>IF(LEN(TRIM(E1848))=0,"",VLOOKUP(E1848,Sheet2!$B$1:$E$19,2,FALSE))</f>
        <v>1073</v>
      </c>
      <c r="L1848">
        <f>IF(LEN(TRIM(E1848))=0,"",VLOOKUP(E1848,Sheet2!$B$1:$E$19,3,FALSE))</f>
        <v>1108958</v>
      </c>
      <c r="M1848">
        <f>IF(LEN(TRIM(E1848))=0,"",VLOOKUP(E1848,Sheet2!$B$1:$E$19,4,FALSE))+(F1848-1)</f>
        <v>3779952</v>
      </c>
    </row>
    <row r="1849" spans="1:17" s="1" customFormat="1" ht="15" customHeight="1" x14ac:dyDescent="0.25">
      <c r="A1849" s="28" t="s">
        <v>101</v>
      </c>
      <c r="B1849" s="28" t="s">
        <v>528</v>
      </c>
      <c r="C1849" s="1">
        <v>1864</v>
      </c>
      <c r="D1849" s="1" t="s">
        <v>2919</v>
      </c>
      <c r="E1849" s="1">
        <v>999</v>
      </c>
      <c r="F1849" s="28">
        <v>85</v>
      </c>
      <c r="G1849" s="1">
        <v>6</v>
      </c>
      <c r="H1849" s="1">
        <v>106</v>
      </c>
      <c r="I1849" s="1">
        <v>165</v>
      </c>
      <c r="J1849" t="str">
        <f t="shared" si="28"/>
        <v>http://www.badatelna.eu/reprodukce/?fondId=241&amp;zaznamId=1133739&amp;reproId=3885814</v>
      </c>
      <c r="K1849">
        <f>IF(LEN(TRIM(E1849))=0,"",VLOOKUP(E1849,Sheet2!$B$1:$E$19,2,FALSE))</f>
        <v>241</v>
      </c>
      <c r="L1849">
        <f>IF(LEN(TRIM(E1849))=0,"",VLOOKUP(E1849,Sheet2!$B$1:$E$19,3,FALSE))</f>
        <v>1133739</v>
      </c>
      <c r="M1849">
        <f>IF(LEN(TRIM(E1849))=0,"",VLOOKUP(E1849,Sheet2!$B$1:$E$19,4,FALSE))+(F1849-1)</f>
        <v>3885814</v>
      </c>
    </row>
    <row r="1850" spans="1:17" s="1" customFormat="1" ht="15" customHeight="1" x14ac:dyDescent="0.25">
      <c r="A1850" s="27" t="s">
        <v>101</v>
      </c>
      <c r="B1850" s="27" t="s">
        <v>528</v>
      </c>
      <c r="C1850" s="5" t="s">
        <v>1299</v>
      </c>
      <c r="D1850" s="3" t="s">
        <v>454</v>
      </c>
      <c r="E1850" s="3">
        <v>2170</v>
      </c>
      <c r="F1850" s="28">
        <v>10</v>
      </c>
      <c r="G1850" s="10">
        <v>6</v>
      </c>
      <c r="H1850" s="3">
        <v>68</v>
      </c>
      <c r="I1850" s="3">
        <v>64</v>
      </c>
      <c r="J1850" t="str">
        <f t="shared" si="28"/>
        <v>http://www.badatelna.eu/reprodukce/?fondId=1073&amp;zaznamId=1108956&amp;reproId=3779602</v>
      </c>
      <c r="K1850">
        <f>IF(LEN(TRIM(E1850))=0,"",VLOOKUP(E1850,Sheet2!$B$1:$E$19,2,FALSE))</f>
        <v>1073</v>
      </c>
      <c r="L1850">
        <f>IF(LEN(TRIM(E1850))=0,"",VLOOKUP(E1850,Sheet2!$B$1:$E$19,3,FALSE))</f>
        <v>1108956</v>
      </c>
      <c r="M1850">
        <f>IF(LEN(TRIM(E1850))=0,"",VLOOKUP(E1850,Sheet2!$B$1:$E$19,4,FALSE))+(F1850-1)</f>
        <v>3779602</v>
      </c>
    </row>
    <row r="1851" spans="1:17" s="1" customFormat="1" ht="15" customHeight="1" x14ac:dyDescent="0.25">
      <c r="A1851" s="28" t="s">
        <v>101</v>
      </c>
      <c r="B1851" s="28" t="s">
        <v>620</v>
      </c>
      <c r="C1851" s="6" t="s">
        <v>1909</v>
      </c>
      <c r="D1851" s="1" t="s">
        <v>454</v>
      </c>
      <c r="E1851" s="1">
        <v>2172</v>
      </c>
      <c r="F1851" s="28">
        <v>209</v>
      </c>
      <c r="G1851" s="9">
        <v>193</v>
      </c>
      <c r="H1851" s="1" t="s">
        <v>3073</v>
      </c>
      <c r="I1851" s="1" t="s">
        <v>3073</v>
      </c>
      <c r="J1851" t="str">
        <f t="shared" si="28"/>
        <v>http://www.badatelna.eu/reprodukce/?fondId=1073&amp;zaznamId=1108958&amp;reproId=3779950</v>
      </c>
      <c r="K1851">
        <f>IF(LEN(TRIM(E1851))=0,"",VLOOKUP(E1851,Sheet2!$B$1:$E$19,2,FALSE))</f>
        <v>1073</v>
      </c>
      <c r="L1851">
        <f>IF(LEN(TRIM(E1851))=0,"",VLOOKUP(E1851,Sheet2!$B$1:$E$19,3,FALSE))</f>
        <v>1108958</v>
      </c>
      <c r="M1851">
        <f>IF(LEN(TRIM(E1851))=0,"",VLOOKUP(E1851,Sheet2!$B$1:$E$19,4,FALSE))+(F1851-1)</f>
        <v>3779950</v>
      </c>
    </row>
    <row r="1852" spans="1:17" s="1" customFormat="1" ht="15" customHeight="1" x14ac:dyDescent="0.25">
      <c r="A1852" s="28" t="s">
        <v>101</v>
      </c>
      <c r="B1852" s="28" t="s">
        <v>766</v>
      </c>
      <c r="C1852" s="6" t="s">
        <v>1623</v>
      </c>
      <c r="D1852" s="1" t="s">
        <v>454</v>
      </c>
      <c r="E1852" s="1">
        <v>2172</v>
      </c>
      <c r="F1852" s="28">
        <v>86</v>
      </c>
      <c r="G1852" s="9">
        <v>85</v>
      </c>
      <c r="H1852" s="1">
        <v>90</v>
      </c>
      <c r="I1852" s="1">
        <v>89</v>
      </c>
      <c r="J1852" t="str">
        <f t="shared" si="28"/>
        <v>http://www.badatelna.eu/reprodukce/?fondId=1073&amp;zaznamId=1108958&amp;reproId=3779827</v>
      </c>
      <c r="K1852">
        <f>IF(LEN(TRIM(E1852))=0,"",VLOOKUP(E1852,Sheet2!$B$1:$E$19,2,FALSE))</f>
        <v>1073</v>
      </c>
      <c r="L1852">
        <f>IF(LEN(TRIM(E1852))=0,"",VLOOKUP(E1852,Sheet2!$B$1:$E$19,3,FALSE))</f>
        <v>1108958</v>
      </c>
      <c r="M1852">
        <f>IF(LEN(TRIM(E1852))=0,"",VLOOKUP(E1852,Sheet2!$B$1:$E$19,4,FALSE))+(F1852-1)</f>
        <v>3779827</v>
      </c>
      <c r="N1852"/>
      <c r="O1852"/>
      <c r="P1852"/>
      <c r="Q1852"/>
    </row>
    <row r="1853" spans="1:17" s="1" customFormat="1" ht="15" customHeight="1" x14ac:dyDescent="0.25">
      <c r="A1853" s="28" t="s">
        <v>101</v>
      </c>
      <c r="B1853" s="28" t="s">
        <v>290</v>
      </c>
      <c r="C1853" s="6" t="s">
        <v>1554</v>
      </c>
      <c r="D1853" s="1" t="s">
        <v>454</v>
      </c>
      <c r="E1853" s="1">
        <v>2172</v>
      </c>
      <c r="F1853" s="28">
        <v>18</v>
      </c>
      <c r="G1853" s="9" t="s">
        <v>2755</v>
      </c>
      <c r="H1853" s="1" t="s">
        <v>3073</v>
      </c>
      <c r="I1853" s="1" t="s">
        <v>3073</v>
      </c>
      <c r="J1853" t="str">
        <f t="shared" si="28"/>
        <v>http://www.badatelna.eu/reprodukce/?fondId=1073&amp;zaznamId=1108958&amp;reproId=3779759</v>
      </c>
      <c r="K1853">
        <f>IF(LEN(TRIM(E1853))=0,"",VLOOKUP(E1853,Sheet2!$B$1:$E$19,2,FALSE))</f>
        <v>1073</v>
      </c>
      <c r="L1853">
        <f>IF(LEN(TRIM(E1853))=0,"",VLOOKUP(E1853,Sheet2!$B$1:$E$19,3,FALSE))</f>
        <v>1108958</v>
      </c>
      <c r="M1853">
        <f>IF(LEN(TRIM(E1853))=0,"",VLOOKUP(E1853,Sheet2!$B$1:$E$19,4,FALSE))+(F1853-1)</f>
        <v>3779759</v>
      </c>
      <c r="N1853"/>
      <c r="O1853"/>
      <c r="P1853"/>
      <c r="Q1853"/>
    </row>
    <row r="1854" spans="1:17" s="1" customFormat="1" ht="15" customHeight="1" x14ac:dyDescent="0.25">
      <c r="A1854" s="28" t="s">
        <v>101</v>
      </c>
      <c r="B1854" s="28" t="s">
        <v>290</v>
      </c>
      <c r="C1854" s="6" t="s">
        <v>1521</v>
      </c>
      <c r="D1854" s="1" t="s">
        <v>454</v>
      </c>
      <c r="E1854" s="1">
        <v>2172</v>
      </c>
      <c r="F1854" s="28">
        <v>12</v>
      </c>
      <c r="G1854" s="9">
        <v>11</v>
      </c>
      <c r="H1854" s="1" t="s">
        <v>3073</v>
      </c>
      <c r="I1854" s="1" t="s">
        <v>3073</v>
      </c>
      <c r="J1854" t="str">
        <f t="shared" si="28"/>
        <v>http://www.badatelna.eu/reprodukce/?fondId=1073&amp;zaznamId=1108958&amp;reproId=3779753</v>
      </c>
      <c r="K1854">
        <f>IF(LEN(TRIM(E1854))=0,"",VLOOKUP(E1854,Sheet2!$B$1:$E$19,2,FALSE))</f>
        <v>1073</v>
      </c>
      <c r="L1854">
        <f>IF(LEN(TRIM(E1854))=0,"",VLOOKUP(E1854,Sheet2!$B$1:$E$19,3,FALSE))</f>
        <v>1108958</v>
      </c>
      <c r="M1854">
        <f>IF(LEN(TRIM(E1854))=0,"",VLOOKUP(E1854,Sheet2!$B$1:$E$19,4,FALSE))+(F1854-1)</f>
        <v>3779753</v>
      </c>
    </row>
    <row r="1855" spans="1:17" s="1" customFormat="1" ht="15" customHeight="1" x14ac:dyDescent="0.25">
      <c r="A1855" s="28" t="s">
        <v>101</v>
      </c>
      <c r="B1855" s="28" t="s">
        <v>2991</v>
      </c>
      <c r="C1855" s="1">
        <v>1849</v>
      </c>
      <c r="D1855" s="1" t="s">
        <v>2919</v>
      </c>
      <c r="E1855" s="1">
        <v>998</v>
      </c>
      <c r="F1855" s="28">
        <v>21</v>
      </c>
      <c r="G1855" s="1">
        <v>19</v>
      </c>
      <c r="H1855" s="1">
        <v>76</v>
      </c>
      <c r="I1855" s="1">
        <v>73</v>
      </c>
      <c r="J1855" t="str">
        <f t="shared" si="28"/>
        <v>http://www.badatelna.eu/reprodukce/?fondId=241&amp;zaznamId=1133738&amp;reproId=3885667</v>
      </c>
      <c r="K1855">
        <f>IF(LEN(TRIM(E1855))=0,"",VLOOKUP(E1855,Sheet2!$B$1:$E$19,2,FALSE))</f>
        <v>241</v>
      </c>
      <c r="L1855">
        <f>IF(LEN(TRIM(E1855))=0,"",VLOOKUP(E1855,Sheet2!$B$1:$E$19,3,FALSE))</f>
        <v>1133738</v>
      </c>
      <c r="M1855">
        <f>IF(LEN(TRIM(E1855))=0,"",VLOOKUP(E1855,Sheet2!$B$1:$E$19,4,FALSE))+(F1855-1)</f>
        <v>3885667</v>
      </c>
    </row>
    <row r="1856" spans="1:17" s="1" customFormat="1" ht="15" customHeight="1" x14ac:dyDescent="0.25">
      <c r="A1856" s="27" t="s">
        <v>101</v>
      </c>
      <c r="B1856" s="27" t="s">
        <v>477</v>
      </c>
      <c r="C1856" s="5" t="s">
        <v>1321</v>
      </c>
      <c r="D1856" s="3" t="s">
        <v>454</v>
      </c>
      <c r="E1856" s="3">
        <v>2170</v>
      </c>
      <c r="F1856" s="28">
        <v>52</v>
      </c>
      <c r="G1856" s="10">
        <v>48</v>
      </c>
      <c r="H1856" s="3">
        <v>69</v>
      </c>
      <c r="I1856" s="3">
        <v>65</v>
      </c>
      <c r="J1856" t="str">
        <f t="shared" si="28"/>
        <v>http://www.badatelna.eu/reprodukce/?fondId=1073&amp;zaznamId=1108956&amp;reproId=3779644</v>
      </c>
      <c r="K1856">
        <f>IF(LEN(TRIM(E1856))=0,"",VLOOKUP(E1856,Sheet2!$B$1:$E$19,2,FALSE))</f>
        <v>1073</v>
      </c>
      <c r="L1856">
        <f>IF(LEN(TRIM(E1856))=0,"",VLOOKUP(E1856,Sheet2!$B$1:$E$19,3,FALSE))</f>
        <v>1108956</v>
      </c>
      <c r="M1856">
        <f>IF(LEN(TRIM(E1856))=0,"",VLOOKUP(E1856,Sheet2!$B$1:$E$19,4,FALSE))+(F1856-1)</f>
        <v>3779644</v>
      </c>
    </row>
    <row r="1857" spans="1:17" s="1" customFormat="1" ht="15" customHeight="1" x14ac:dyDescent="0.25">
      <c r="A1857" s="28" t="s">
        <v>101</v>
      </c>
      <c r="B1857" s="28" t="s">
        <v>538</v>
      </c>
      <c r="C1857" s="6" t="s">
        <v>1720</v>
      </c>
      <c r="D1857" s="1" t="s">
        <v>454</v>
      </c>
      <c r="E1857" s="1">
        <v>2172</v>
      </c>
      <c r="F1857" s="28">
        <v>121</v>
      </c>
      <c r="G1857" s="9">
        <v>120</v>
      </c>
      <c r="H1857" s="1">
        <v>123</v>
      </c>
      <c r="I1857" s="1">
        <v>122</v>
      </c>
      <c r="J1857" t="str">
        <f t="shared" si="28"/>
        <v>http://www.badatelna.eu/reprodukce/?fondId=1073&amp;zaznamId=1108958&amp;reproId=3779862</v>
      </c>
      <c r="K1857">
        <f>IF(LEN(TRIM(E1857))=0,"",VLOOKUP(E1857,Sheet2!$B$1:$E$19,2,FALSE))</f>
        <v>1073</v>
      </c>
      <c r="L1857">
        <f>IF(LEN(TRIM(E1857))=0,"",VLOOKUP(E1857,Sheet2!$B$1:$E$19,3,FALSE))</f>
        <v>1108958</v>
      </c>
      <c r="M1857">
        <f>IF(LEN(TRIM(E1857))=0,"",VLOOKUP(E1857,Sheet2!$B$1:$E$19,4,FALSE))+(F1857-1)</f>
        <v>3779862</v>
      </c>
      <c r="N1857"/>
      <c r="O1857"/>
      <c r="P1857"/>
      <c r="Q1857"/>
    </row>
    <row r="1858" spans="1:17" s="1" customFormat="1" ht="15" customHeight="1" x14ac:dyDescent="0.25">
      <c r="A1858" s="28" t="s">
        <v>101</v>
      </c>
      <c r="B1858" s="28" t="s">
        <v>382</v>
      </c>
      <c r="C1858" s="6" t="s">
        <v>1664</v>
      </c>
      <c r="D1858" s="1" t="s">
        <v>454</v>
      </c>
      <c r="E1858" s="1">
        <v>2172</v>
      </c>
      <c r="F1858" s="28">
        <v>100</v>
      </c>
      <c r="G1858" s="9">
        <v>99</v>
      </c>
      <c r="H1858" s="1">
        <v>103</v>
      </c>
      <c r="I1858" s="1">
        <v>102</v>
      </c>
      <c r="J1858" t="str">
        <f t="shared" si="28"/>
        <v>http://www.badatelna.eu/reprodukce/?fondId=1073&amp;zaznamId=1108958&amp;reproId=3779841</v>
      </c>
      <c r="K1858">
        <f>IF(LEN(TRIM(E1858))=0,"",VLOOKUP(E1858,Sheet2!$B$1:$E$19,2,FALSE))</f>
        <v>1073</v>
      </c>
      <c r="L1858">
        <f>IF(LEN(TRIM(E1858))=0,"",VLOOKUP(E1858,Sheet2!$B$1:$E$19,3,FALSE))</f>
        <v>1108958</v>
      </c>
      <c r="M1858">
        <f>IF(LEN(TRIM(E1858))=0,"",VLOOKUP(E1858,Sheet2!$B$1:$E$19,4,FALSE))+(F1858-1)</f>
        <v>3779841</v>
      </c>
      <c r="N1858"/>
      <c r="O1858"/>
      <c r="P1858"/>
      <c r="Q1858"/>
    </row>
    <row r="1859" spans="1:17" s="1" customFormat="1" ht="15" customHeight="1" x14ac:dyDescent="0.25">
      <c r="A1859" s="28" t="s">
        <v>101</v>
      </c>
      <c r="B1859" s="28" t="s">
        <v>922</v>
      </c>
      <c r="C1859" s="6" t="s">
        <v>1787</v>
      </c>
      <c r="D1859" s="1" t="s">
        <v>454</v>
      </c>
      <c r="E1859" s="1">
        <v>2172</v>
      </c>
      <c r="F1859" s="28">
        <v>153</v>
      </c>
      <c r="G1859" s="9">
        <v>148</v>
      </c>
      <c r="H1859" s="1">
        <v>154</v>
      </c>
      <c r="I1859" s="1">
        <v>149</v>
      </c>
      <c r="J1859" t="str">
        <f t="shared" ref="J1859:J1922" si="29">IF(LEN(TRIM(E1859))=0,"","http://www.badatelna.eu/reprodukce/?fondId="&amp;K1859&amp;"&amp;zaznamId="&amp;L1859&amp;"&amp;reproId="&amp;M1859)</f>
        <v>http://www.badatelna.eu/reprodukce/?fondId=1073&amp;zaznamId=1108958&amp;reproId=3779894</v>
      </c>
      <c r="K1859">
        <f>IF(LEN(TRIM(E1859))=0,"",VLOOKUP(E1859,Sheet2!$B$1:$E$19,2,FALSE))</f>
        <v>1073</v>
      </c>
      <c r="L1859">
        <f>IF(LEN(TRIM(E1859))=0,"",VLOOKUP(E1859,Sheet2!$B$1:$E$19,3,FALSE))</f>
        <v>1108958</v>
      </c>
      <c r="M1859">
        <f>IF(LEN(TRIM(E1859))=0,"",VLOOKUP(E1859,Sheet2!$B$1:$E$19,4,FALSE))+(F1859-1)</f>
        <v>3779894</v>
      </c>
      <c r="N1859"/>
      <c r="O1859"/>
      <c r="P1859"/>
      <c r="Q1859"/>
    </row>
    <row r="1860" spans="1:17" s="1" customFormat="1" ht="15" customHeight="1" x14ac:dyDescent="0.25">
      <c r="A1860" s="28" t="s">
        <v>101</v>
      </c>
      <c r="B1860" s="28" t="s">
        <v>332</v>
      </c>
      <c r="C1860" s="6" t="s">
        <v>2140</v>
      </c>
      <c r="D1860" s="1" t="s">
        <v>454</v>
      </c>
      <c r="E1860" s="1">
        <v>2173</v>
      </c>
      <c r="F1860" s="28">
        <v>178</v>
      </c>
      <c r="G1860" s="9">
        <v>2</v>
      </c>
      <c r="H1860" s="1">
        <v>191</v>
      </c>
      <c r="I1860" s="1">
        <v>424</v>
      </c>
      <c r="J1860" t="str">
        <f t="shared" si="29"/>
        <v>http://www.badatelna.eu/reprodukce/?fondId=1073&amp;zaznamId=1108959&amp;reproId=3780171</v>
      </c>
      <c r="K1860">
        <f>IF(LEN(TRIM(E1860))=0,"",VLOOKUP(E1860,Sheet2!$B$1:$E$19,2,FALSE))</f>
        <v>1073</v>
      </c>
      <c r="L1860">
        <f>IF(LEN(TRIM(E1860))=0,"",VLOOKUP(E1860,Sheet2!$B$1:$E$19,3,FALSE))</f>
        <v>1108959</v>
      </c>
      <c r="M1860">
        <f>IF(LEN(TRIM(E1860))=0,"",VLOOKUP(E1860,Sheet2!$B$1:$E$19,4,FALSE))+(F1860-1)</f>
        <v>3780171</v>
      </c>
    </row>
    <row r="1861" spans="1:17" s="1" customFormat="1" ht="15" customHeight="1" x14ac:dyDescent="0.25">
      <c r="A1861" s="28" t="s">
        <v>101</v>
      </c>
      <c r="B1861" s="28" t="s">
        <v>974</v>
      </c>
      <c r="C1861" s="6" t="s">
        <v>1769</v>
      </c>
      <c r="D1861" s="1" t="s">
        <v>454</v>
      </c>
      <c r="E1861" s="1">
        <v>2172</v>
      </c>
      <c r="F1861" s="28">
        <v>143</v>
      </c>
      <c r="G1861" s="9">
        <v>140</v>
      </c>
      <c r="H1861" s="1">
        <v>145</v>
      </c>
      <c r="I1861" s="1">
        <v>142</v>
      </c>
      <c r="J1861" t="str">
        <f t="shared" si="29"/>
        <v>http://www.badatelna.eu/reprodukce/?fondId=1073&amp;zaznamId=1108958&amp;reproId=3779884</v>
      </c>
      <c r="K1861">
        <f>IF(LEN(TRIM(E1861))=0,"",VLOOKUP(E1861,Sheet2!$B$1:$E$19,2,FALSE))</f>
        <v>1073</v>
      </c>
      <c r="L1861">
        <f>IF(LEN(TRIM(E1861))=0,"",VLOOKUP(E1861,Sheet2!$B$1:$E$19,3,FALSE))</f>
        <v>1108958</v>
      </c>
      <c r="M1861">
        <f>IF(LEN(TRIM(E1861))=0,"",VLOOKUP(E1861,Sheet2!$B$1:$E$19,4,FALSE))+(F1861-1)</f>
        <v>3779884</v>
      </c>
      <c r="N1861"/>
      <c r="O1861"/>
      <c r="P1861"/>
      <c r="Q1861"/>
    </row>
    <row r="1862" spans="1:17" s="1" customFormat="1" ht="15" customHeight="1" x14ac:dyDescent="0.25">
      <c r="A1862" s="28" t="s">
        <v>101</v>
      </c>
      <c r="B1862" s="28" t="s">
        <v>437</v>
      </c>
      <c r="C1862" s="6" t="s">
        <v>1832</v>
      </c>
      <c r="D1862" s="1" t="s">
        <v>454</v>
      </c>
      <c r="E1862" s="1">
        <v>2172</v>
      </c>
      <c r="F1862" s="28">
        <v>172</v>
      </c>
      <c r="G1862" s="9" t="s">
        <v>3092</v>
      </c>
      <c r="H1862" s="1" t="s">
        <v>3073</v>
      </c>
      <c r="I1862" s="1" t="s">
        <v>3073</v>
      </c>
      <c r="J1862" t="str">
        <f t="shared" si="29"/>
        <v>http://www.badatelna.eu/reprodukce/?fondId=1073&amp;zaznamId=1108958&amp;reproId=3779913</v>
      </c>
      <c r="K1862">
        <f>IF(LEN(TRIM(E1862))=0,"",VLOOKUP(E1862,Sheet2!$B$1:$E$19,2,FALSE))</f>
        <v>1073</v>
      </c>
      <c r="L1862">
        <f>IF(LEN(TRIM(E1862))=0,"",VLOOKUP(E1862,Sheet2!$B$1:$E$19,3,FALSE))</f>
        <v>1108958</v>
      </c>
      <c r="M1862">
        <f>IF(LEN(TRIM(E1862))=0,"",VLOOKUP(E1862,Sheet2!$B$1:$E$19,4,FALSE))+(F1862-1)</f>
        <v>3779913</v>
      </c>
    </row>
    <row r="1863" spans="1:17" s="1" customFormat="1" ht="15" customHeight="1" x14ac:dyDescent="0.25">
      <c r="A1863" s="28" t="s">
        <v>101</v>
      </c>
      <c r="B1863" s="28" t="s">
        <v>551</v>
      </c>
      <c r="C1863" s="6" t="s">
        <v>1588</v>
      </c>
      <c r="D1863" s="1" t="s">
        <v>454</v>
      </c>
      <c r="E1863" s="1">
        <v>2172</v>
      </c>
      <c r="F1863" s="28">
        <v>64</v>
      </c>
      <c r="G1863" s="9">
        <v>63</v>
      </c>
      <c r="H1863" s="1" t="s">
        <v>3073</v>
      </c>
      <c r="I1863" s="1" t="s">
        <v>3073</v>
      </c>
      <c r="J1863" t="str">
        <f t="shared" si="29"/>
        <v>http://www.badatelna.eu/reprodukce/?fondId=1073&amp;zaznamId=1108958&amp;reproId=3779805</v>
      </c>
      <c r="K1863">
        <f>IF(LEN(TRIM(E1863))=0,"",VLOOKUP(E1863,Sheet2!$B$1:$E$19,2,FALSE))</f>
        <v>1073</v>
      </c>
      <c r="L1863">
        <f>IF(LEN(TRIM(E1863))=0,"",VLOOKUP(E1863,Sheet2!$B$1:$E$19,3,FALSE))</f>
        <v>1108958</v>
      </c>
      <c r="M1863">
        <f>IF(LEN(TRIM(E1863))=0,"",VLOOKUP(E1863,Sheet2!$B$1:$E$19,4,FALSE))+(F1863-1)</f>
        <v>3779805</v>
      </c>
    </row>
    <row r="1864" spans="1:17" s="1" customFormat="1" ht="15" customHeight="1" x14ac:dyDescent="0.25">
      <c r="A1864" s="28" t="s">
        <v>101</v>
      </c>
      <c r="B1864" s="28" t="s">
        <v>183</v>
      </c>
      <c r="C1864" s="6" t="s">
        <v>2886</v>
      </c>
      <c r="D1864" s="1" t="s">
        <v>454</v>
      </c>
      <c r="E1864" s="1">
        <v>2173</v>
      </c>
      <c r="F1864" s="28">
        <v>211</v>
      </c>
      <c r="G1864" s="9" t="s">
        <v>2760</v>
      </c>
      <c r="H1864" s="1" t="s">
        <v>3073</v>
      </c>
      <c r="I1864" s="1" t="s">
        <v>3073</v>
      </c>
      <c r="J1864" t="str">
        <f t="shared" si="29"/>
        <v>http://www.badatelna.eu/reprodukce/?fondId=1073&amp;zaznamId=1108959&amp;reproId=3780204</v>
      </c>
      <c r="K1864">
        <f>IF(LEN(TRIM(E1864))=0,"",VLOOKUP(E1864,Sheet2!$B$1:$E$19,2,FALSE))</f>
        <v>1073</v>
      </c>
      <c r="L1864">
        <f>IF(LEN(TRIM(E1864))=0,"",VLOOKUP(E1864,Sheet2!$B$1:$E$19,3,FALSE))</f>
        <v>1108959</v>
      </c>
      <c r="M1864">
        <f>IF(LEN(TRIM(E1864))=0,"",VLOOKUP(E1864,Sheet2!$B$1:$E$19,4,FALSE))+(F1864-1)</f>
        <v>3780204</v>
      </c>
    </row>
    <row r="1865" spans="1:17" s="1" customFormat="1" ht="15" customHeight="1" x14ac:dyDescent="0.25">
      <c r="A1865" s="28" t="s">
        <v>101</v>
      </c>
      <c r="B1865" s="28" t="s">
        <v>84</v>
      </c>
      <c r="C1865" s="1">
        <v>1882</v>
      </c>
      <c r="D1865" s="1" t="s">
        <v>454</v>
      </c>
      <c r="E1865" s="1">
        <v>2172</v>
      </c>
      <c r="F1865" s="29">
        <v>28</v>
      </c>
      <c r="G1865" s="9" t="s">
        <v>2757</v>
      </c>
      <c r="H1865" s="1">
        <v>30</v>
      </c>
      <c r="I1865" s="1">
        <v>29</v>
      </c>
      <c r="J1865" t="str">
        <f t="shared" si="29"/>
        <v>http://www.badatelna.eu/reprodukce/?fondId=1073&amp;zaznamId=1108958&amp;reproId=3779769</v>
      </c>
      <c r="K1865">
        <f>IF(LEN(TRIM(E1865))=0,"",VLOOKUP(E1865,Sheet2!$B$1:$E$19,2,FALSE))</f>
        <v>1073</v>
      </c>
      <c r="L1865">
        <f>IF(LEN(TRIM(E1865))=0,"",VLOOKUP(E1865,Sheet2!$B$1:$E$19,3,FALSE))</f>
        <v>1108958</v>
      </c>
      <c r="M1865">
        <f>IF(LEN(TRIM(E1865))=0,"",VLOOKUP(E1865,Sheet2!$B$1:$E$19,4,FALSE))+(F1865-1)</f>
        <v>3779769</v>
      </c>
    </row>
    <row r="1866" spans="1:17" s="1" customFormat="1" ht="15" customHeight="1" x14ac:dyDescent="0.25">
      <c r="A1866" s="27" t="s">
        <v>101</v>
      </c>
      <c r="B1866" s="27" t="s">
        <v>434</v>
      </c>
      <c r="C1866" s="5" t="s">
        <v>1322</v>
      </c>
      <c r="D1866" s="3" t="s">
        <v>454</v>
      </c>
      <c r="E1866" s="3">
        <v>2170</v>
      </c>
      <c r="F1866" s="28">
        <v>58</v>
      </c>
      <c r="G1866" s="10">
        <v>54</v>
      </c>
      <c r="H1866" s="3">
        <v>69</v>
      </c>
      <c r="I1866" s="3">
        <v>65</v>
      </c>
      <c r="J1866" t="str">
        <f t="shared" si="29"/>
        <v>http://www.badatelna.eu/reprodukce/?fondId=1073&amp;zaznamId=1108956&amp;reproId=3779650</v>
      </c>
      <c r="K1866">
        <f>IF(LEN(TRIM(E1866))=0,"",VLOOKUP(E1866,Sheet2!$B$1:$E$19,2,FALSE))</f>
        <v>1073</v>
      </c>
      <c r="L1866">
        <f>IF(LEN(TRIM(E1866))=0,"",VLOOKUP(E1866,Sheet2!$B$1:$E$19,3,FALSE))</f>
        <v>1108956</v>
      </c>
      <c r="M1866">
        <f>IF(LEN(TRIM(E1866))=0,"",VLOOKUP(E1866,Sheet2!$B$1:$E$19,4,FALSE))+(F1866-1)</f>
        <v>3779650</v>
      </c>
    </row>
    <row r="1867" spans="1:17" s="1" customFormat="1" ht="15" customHeight="1" x14ac:dyDescent="0.25">
      <c r="A1867" s="28" t="s">
        <v>101</v>
      </c>
      <c r="B1867" s="28" t="s">
        <v>496</v>
      </c>
      <c r="C1867" s="6" t="s">
        <v>1742</v>
      </c>
      <c r="D1867" s="1" t="s">
        <v>454</v>
      </c>
      <c r="E1867" s="1">
        <v>2172</v>
      </c>
      <c r="F1867" s="28">
        <v>131</v>
      </c>
      <c r="G1867" s="9" t="s">
        <v>2782</v>
      </c>
      <c r="H1867" s="1">
        <v>132</v>
      </c>
      <c r="I1867" s="1">
        <v>131</v>
      </c>
      <c r="J1867" t="str">
        <f t="shared" si="29"/>
        <v>http://www.badatelna.eu/reprodukce/?fondId=1073&amp;zaznamId=1108958&amp;reproId=3779872</v>
      </c>
      <c r="K1867">
        <f>IF(LEN(TRIM(E1867))=0,"",VLOOKUP(E1867,Sheet2!$B$1:$E$19,2,FALSE))</f>
        <v>1073</v>
      </c>
      <c r="L1867">
        <f>IF(LEN(TRIM(E1867))=0,"",VLOOKUP(E1867,Sheet2!$B$1:$E$19,3,FALSE))</f>
        <v>1108958</v>
      </c>
      <c r="M1867">
        <f>IF(LEN(TRIM(E1867))=0,"",VLOOKUP(E1867,Sheet2!$B$1:$E$19,4,FALSE))+(F1867-1)</f>
        <v>3779872</v>
      </c>
    </row>
    <row r="1868" spans="1:17" s="1" customFormat="1" ht="15" customHeight="1" x14ac:dyDescent="0.25">
      <c r="A1868" s="28" t="s">
        <v>101</v>
      </c>
      <c r="B1868" s="28" t="s">
        <v>246</v>
      </c>
      <c r="C1868" s="6" t="s">
        <v>2137</v>
      </c>
      <c r="D1868" s="1" t="s">
        <v>454</v>
      </c>
      <c r="E1868" s="1">
        <v>2173</v>
      </c>
      <c r="F1868" s="28">
        <v>178</v>
      </c>
      <c r="G1868" s="9">
        <v>3</v>
      </c>
      <c r="H1868" s="1">
        <v>191</v>
      </c>
      <c r="I1868" s="1">
        <v>424</v>
      </c>
      <c r="J1868" t="str">
        <f t="shared" si="29"/>
        <v>http://www.badatelna.eu/reprodukce/?fondId=1073&amp;zaznamId=1108959&amp;reproId=3780171</v>
      </c>
      <c r="K1868">
        <f>IF(LEN(TRIM(E1868))=0,"",VLOOKUP(E1868,Sheet2!$B$1:$E$19,2,FALSE))</f>
        <v>1073</v>
      </c>
      <c r="L1868">
        <f>IF(LEN(TRIM(E1868))=0,"",VLOOKUP(E1868,Sheet2!$B$1:$E$19,3,FALSE))</f>
        <v>1108959</v>
      </c>
      <c r="M1868">
        <f>IF(LEN(TRIM(E1868))=0,"",VLOOKUP(E1868,Sheet2!$B$1:$E$19,4,FALSE))+(F1868-1)</f>
        <v>3780171</v>
      </c>
    </row>
    <row r="1869" spans="1:17" s="1" customFormat="1" ht="15" customHeight="1" x14ac:dyDescent="0.25">
      <c r="A1869" s="28" t="s">
        <v>101</v>
      </c>
      <c r="B1869" s="28" t="s">
        <v>246</v>
      </c>
      <c r="C1869" s="6" t="s">
        <v>2137</v>
      </c>
      <c r="D1869" s="1" t="s">
        <v>454</v>
      </c>
      <c r="E1869" s="1">
        <v>2173</v>
      </c>
      <c r="F1869" s="29">
        <v>178</v>
      </c>
      <c r="G1869" s="20" t="s">
        <v>2767</v>
      </c>
      <c r="H1869" s="17">
        <v>191</v>
      </c>
      <c r="I1869" s="17">
        <v>424</v>
      </c>
      <c r="J1869" t="str">
        <f t="shared" si="29"/>
        <v>http://www.badatelna.eu/reprodukce/?fondId=1073&amp;zaznamId=1108959&amp;reproId=3780171</v>
      </c>
      <c r="K1869">
        <f>IF(LEN(TRIM(E1869))=0,"",VLOOKUP(E1869,Sheet2!$B$1:$E$19,2,FALSE))</f>
        <v>1073</v>
      </c>
      <c r="L1869">
        <f>IF(LEN(TRIM(E1869))=0,"",VLOOKUP(E1869,Sheet2!$B$1:$E$19,3,FALSE))</f>
        <v>1108959</v>
      </c>
      <c r="M1869">
        <f>IF(LEN(TRIM(E1869))=0,"",VLOOKUP(E1869,Sheet2!$B$1:$E$19,4,FALSE))+(F1869-1)</f>
        <v>3780171</v>
      </c>
      <c r="N1869"/>
      <c r="O1869"/>
      <c r="P1869"/>
      <c r="Q1869"/>
    </row>
    <row r="1870" spans="1:17" s="1" customFormat="1" ht="15" customHeight="1" x14ac:dyDescent="0.25">
      <c r="A1870" s="27" t="s">
        <v>101</v>
      </c>
      <c r="B1870" s="27" t="s">
        <v>25</v>
      </c>
      <c r="C1870" s="5" t="s">
        <v>1320</v>
      </c>
      <c r="D1870" s="3" t="s">
        <v>454</v>
      </c>
      <c r="E1870" s="3">
        <v>2171</v>
      </c>
      <c r="F1870" s="28">
        <v>61</v>
      </c>
      <c r="G1870" s="10">
        <v>47</v>
      </c>
      <c r="H1870" s="3">
        <v>61</v>
      </c>
      <c r="I1870" s="3">
        <v>47</v>
      </c>
      <c r="J1870" t="str">
        <f t="shared" si="29"/>
        <v>http://www.badatelna.eu/reprodukce/?fondId=1073&amp;zaznamId=1108957&amp;reproId=3779728</v>
      </c>
      <c r="K1870">
        <f>IF(LEN(TRIM(E1870))=0,"",VLOOKUP(E1870,Sheet2!$B$1:$E$19,2,FALSE))</f>
        <v>1073</v>
      </c>
      <c r="L1870">
        <f>IF(LEN(TRIM(E1870))=0,"",VLOOKUP(E1870,Sheet2!$B$1:$E$19,3,FALSE))</f>
        <v>1108957</v>
      </c>
      <c r="M1870">
        <f>IF(LEN(TRIM(E1870))=0,"",VLOOKUP(E1870,Sheet2!$B$1:$E$19,4,FALSE))+(F1870-1)</f>
        <v>3779728</v>
      </c>
    </row>
    <row r="1871" spans="1:17" s="1" customFormat="1" ht="15" customHeight="1" x14ac:dyDescent="0.25">
      <c r="A1871" s="27" t="s">
        <v>101</v>
      </c>
      <c r="B1871" s="27" t="s">
        <v>25</v>
      </c>
      <c r="C1871" s="5" t="s">
        <v>1297</v>
      </c>
      <c r="D1871" s="3" t="s">
        <v>454</v>
      </c>
      <c r="E1871" s="3">
        <v>2170</v>
      </c>
      <c r="F1871" s="28">
        <v>25</v>
      </c>
      <c r="G1871" s="10">
        <v>21</v>
      </c>
      <c r="H1871" s="3">
        <v>68</v>
      </c>
      <c r="I1871" s="3">
        <v>64</v>
      </c>
      <c r="J1871" t="str">
        <f t="shared" si="29"/>
        <v>http://www.badatelna.eu/reprodukce/?fondId=1073&amp;zaznamId=1108956&amp;reproId=3779617</v>
      </c>
      <c r="K1871">
        <f>IF(LEN(TRIM(E1871))=0,"",VLOOKUP(E1871,Sheet2!$B$1:$E$19,2,FALSE))</f>
        <v>1073</v>
      </c>
      <c r="L1871">
        <f>IF(LEN(TRIM(E1871))=0,"",VLOOKUP(E1871,Sheet2!$B$1:$E$19,3,FALSE))</f>
        <v>1108956</v>
      </c>
      <c r="M1871">
        <f>IF(LEN(TRIM(E1871))=0,"",VLOOKUP(E1871,Sheet2!$B$1:$E$19,4,FALSE))+(F1871-1)</f>
        <v>3779617</v>
      </c>
      <c r="N1871"/>
      <c r="O1871"/>
      <c r="P1871"/>
      <c r="Q1871"/>
    </row>
    <row r="1872" spans="1:17" s="1" customFormat="1" ht="15" customHeight="1" x14ac:dyDescent="0.25">
      <c r="A1872" s="28" t="s">
        <v>101</v>
      </c>
      <c r="B1872" s="28" t="s">
        <v>2836</v>
      </c>
      <c r="C1872" s="6" t="s">
        <v>2747</v>
      </c>
      <c r="D1872" s="1" t="s">
        <v>454</v>
      </c>
      <c r="E1872" s="1">
        <v>2173</v>
      </c>
      <c r="F1872" s="28">
        <v>209</v>
      </c>
      <c r="G1872" s="9" t="s">
        <v>2757</v>
      </c>
      <c r="H1872" s="1" t="s">
        <v>3073</v>
      </c>
      <c r="I1872" s="1" t="s">
        <v>3073</v>
      </c>
      <c r="J1872" t="str">
        <f t="shared" si="29"/>
        <v>http://www.badatelna.eu/reprodukce/?fondId=1073&amp;zaznamId=1108959&amp;reproId=3780202</v>
      </c>
      <c r="K1872">
        <f>IF(LEN(TRIM(E1872))=0,"",VLOOKUP(E1872,Sheet2!$B$1:$E$19,2,FALSE))</f>
        <v>1073</v>
      </c>
      <c r="L1872">
        <f>IF(LEN(TRIM(E1872))=0,"",VLOOKUP(E1872,Sheet2!$B$1:$E$19,3,FALSE))</f>
        <v>1108959</v>
      </c>
      <c r="M1872">
        <f>IF(LEN(TRIM(E1872))=0,"",VLOOKUP(E1872,Sheet2!$B$1:$E$19,4,FALSE))+(F1872-1)</f>
        <v>3780202</v>
      </c>
    </row>
    <row r="1873" spans="1:17" s="1" customFormat="1" ht="15" customHeight="1" x14ac:dyDescent="0.25">
      <c r="A1873" s="28" t="s">
        <v>101</v>
      </c>
      <c r="B1873" s="28" t="s">
        <v>305</v>
      </c>
      <c r="C1873" s="6" t="s">
        <v>2138</v>
      </c>
      <c r="D1873" s="1" t="s">
        <v>454</v>
      </c>
      <c r="E1873" s="1">
        <v>2173</v>
      </c>
      <c r="F1873" s="28">
        <v>178</v>
      </c>
      <c r="G1873" s="9">
        <v>3</v>
      </c>
      <c r="H1873" s="1">
        <v>191</v>
      </c>
      <c r="I1873" s="1">
        <v>424</v>
      </c>
      <c r="J1873" t="str">
        <f t="shared" si="29"/>
        <v>http://www.badatelna.eu/reprodukce/?fondId=1073&amp;zaznamId=1108959&amp;reproId=3780171</v>
      </c>
      <c r="K1873">
        <f>IF(LEN(TRIM(E1873))=0,"",VLOOKUP(E1873,Sheet2!$B$1:$E$19,2,FALSE))</f>
        <v>1073</v>
      </c>
      <c r="L1873">
        <f>IF(LEN(TRIM(E1873))=0,"",VLOOKUP(E1873,Sheet2!$B$1:$E$19,3,FALSE))</f>
        <v>1108959</v>
      </c>
      <c r="M1873">
        <f>IF(LEN(TRIM(E1873))=0,"",VLOOKUP(E1873,Sheet2!$B$1:$E$19,4,FALSE))+(F1873-1)</f>
        <v>3780171</v>
      </c>
      <c r="N1873"/>
      <c r="O1873"/>
      <c r="P1873"/>
      <c r="Q1873"/>
    </row>
    <row r="1874" spans="1:17" s="1" customFormat="1" ht="15" customHeight="1" x14ac:dyDescent="0.25">
      <c r="A1874" s="28" t="s">
        <v>101</v>
      </c>
      <c r="B1874" s="28" t="s">
        <v>975</v>
      </c>
      <c r="C1874" s="6" t="s">
        <v>1611</v>
      </c>
      <c r="D1874" s="1" t="s">
        <v>454</v>
      </c>
      <c r="E1874" s="1">
        <v>2172</v>
      </c>
      <c r="F1874" s="28">
        <v>74</v>
      </c>
      <c r="G1874" s="9">
        <v>73</v>
      </c>
      <c r="H1874" s="1">
        <v>77</v>
      </c>
      <c r="I1874" s="1">
        <v>76</v>
      </c>
      <c r="J1874" t="str">
        <f t="shared" si="29"/>
        <v>http://www.badatelna.eu/reprodukce/?fondId=1073&amp;zaznamId=1108958&amp;reproId=3779815</v>
      </c>
      <c r="K1874">
        <f>IF(LEN(TRIM(E1874))=0,"",VLOOKUP(E1874,Sheet2!$B$1:$E$19,2,FALSE))</f>
        <v>1073</v>
      </c>
      <c r="L1874">
        <f>IF(LEN(TRIM(E1874))=0,"",VLOOKUP(E1874,Sheet2!$B$1:$E$19,3,FALSE))</f>
        <v>1108958</v>
      </c>
      <c r="M1874">
        <f>IF(LEN(TRIM(E1874))=0,"",VLOOKUP(E1874,Sheet2!$B$1:$E$19,4,FALSE))+(F1874-1)</f>
        <v>3779815</v>
      </c>
    </row>
    <row r="1875" spans="1:17" s="1" customFormat="1" ht="15" customHeight="1" x14ac:dyDescent="0.25">
      <c r="A1875" s="28" t="s">
        <v>101</v>
      </c>
      <c r="B1875" s="29" t="s">
        <v>53</v>
      </c>
      <c r="C1875" s="6" t="s">
        <v>2293</v>
      </c>
      <c r="D1875" s="1" t="s">
        <v>454</v>
      </c>
      <c r="E1875" s="1">
        <v>2173</v>
      </c>
      <c r="F1875" s="28">
        <v>198</v>
      </c>
      <c r="G1875" s="9">
        <v>6</v>
      </c>
      <c r="H1875" s="1" t="s">
        <v>3073</v>
      </c>
      <c r="I1875" s="1" t="s">
        <v>3073</v>
      </c>
      <c r="J1875" t="str">
        <f t="shared" si="29"/>
        <v>http://www.badatelna.eu/reprodukce/?fondId=1073&amp;zaznamId=1108959&amp;reproId=3780191</v>
      </c>
      <c r="K1875">
        <f>IF(LEN(TRIM(E1875))=0,"",VLOOKUP(E1875,Sheet2!$B$1:$E$19,2,FALSE))</f>
        <v>1073</v>
      </c>
      <c r="L1875">
        <f>IF(LEN(TRIM(E1875))=0,"",VLOOKUP(E1875,Sheet2!$B$1:$E$19,3,FALSE))</f>
        <v>1108959</v>
      </c>
      <c r="M1875">
        <f>IF(LEN(TRIM(E1875))=0,"",VLOOKUP(E1875,Sheet2!$B$1:$E$19,4,FALSE))+(F1875-1)</f>
        <v>3780191</v>
      </c>
      <c r="N1875"/>
      <c r="O1875"/>
      <c r="P1875"/>
      <c r="Q1875"/>
    </row>
    <row r="1876" spans="1:17" s="1" customFormat="1" ht="15" customHeight="1" x14ac:dyDescent="0.25">
      <c r="A1876" s="28" t="s">
        <v>101</v>
      </c>
      <c r="B1876" s="28" t="s">
        <v>53</v>
      </c>
      <c r="C1876" s="6" t="s">
        <v>2644</v>
      </c>
      <c r="D1876" s="1" t="s">
        <v>454</v>
      </c>
      <c r="E1876" s="1">
        <v>2173</v>
      </c>
      <c r="F1876" s="28">
        <v>221</v>
      </c>
      <c r="G1876" s="9">
        <v>49</v>
      </c>
      <c r="H1876" s="1" t="s">
        <v>3073</v>
      </c>
      <c r="I1876" s="1" t="s">
        <v>3073</v>
      </c>
      <c r="J1876" t="str">
        <f t="shared" si="29"/>
        <v>http://www.badatelna.eu/reprodukce/?fondId=1073&amp;zaznamId=1108959&amp;reproId=3780214</v>
      </c>
      <c r="K1876">
        <f>IF(LEN(TRIM(E1876))=0,"",VLOOKUP(E1876,Sheet2!$B$1:$E$19,2,FALSE))</f>
        <v>1073</v>
      </c>
      <c r="L1876">
        <f>IF(LEN(TRIM(E1876))=0,"",VLOOKUP(E1876,Sheet2!$B$1:$E$19,3,FALSE))</f>
        <v>1108959</v>
      </c>
      <c r="M1876">
        <f>IF(LEN(TRIM(E1876))=0,"",VLOOKUP(E1876,Sheet2!$B$1:$E$19,4,FALSE))+(F1876-1)</f>
        <v>3780214</v>
      </c>
    </row>
    <row r="1877" spans="1:17" s="1" customFormat="1" ht="15" customHeight="1" x14ac:dyDescent="0.25">
      <c r="A1877" s="27" t="s">
        <v>101</v>
      </c>
      <c r="B1877" s="27" t="s">
        <v>198</v>
      </c>
      <c r="C1877" s="5" t="s">
        <v>1319</v>
      </c>
      <c r="D1877" s="3" t="s">
        <v>454</v>
      </c>
      <c r="E1877" s="3">
        <v>2170</v>
      </c>
      <c r="F1877" s="28">
        <v>52</v>
      </c>
      <c r="G1877" s="10">
        <v>48</v>
      </c>
      <c r="H1877" s="3">
        <v>69</v>
      </c>
      <c r="I1877" s="3">
        <v>65</v>
      </c>
      <c r="J1877" t="str">
        <f t="shared" si="29"/>
        <v>http://www.badatelna.eu/reprodukce/?fondId=1073&amp;zaznamId=1108956&amp;reproId=3779644</v>
      </c>
      <c r="K1877">
        <f>IF(LEN(TRIM(E1877))=0,"",VLOOKUP(E1877,Sheet2!$B$1:$E$19,2,FALSE))</f>
        <v>1073</v>
      </c>
      <c r="L1877">
        <f>IF(LEN(TRIM(E1877))=0,"",VLOOKUP(E1877,Sheet2!$B$1:$E$19,3,FALSE))</f>
        <v>1108956</v>
      </c>
      <c r="M1877">
        <f>IF(LEN(TRIM(E1877))=0,"",VLOOKUP(E1877,Sheet2!$B$1:$E$19,4,FALSE))+(F1877-1)</f>
        <v>3779644</v>
      </c>
    </row>
    <row r="1878" spans="1:17" s="1" customFormat="1" ht="15" customHeight="1" x14ac:dyDescent="0.25">
      <c r="A1878" s="27" t="s">
        <v>101</v>
      </c>
      <c r="B1878" s="27" t="s">
        <v>263</v>
      </c>
      <c r="C1878" s="5" t="s">
        <v>1296</v>
      </c>
      <c r="D1878" s="3" t="s">
        <v>454</v>
      </c>
      <c r="E1878" s="3">
        <v>2170</v>
      </c>
      <c r="F1878" s="28">
        <v>32</v>
      </c>
      <c r="G1878" s="10">
        <v>28</v>
      </c>
      <c r="H1878" s="3">
        <v>68</v>
      </c>
      <c r="I1878" s="3">
        <v>64</v>
      </c>
      <c r="J1878" t="str">
        <f t="shared" si="29"/>
        <v>http://www.badatelna.eu/reprodukce/?fondId=1073&amp;zaznamId=1108956&amp;reproId=3779624</v>
      </c>
      <c r="K1878">
        <f>IF(LEN(TRIM(E1878))=0,"",VLOOKUP(E1878,Sheet2!$B$1:$E$19,2,FALSE))</f>
        <v>1073</v>
      </c>
      <c r="L1878">
        <f>IF(LEN(TRIM(E1878))=0,"",VLOOKUP(E1878,Sheet2!$B$1:$E$19,3,FALSE))</f>
        <v>1108956</v>
      </c>
      <c r="M1878">
        <f>IF(LEN(TRIM(E1878))=0,"",VLOOKUP(E1878,Sheet2!$B$1:$E$19,4,FALSE))+(F1878-1)</f>
        <v>3779624</v>
      </c>
      <c r="N1878"/>
      <c r="O1878"/>
      <c r="P1878"/>
      <c r="Q1878"/>
    </row>
    <row r="1879" spans="1:17" s="1" customFormat="1" ht="15" customHeight="1" x14ac:dyDescent="0.25">
      <c r="A1879" s="28" t="s">
        <v>101</v>
      </c>
      <c r="B1879" s="28" t="s">
        <v>511</v>
      </c>
      <c r="C1879" s="1">
        <v>1889</v>
      </c>
      <c r="D1879" s="1" t="s">
        <v>454</v>
      </c>
      <c r="E1879" s="1">
        <v>2172</v>
      </c>
      <c r="F1879" s="28">
        <v>68</v>
      </c>
      <c r="G1879" s="9" t="s">
        <v>3083</v>
      </c>
      <c r="H1879" s="1">
        <v>71</v>
      </c>
      <c r="I1879" s="1">
        <v>70</v>
      </c>
      <c r="J1879" t="str">
        <f t="shared" si="29"/>
        <v>http://www.badatelna.eu/reprodukce/?fondId=1073&amp;zaznamId=1108958&amp;reproId=3779809</v>
      </c>
      <c r="K1879">
        <f>IF(LEN(TRIM(E1879))=0,"",VLOOKUP(E1879,Sheet2!$B$1:$E$19,2,FALSE))</f>
        <v>1073</v>
      </c>
      <c r="L1879">
        <f>IF(LEN(TRIM(E1879))=0,"",VLOOKUP(E1879,Sheet2!$B$1:$E$19,3,FALSE))</f>
        <v>1108958</v>
      </c>
      <c r="M1879">
        <f>IF(LEN(TRIM(E1879))=0,"",VLOOKUP(E1879,Sheet2!$B$1:$E$19,4,FALSE))+(F1879-1)</f>
        <v>3779809</v>
      </c>
      <c r="N1879"/>
      <c r="O1879"/>
      <c r="P1879"/>
      <c r="Q1879"/>
    </row>
    <row r="1880" spans="1:17" s="1" customFormat="1" ht="15" customHeight="1" x14ac:dyDescent="0.25">
      <c r="A1880" s="28" t="s">
        <v>101</v>
      </c>
      <c r="B1880" s="28" t="s">
        <v>511</v>
      </c>
      <c r="C1880" s="6" t="s">
        <v>1868</v>
      </c>
      <c r="D1880" s="1" t="s">
        <v>454</v>
      </c>
      <c r="E1880" s="1">
        <v>2172</v>
      </c>
      <c r="F1880" s="28">
        <v>188</v>
      </c>
      <c r="G1880" s="9">
        <v>178</v>
      </c>
      <c r="H1880" s="1" t="s">
        <v>3073</v>
      </c>
      <c r="I1880" s="1" t="s">
        <v>3073</v>
      </c>
      <c r="J1880" t="str">
        <f t="shared" si="29"/>
        <v>http://www.badatelna.eu/reprodukce/?fondId=1073&amp;zaznamId=1108958&amp;reproId=3779929</v>
      </c>
      <c r="K1880">
        <f>IF(LEN(TRIM(E1880))=0,"",VLOOKUP(E1880,Sheet2!$B$1:$E$19,2,FALSE))</f>
        <v>1073</v>
      </c>
      <c r="L1880">
        <f>IF(LEN(TRIM(E1880))=0,"",VLOOKUP(E1880,Sheet2!$B$1:$E$19,3,FALSE))</f>
        <v>1108958</v>
      </c>
      <c r="M1880">
        <f>IF(LEN(TRIM(E1880))=0,"",VLOOKUP(E1880,Sheet2!$B$1:$E$19,4,FALSE))+(F1880-1)</f>
        <v>3779929</v>
      </c>
    </row>
    <row r="1881" spans="1:17" s="1" customFormat="1" ht="15" customHeight="1" x14ac:dyDescent="0.25">
      <c r="A1881" s="27" t="s">
        <v>101</v>
      </c>
      <c r="B1881" s="27" t="s">
        <v>586</v>
      </c>
      <c r="C1881" s="5" t="s">
        <v>1298</v>
      </c>
      <c r="D1881" s="3" t="s">
        <v>454</v>
      </c>
      <c r="E1881" s="3">
        <v>2170</v>
      </c>
      <c r="F1881" s="28">
        <v>41</v>
      </c>
      <c r="G1881" s="10">
        <v>37</v>
      </c>
      <c r="H1881" s="3">
        <v>68</v>
      </c>
      <c r="I1881" s="3">
        <v>64</v>
      </c>
      <c r="J1881" t="str">
        <f t="shared" si="29"/>
        <v>http://www.badatelna.eu/reprodukce/?fondId=1073&amp;zaznamId=1108956&amp;reproId=3779633</v>
      </c>
      <c r="K1881">
        <f>IF(LEN(TRIM(E1881))=0,"",VLOOKUP(E1881,Sheet2!$B$1:$E$19,2,FALSE))</f>
        <v>1073</v>
      </c>
      <c r="L1881">
        <f>IF(LEN(TRIM(E1881))=0,"",VLOOKUP(E1881,Sheet2!$B$1:$E$19,3,FALSE))</f>
        <v>1108956</v>
      </c>
      <c r="M1881">
        <f>IF(LEN(TRIM(E1881))=0,"",VLOOKUP(E1881,Sheet2!$B$1:$E$19,4,FALSE))+(F1881-1)</f>
        <v>3779633</v>
      </c>
    </row>
    <row r="1882" spans="1:17" s="1" customFormat="1" ht="15" customHeight="1" x14ac:dyDescent="0.25">
      <c r="A1882" s="28" t="s">
        <v>101</v>
      </c>
      <c r="B1882" s="28" t="s">
        <v>314</v>
      </c>
      <c r="C1882" s="1">
        <v>1849</v>
      </c>
      <c r="D1882" s="1" t="s">
        <v>2919</v>
      </c>
      <c r="E1882" s="1">
        <v>998</v>
      </c>
      <c r="F1882" s="28">
        <v>18</v>
      </c>
      <c r="G1882" s="1">
        <v>16</v>
      </c>
      <c r="H1882" s="1">
        <v>76</v>
      </c>
      <c r="I1882" s="1">
        <v>73</v>
      </c>
      <c r="J1882" t="str">
        <f t="shared" si="29"/>
        <v>http://www.badatelna.eu/reprodukce/?fondId=241&amp;zaznamId=1133738&amp;reproId=3885664</v>
      </c>
      <c r="K1882">
        <f>IF(LEN(TRIM(E1882))=0,"",VLOOKUP(E1882,Sheet2!$B$1:$E$19,2,FALSE))</f>
        <v>241</v>
      </c>
      <c r="L1882">
        <f>IF(LEN(TRIM(E1882))=0,"",VLOOKUP(E1882,Sheet2!$B$1:$E$19,3,FALSE))</f>
        <v>1133738</v>
      </c>
      <c r="M1882">
        <f>IF(LEN(TRIM(E1882))=0,"",VLOOKUP(E1882,Sheet2!$B$1:$E$19,4,FALSE))+(F1882-1)</f>
        <v>3885664</v>
      </c>
    </row>
    <row r="1883" spans="1:17" s="1" customFormat="1" ht="15" customHeight="1" x14ac:dyDescent="0.25">
      <c r="A1883" s="28" t="s">
        <v>101</v>
      </c>
      <c r="B1883" s="28" t="s">
        <v>314</v>
      </c>
      <c r="C1883" s="1">
        <v>1849</v>
      </c>
      <c r="D1883" s="1" t="s">
        <v>2919</v>
      </c>
      <c r="E1883" s="1">
        <v>998</v>
      </c>
      <c r="F1883" s="28">
        <v>22</v>
      </c>
      <c r="G1883" s="1">
        <v>20</v>
      </c>
      <c r="H1883" s="1">
        <v>76</v>
      </c>
      <c r="I1883" s="1">
        <v>73</v>
      </c>
      <c r="J1883" t="str">
        <f t="shared" si="29"/>
        <v>http://www.badatelna.eu/reprodukce/?fondId=241&amp;zaznamId=1133738&amp;reproId=3885668</v>
      </c>
      <c r="K1883">
        <f>IF(LEN(TRIM(E1883))=0,"",VLOOKUP(E1883,Sheet2!$B$1:$E$19,2,FALSE))</f>
        <v>241</v>
      </c>
      <c r="L1883">
        <f>IF(LEN(TRIM(E1883))=0,"",VLOOKUP(E1883,Sheet2!$B$1:$E$19,3,FALSE))</f>
        <v>1133738</v>
      </c>
      <c r="M1883">
        <f>IF(LEN(TRIM(E1883))=0,"",VLOOKUP(E1883,Sheet2!$B$1:$E$19,4,FALSE))+(F1883-1)</f>
        <v>3885668</v>
      </c>
    </row>
    <row r="1884" spans="1:17" s="1" customFormat="1" ht="15" customHeight="1" x14ac:dyDescent="0.25">
      <c r="A1884" s="28" t="s">
        <v>101</v>
      </c>
      <c r="B1884" s="28" t="s">
        <v>314</v>
      </c>
      <c r="C1884" s="6" t="s">
        <v>1546</v>
      </c>
      <c r="D1884" s="1" t="s">
        <v>454</v>
      </c>
      <c r="E1884" s="1">
        <v>2172</v>
      </c>
      <c r="F1884" s="28">
        <v>17</v>
      </c>
      <c r="G1884" s="9">
        <v>16</v>
      </c>
      <c r="H1884" s="1" t="s">
        <v>3073</v>
      </c>
      <c r="I1884" s="1" t="s">
        <v>3073</v>
      </c>
      <c r="J1884" t="str">
        <f t="shared" si="29"/>
        <v>http://www.badatelna.eu/reprodukce/?fondId=1073&amp;zaznamId=1108958&amp;reproId=3779758</v>
      </c>
      <c r="K1884">
        <f>IF(LEN(TRIM(E1884))=0,"",VLOOKUP(E1884,Sheet2!$B$1:$E$19,2,FALSE))</f>
        <v>1073</v>
      </c>
      <c r="L1884">
        <f>IF(LEN(TRIM(E1884))=0,"",VLOOKUP(E1884,Sheet2!$B$1:$E$19,3,FALSE))</f>
        <v>1108958</v>
      </c>
      <c r="M1884">
        <f>IF(LEN(TRIM(E1884))=0,"",VLOOKUP(E1884,Sheet2!$B$1:$E$19,4,FALSE))+(F1884-1)</f>
        <v>3779758</v>
      </c>
      <c r="N1884"/>
      <c r="O1884"/>
      <c r="P1884"/>
      <c r="Q1884"/>
    </row>
    <row r="1885" spans="1:17" s="1" customFormat="1" ht="15" customHeight="1" x14ac:dyDescent="0.25">
      <c r="A1885" s="28" t="s">
        <v>101</v>
      </c>
      <c r="B1885" s="28" t="s">
        <v>39</v>
      </c>
      <c r="C1885" s="1">
        <v>1858</v>
      </c>
      <c r="D1885" s="1" t="s">
        <v>2919</v>
      </c>
      <c r="E1885" s="1">
        <v>998</v>
      </c>
      <c r="F1885" s="28">
        <v>54</v>
      </c>
      <c r="G1885" s="1">
        <v>52</v>
      </c>
      <c r="H1885" s="1">
        <v>76</v>
      </c>
      <c r="I1885" s="1">
        <v>73</v>
      </c>
      <c r="J1885" t="str">
        <f t="shared" si="29"/>
        <v>http://www.badatelna.eu/reprodukce/?fondId=241&amp;zaznamId=1133738&amp;reproId=3885700</v>
      </c>
      <c r="K1885">
        <f>IF(LEN(TRIM(E1885))=0,"",VLOOKUP(E1885,Sheet2!$B$1:$E$19,2,FALSE))</f>
        <v>241</v>
      </c>
      <c r="L1885">
        <f>IF(LEN(TRIM(E1885))=0,"",VLOOKUP(E1885,Sheet2!$B$1:$E$19,3,FALSE))</f>
        <v>1133738</v>
      </c>
      <c r="M1885">
        <f>IF(LEN(TRIM(E1885))=0,"",VLOOKUP(E1885,Sheet2!$B$1:$E$19,4,FALSE))+(F1885-1)</f>
        <v>3885700</v>
      </c>
    </row>
    <row r="1886" spans="1:17" s="1" customFormat="1" ht="15" customHeight="1" x14ac:dyDescent="0.25">
      <c r="A1886" s="28" t="s">
        <v>101</v>
      </c>
      <c r="B1886" s="28" t="s">
        <v>39</v>
      </c>
      <c r="C1886" s="6" t="s">
        <v>2720</v>
      </c>
      <c r="D1886" s="1" t="s">
        <v>454</v>
      </c>
      <c r="E1886" s="1">
        <v>2173</v>
      </c>
      <c r="F1886" s="28">
        <v>225</v>
      </c>
      <c r="G1886" s="9">
        <v>55</v>
      </c>
      <c r="H1886" s="1" t="s">
        <v>3073</v>
      </c>
      <c r="I1886" s="1" t="s">
        <v>3073</v>
      </c>
      <c r="J1886" t="str">
        <f t="shared" si="29"/>
        <v>http://www.badatelna.eu/reprodukce/?fondId=1073&amp;zaznamId=1108959&amp;reproId=3780218</v>
      </c>
      <c r="K1886">
        <f>IF(LEN(TRIM(E1886))=0,"",VLOOKUP(E1886,Sheet2!$B$1:$E$19,2,FALSE))</f>
        <v>1073</v>
      </c>
      <c r="L1886">
        <f>IF(LEN(TRIM(E1886))=0,"",VLOOKUP(E1886,Sheet2!$B$1:$E$19,3,FALSE))</f>
        <v>1108959</v>
      </c>
      <c r="M1886">
        <f>IF(LEN(TRIM(E1886))=0,"",VLOOKUP(E1886,Sheet2!$B$1:$E$19,4,FALSE))+(F1886-1)</f>
        <v>3780218</v>
      </c>
    </row>
    <row r="1887" spans="1:17" s="1" customFormat="1" ht="15" customHeight="1" x14ac:dyDescent="0.25">
      <c r="A1887" s="28" t="s">
        <v>101</v>
      </c>
      <c r="B1887" s="28" t="s">
        <v>39</v>
      </c>
      <c r="C1887" s="6" t="s">
        <v>2908</v>
      </c>
      <c r="D1887" s="1" t="s">
        <v>454</v>
      </c>
      <c r="E1887" s="1">
        <v>2173</v>
      </c>
      <c r="F1887" s="28">
        <v>212</v>
      </c>
      <c r="G1887" s="9" t="s">
        <v>2761</v>
      </c>
      <c r="H1887" s="1" t="s">
        <v>3073</v>
      </c>
      <c r="I1887" s="1" t="s">
        <v>3073</v>
      </c>
      <c r="J1887" t="str">
        <f t="shared" si="29"/>
        <v>http://www.badatelna.eu/reprodukce/?fondId=1073&amp;zaznamId=1108959&amp;reproId=3780205</v>
      </c>
      <c r="K1887">
        <f>IF(LEN(TRIM(E1887))=0,"",VLOOKUP(E1887,Sheet2!$B$1:$E$19,2,FALSE))</f>
        <v>1073</v>
      </c>
      <c r="L1887">
        <f>IF(LEN(TRIM(E1887))=0,"",VLOOKUP(E1887,Sheet2!$B$1:$E$19,3,FALSE))</f>
        <v>1108959</v>
      </c>
      <c r="M1887">
        <f>IF(LEN(TRIM(E1887))=0,"",VLOOKUP(E1887,Sheet2!$B$1:$E$19,4,FALSE))+(F1887-1)</f>
        <v>3780205</v>
      </c>
      <c r="N1887"/>
      <c r="O1887"/>
      <c r="P1887"/>
      <c r="Q1887"/>
    </row>
    <row r="1888" spans="1:17" s="1" customFormat="1" ht="15" customHeight="1" x14ac:dyDescent="0.25">
      <c r="A1888" s="28" t="s">
        <v>101</v>
      </c>
      <c r="B1888" s="28" t="s">
        <v>39</v>
      </c>
      <c r="C1888" s="6" t="s">
        <v>2139</v>
      </c>
      <c r="D1888" s="1" t="s">
        <v>454</v>
      </c>
      <c r="E1888" s="1">
        <v>2173</v>
      </c>
      <c r="F1888" s="28">
        <v>182</v>
      </c>
      <c r="G1888" s="9">
        <v>11</v>
      </c>
      <c r="H1888" s="1">
        <v>191</v>
      </c>
      <c r="I1888" s="1">
        <v>424</v>
      </c>
      <c r="J1888" t="str">
        <f t="shared" si="29"/>
        <v>http://www.badatelna.eu/reprodukce/?fondId=1073&amp;zaznamId=1108959&amp;reproId=3780175</v>
      </c>
      <c r="K1888">
        <f>IF(LEN(TRIM(E1888))=0,"",VLOOKUP(E1888,Sheet2!$B$1:$E$19,2,FALSE))</f>
        <v>1073</v>
      </c>
      <c r="L1888">
        <f>IF(LEN(TRIM(E1888))=0,"",VLOOKUP(E1888,Sheet2!$B$1:$E$19,3,FALSE))</f>
        <v>1108959</v>
      </c>
      <c r="M1888">
        <f>IF(LEN(TRIM(E1888))=0,"",VLOOKUP(E1888,Sheet2!$B$1:$E$19,4,FALSE))+(F1888-1)</f>
        <v>3780175</v>
      </c>
      <c r="N1888"/>
      <c r="O1888"/>
      <c r="P1888"/>
      <c r="Q1888"/>
    </row>
    <row r="1889" spans="1:17" s="1" customFormat="1" ht="15" customHeight="1" x14ac:dyDescent="0.25">
      <c r="A1889" s="28" t="s">
        <v>101</v>
      </c>
      <c r="B1889" s="28" t="s">
        <v>39</v>
      </c>
      <c r="C1889" s="6" t="s">
        <v>2594</v>
      </c>
      <c r="D1889" s="1" t="s">
        <v>454</v>
      </c>
      <c r="E1889" s="1">
        <v>2173</v>
      </c>
      <c r="F1889" s="28">
        <v>216</v>
      </c>
      <c r="G1889" s="9">
        <v>41</v>
      </c>
      <c r="H1889" s="1" t="s">
        <v>3073</v>
      </c>
      <c r="I1889" s="1" t="s">
        <v>3073</v>
      </c>
      <c r="J1889" t="str">
        <f t="shared" si="29"/>
        <v>http://www.badatelna.eu/reprodukce/?fondId=1073&amp;zaznamId=1108959&amp;reproId=3780209</v>
      </c>
      <c r="K1889">
        <f>IF(LEN(TRIM(E1889))=0,"",VLOOKUP(E1889,Sheet2!$B$1:$E$19,2,FALSE))</f>
        <v>1073</v>
      </c>
      <c r="L1889">
        <f>IF(LEN(TRIM(E1889))=0,"",VLOOKUP(E1889,Sheet2!$B$1:$E$19,3,FALSE))</f>
        <v>1108959</v>
      </c>
      <c r="M1889">
        <f>IF(LEN(TRIM(E1889))=0,"",VLOOKUP(E1889,Sheet2!$B$1:$E$19,4,FALSE))+(F1889-1)</f>
        <v>3780209</v>
      </c>
      <c r="N1889"/>
      <c r="O1889"/>
      <c r="P1889"/>
      <c r="Q1889"/>
    </row>
    <row r="1890" spans="1:17" s="1" customFormat="1" ht="15" customHeight="1" x14ac:dyDescent="0.25">
      <c r="A1890" s="28" t="s">
        <v>101</v>
      </c>
      <c r="B1890" s="28" t="s">
        <v>146</v>
      </c>
      <c r="C1890" s="6" t="s">
        <v>2368</v>
      </c>
      <c r="D1890" s="1" t="s">
        <v>454</v>
      </c>
      <c r="E1890" s="1">
        <v>2173</v>
      </c>
      <c r="F1890" s="28">
        <v>201</v>
      </c>
      <c r="G1890" s="9">
        <v>11</v>
      </c>
      <c r="H1890" s="1" t="s">
        <v>3073</v>
      </c>
      <c r="I1890" s="1" t="s">
        <v>3073</v>
      </c>
      <c r="J1890" t="str">
        <f t="shared" si="29"/>
        <v>http://www.badatelna.eu/reprodukce/?fondId=1073&amp;zaznamId=1108959&amp;reproId=3780194</v>
      </c>
      <c r="K1890">
        <f>IF(LEN(TRIM(E1890))=0,"",VLOOKUP(E1890,Sheet2!$B$1:$E$19,2,FALSE))</f>
        <v>1073</v>
      </c>
      <c r="L1890">
        <f>IF(LEN(TRIM(E1890))=0,"",VLOOKUP(E1890,Sheet2!$B$1:$E$19,3,FALSE))</f>
        <v>1108959</v>
      </c>
      <c r="M1890">
        <f>IF(LEN(TRIM(E1890))=0,"",VLOOKUP(E1890,Sheet2!$B$1:$E$19,4,FALSE))+(F1890-1)</f>
        <v>3780194</v>
      </c>
      <c r="N1890"/>
      <c r="O1890"/>
      <c r="P1890"/>
      <c r="Q1890"/>
    </row>
    <row r="1891" spans="1:17" s="1" customFormat="1" ht="15" customHeight="1" x14ac:dyDescent="0.25">
      <c r="A1891" s="28" t="s">
        <v>101</v>
      </c>
      <c r="B1891" s="28" t="s">
        <v>424</v>
      </c>
      <c r="C1891" s="15">
        <v>800</v>
      </c>
      <c r="D1891" s="1" t="s">
        <v>454</v>
      </c>
      <c r="E1891" s="1">
        <v>2172</v>
      </c>
      <c r="F1891" s="28">
        <v>148</v>
      </c>
      <c r="G1891" s="9">
        <v>144</v>
      </c>
      <c r="H1891" s="1">
        <v>149</v>
      </c>
      <c r="I1891" s="1">
        <v>145</v>
      </c>
      <c r="J1891" t="str">
        <f t="shared" si="29"/>
        <v>http://www.badatelna.eu/reprodukce/?fondId=1073&amp;zaznamId=1108958&amp;reproId=3779889</v>
      </c>
      <c r="K1891">
        <f>IF(LEN(TRIM(E1891))=0,"",VLOOKUP(E1891,Sheet2!$B$1:$E$19,2,FALSE))</f>
        <v>1073</v>
      </c>
      <c r="L1891">
        <f>IF(LEN(TRIM(E1891))=0,"",VLOOKUP(E1891,Sheet2!$B$1:$E$19,3,FALSE))</f>
        <v>1108958</v>
      </c>
      <c r="M1891">
        <f>IF(LEN(TRIM(E1891))=0,"",VLOOKUP(E1891,Sheet2!$B$1:$E$19,4,FALSE))+(F1891-1)</f>
        <v>3779889</v>
      </c>
      <c r="N1891"/>
      <c r="O1891"/>
      <c r="P1891"/>
      <c r="Q1891"/>
    </row>
    <row r="1892" spans="1:17" s="1" customFormat="1" ht="15" customHeight="1" x14ac:dyDescent="0.25">
      <c r="A1892" s="28" t="s">
        <v>101</v>
      </c>
      <c r="B1892" s="28" t="s">
        <v>483</v>
      </c>
      <c r="C1892" s="1">
        <v>1866</v>
      </c>
      <c r="D1892" s="1" t="s">
        <v>2919</v>
      </c>
      <c r="E1892" s="1">
        <v>999</v>
      </c>
      <c r="F1892" s="28">
        <v>91</v>
      </c>
      <c r="G1892" s="1">
        <v>12</v>
      </c>
      <c r="H1892" s="1">
        <v>106</v>
      </c>
      <c r="I1892" s="1">
        <v>165</v>
      </c>
      <c r="J1892" t="str">
        <f t="shared" si="29"/>
        <v>http://www.badatelna.eu/reprodukce/?fondId=241&amp;zaznamId=1133739&amp;reproId=3885820</v>
      </c>
      <c r="K1892">
        <f>IF(LEN(TRIM(E1892))=0,"",VLOOKUP(E1892,Sheet2!$B$1:$E$19,2,FALSE))</f>
        <v>241</v>
      </c>
      <c r="L1892">
        <f>IF(LEN(TRIM(E1892))=0,"",VLOOKUP(E1892,Sheet2!$B$1:$E$19,3,FALSE))</f>
        <v>1133739</v>
      </c>
      <c r="M1892">
        <f>IF(LEN(TRIM(E1892))=0,"",VLOOKUP(E1892,Sheet2!$B$1:$E$19,4,FALSE))+(F1892-1)</f>
        <v>3885820</v>
      </c>
      <c r="N1892"/>
      <c r="O1892"/>
      <c r="P1892"/>
      <c r="Q1892"/>
    </row>
    <row r="1893" spans="1:17" s="1" customFormat="1" ht="15" customHeight="1" x14ac:dyDescent="0.25">
      <c r="A1893" s="27" t="s">
        <v>101</v>
      </c>
      <c r="B1893" s="27" t="s">
        <v>483</v>
      </c>
      <c r="C1893" s="5" t="s">
        <v>1295</v>
      </c>
      <c r="D1893" s="3" t="s">
        <v>454</v>
      </c>
      <c r="E1893" s="3">
        <v>2170</v>
      </c>
      <c r="F1893" s="31">
        <v>18</v>
      </c>
      <c r="G1893" s="10">
        <v>14</v>
      </c>
      <c r="H1893" s="3">
        <v>68</v>
      </c>
      <c r="I1893" s="3">
        <v>64</v>
      </c>
      <c r="J1893" t="str">
        <f t="shared" si="29"/>
        <v>http://www.badatelna.eu/reprodukce/?fondId=1073&amp;zaznamId=1108956&amp;reproId=3779610</v>
      </c>
      <c r="K1893">
        <f>IF(LEN(TRIM(E1893))=0,"",VLOOKUP(E1893,Sheet2!$B$1:$E$19,2,FALSE))</f>
        <v>1073</v>
      </c>
      <c r="L1893">
        <f>IF(LEN(TRIM(E1893))=0,"",VLOOKUP(E1893,Sheet2!$B$1:$E$19,3,FALSE))</f>
        <v>1108956</v>
      </c>
      <c r="M1893">
        <f>IF(LEN(TRIM(E1893))=0,"",VLOOKUP(E1893,Sheet2!$B$1:$E$19,4,FALSE))+(F1893-1)</f>
        <v>3779610</v>
      </c>
    </row>
    <row r="1894" spans="1:17" s="1" customFormat="1" ht="15" customHeight="1" x14ac:dyDescent="0.25">
      <c r="A1894" s="27" t="s">
        <v>101</v>
      </c>
      <c r="B1894" s="27" t="s">
        <v>587</v>
      </c>
      <c r="C1894" s="5" t="s">
        <v>1293</v>
      </c>
      <c r="D1894" s="3" t="s">
        <v>454</v>
      </c>
      <c r="E1894" s="3">
        <v>2170</v>
      </c>
      <c r="F1894" s="28">
        <v>29</v>
      </c>
      <c r="G1894" s="10">
        <v>25</v>
      </c>
      <c r="H1894" s="3">
        <v>68</v>
      </c>
      <c r="I1894" s="3">
        <v>64</v>
      </c>
      <c r="J1894" t="str">
        <f t="shared" si="29"/>
        <v>http://www.badatelna.eu/reprodukce/?fondId=1073&amp;zaznamId=1108956&amp;reproId=3779621</v>
      </c>
      <c r="K1894">
        <f>IF(LEN(TRIM(E1894))=0,"",VLOOKUP(E1894,Sheet2!$B$1:$E$19,2,FALSE))</f>
        <v>1073</v>
      </c>
      <c r="L1894">
        <f>IF(LEN(TRIM(E1894))=0,"",VLOOKUP(E1894,Sheet2!$B$1:$E$19,3,FALSE))</f>
        <v>1108956</v>
      </c>
      <c r="M1894">
        <f>IF(LEN(TRIM(E1894))=0,"",VLOOKUP(E1894,Sheet2!$B$1:$E$19,4,FALSE))+(F1894-1)</f>
        <v>3779621</v>
      </c>
    </row>
    <row r="1895" spans="1:17" s="1" customFormat="1" ht="15" customHeight="1" x14ac:dyDescent="0.25">
      <c r="A1895" s="28" t="s">
        <v>101</v>
      </c>
      <c r="B1895" s="28" t="s">
        <v>184</v>
      </c>
      <c r="C1895" s="6" t="s">
        <v>1902</v>
      </c>
      <c r="D1895" s="1" t="s">
        <v>454</v>
      </c>
      <c r="E1895" s="1">
        <v>2172</v>
      </c>
      <c r="F1895" s="28">
        <v>205</v>
      </c>
      <c r="G1895" s="9">
        <v>191</v>
      </c>
      <c r="H1895" s="1" t="s">
        <v>3073</v>
      </c>
      <c r="I1895" s="1" t="s">
        <v>3073</v>
      </c>
      <c r="J1895" t="str">
        <f t="shared" si="29"/>
        <v>http://www.badatelna.eu/reprodukce/?fondId=1073&amp;zaznamId=1108958&amp;reproId=3779946</v>
      </c>
      <c r="K1895">
        <f>IF(LEN(TRIM(E1895))=0,"",VLOOKUP(E1895,Sheet2!$B$1:$E$19,2,FALSE))</f>
        <v>1073</v>
      </c>
      <c r="L1895">
        <f>IF(LEN(TRIM(E1895))=0,"",VLOOKUP(E1895,Sheet2!$B$1:$E$19,3,FALSE))</f>
        <v>1108958</v>
      </c>
      <c r="M1895">
        <f>IF(LEN(TRIM(E1895))=0,"",VLOOKUP(E1895,Sheet2!$B$1:$E$19,4,FALSE))+(F1895-1)</f>
        <v>3779946</v>
      </c>
    </row>
    <row r="1896" spans="1:17" s="1" customFormat="1" ht="15" customHeight="1" x14ac:dyDescent="0.25">
      <c r="A1896" s="28" t="s">
        <v>101</v>
      </c>
      <c r="B1896" s="28" t="s">
        <v>265</v>
      </c>
      <c r="C1896" s="1">
        <v>1886</v>
      </c>
      <c r="D1896" s="1" t="s">
        <v>454</v>
      </c>
      <c r="E1896" s="1">
        <v>2172</v>
      </c>
      <c r="F1896" s="28">
        <v>51</v>
      </c>
      <c r="G1896" s="9">
        <v>52</v>
      </c>
      <c r="H1896" s="1">
        <v>54</v>
      </c>
      <c r="I1896" s="1">
        <v>55</v>
      </c>
      <c r="J1896" t="str">
        <f t="shared" si="29"/>
        <v>http://www.badatelna.eu/reprodukce/?fondId=1073&amp;zaznamId=1108958&amp;reproId=3779792</v>
      </c>
      <c r="K1896">
        <f>IF(LEN(TRIM(E1896))=0,"",VLOOKUP(E1896,Sheet2!$B$1:$E$19,2,FALSE))</f>
        <v>1073</v>
      </c>
      <c r="L1896">
        <f>IF(LEN(TRIM(E1896))=0,"",VLOOKUP(E1896,Sheet2!$B$1:$E$19,3,FALSE))</f>
        <v>1108958</v>
      </c>
      <c r="M1896">
        <f>IF(LEN(TRIM(E1896))=0,"",VLOOKUP(E1896,Sheet2!$B$1:$E$19,4,FALSE))+(F1896-1)</f>
        <v>3779792</v>
      </c>
    </row>
    <row r="1897" spans="1:17" s="1" customFormat="1" ht="15" customHeight="1" x14ac:dyDescent="0.25">
      <c r="A1897" s="28" t="s">
        <v>101</v>
      </c>
      <c r="B1897" s="28" t="s">
        <v>976</v>
      </c>
      <c r="C1897" s="6" t="s">
        <v>1743</v>
      </c>
      <c r="D1897" s="1" t="s">
        <v>454</v>
      </c>
      <c r="E1897" s="1">
        <v>2172</v>
      </c>
      <c r="F1897" s="28">
        <v>128</v>
      </c>
      <c r="G1897" s="9" t="s">
        <v>2779</v>
      </c>
      <c r="H1897" s="1">
        <v>132</v>
      </c>
      <c r="I1897" s="1">
        <v>131</v>
      </c>
      <c r="J1897" t="str">
        <f t="shared" si="29"/>
        <v>http://www.badatelna.eu/reprodukce/?fondId=1073&amp;zaznamId=1108958&amp;reproId=3779869</v>
      </c>
      <c r="K1897">
        <f>IF(LEN(TRIM(E1897))=0,"",VLOOKUP(E1897,Sheet2!$B$1:$E$19,2,FALSE))</f>
        <v>1073</v>
      </c>
      <c r="L1897">
        <f>IF(LEN(TRIM(E1897))=0,"",VLOOKUP(E1897,Sheet2!$B$1:$E$19,3,FALSE))</f>
        <v>1108958</v>
      </c>
      <c r="M1897">
        <f>IF(LEN(TRIM(E1897))=0,"",VLOOKUP(E1897,Sheet2!$B$1:$E$19,4,FALSE))+(F1897-1)</f>
        <v>3779869</v>
      </c>
    </row>
    <row r="1898" spans="1:17" s="1" customFormat="1" ht="15" customHeight="1" x14ac:dyDescent="0.25">
      <c r="A1898" s="28" t="s">
        <v>101</v>
      </c>
      <c r="B1898" s="28" t="s">
        <v>977</v>
      </c>
      <c r="C1898" s="1">
        <v>1891</v>
      </c>
      <c r="D1898" s="1" t="s">
        <v>454</v>
      </c>
      <c r="E1898" s="1">
        <v>2172</v>
      </c>
      <c r="F1898" s="28">
        <v>81</v>
      </c>
      <c r="G1898" s="9">
        <v>80</v>
      </c>
      <c r="H1898" s="1">
        <v>83</v>
      </c>
      <c r="I1898" s="1">
        <v>82</v>
      </c>
      <c r="J1898" t="str">
        <f t="shared" si="29"/>
        <v>http://www.badatelna.eu/reprodukce/?fondId=1073&amp;zaznamId=1108958&amp;reproId=3779822</v>
      </c>
      <c r="K1898">
        <f>IF(LEN(TRIM(E1898))=0,"",VLOOKUP(E1898,Sheet2!$B$1:$E$19,2,FALSE))</f>
        <v>1073</v>
      </c>
      <c r="L1898">
        <f>IF(LEN(TRIM(E1898))=0,"",VLOOKUP(E1898,Sheet2!$B$1:$E$19,3,FALSE))</f>
        <v>1108958</v>
      </c>
      <c r="M1898">
        <f>IF(LEN(TRIM(E1898))=0,"",VLOOKUP(E1898,Sheet2!$B$1:$E$19,4,FALSE))+(F1898-1)</f>
        <v>3779822</v>
      </c>
      <c r="N1898"/>
      <c r="O1898"/>
      <c r="P1898"/>
      <c r="Q1898"/>
    </row>
    <row r="1899" spans="1:17" s="1" customFormat="1" ht="15" customHeight="1" x14ac:dyDescent="0.25">
      <c r="A1899" s="28" t="s">
        <v>101</v>
      </c>
      <c r="B1899" s="28" t="s">
        <v>82</v>
      </c>
      <c r="C1899" s="6" t="s">
        <v>2731</v>
      </c>
      <c r="D1899" s="1" t="s">
        <v>454</v>
      </c>
      <c r="E1899" s="1">
        <v>2173</v>
      </c>
      <c r="F1899" s="28">
        <v>226</v>
      </c>
      <c r="G1899" s="9">
        <v>57</v>
      </c>
      <c r="H1899" s="1" t="s">
        <v>3073</v>
      </c>
      <c r="I1899" s="1" t="s">
        <v>3073</v>
      </c>
      <c r="J1899" t="str">
        <f t="shared" si="29"/>
        <v>http://www.badatelna.eu/reprodukce/?fondId=1073&amp;zaznamId=1108959&amp;reproId=3780219</v>
      </c>
      <c r="K1899">
        <f>IF(LEN(TRIM(E1899))=0,"",VLOOKUP(E1899,Sheet2!$B$1:$E$19,2,FALSE))</f>
        <v>1073</v>
      </c>
      <c r="L1899">
        <f>IF(LEN(TRIM(E1899))=0,"",VLOOKUP(E1899,Sheet2!$B$1:$E$19,3,FALSE))</f>
        <v>1108959</v>
      </c>
      <c r="M1899">
        <f>IF(LEN(TRIM(E1899))=0,"",VLOOKUP(E1899,Sheet2!$B$1:$E$19,4,FALSE))+(F1899-1)</f>
        <v>3780219</v>
      </c>
    </row>
    <row r="1900" spans="1:17" s="1" customFormat="1" ht="15" customHeight="1" x14ac:dyDescent="0.25">
      <c r="A1900" s="28" t="s">
        <v>978</v>
      </c>
      <c r="B1900" s="28" t="s">
        <v>979</v>
      </c>
      <c r="C1900" s="6" t="s">
        <v>1922</v>
      </c>
      <c r="D1900" s="1" t="s">
        <v>454</v>
      </c>
      <c r="E1900" s="1">
        <v>2172</v>
      </c>
      <c r="F1900" s="28">
        <v>213</v>
      </c>
      <c r="G1900" s="9">
        <v>197</v>
      </c>
      <c r="H1900" s="1" t="s">
        <v>3073</v>
      </c>
      <c r="I1900" s="1" t="s">
        <v>3073</v>
      </c>
      <c r="J1900" t="str">
        <f t="shared" si="29"/>
        <v>http://www.badatelna.eu/reprodukce/?fondId=1073&amp;zaznamId=1108958&amp;reproId=3779954</v>
      </c>
      <c r="K1900">
        <f>IF(LEN(TRIM(E1900))=0,"",VLOOKUP(E1900,Sheet2!$B$1:$E$19,2,FALSE))</f>
        <v>1073</v>
      </c>
      <c r="L1900">
        <f>IF(LEN(TRIM(E1900))=0,"",VLOOKUP(E1900,Sheet2!$B$1:$E$19,3,FALSE))</f>
        <v>1108958</v>
      </c>
      <c r="M1900">
        <f>IF(LEN(TRIM(E1900))=0,"",VLOOKUP(E1900,Sheet2!$B$1:$E$19,4,FALSE))+(F1900-1)</f>
        <v>3779954</v>
      </c>
    </row>
    <row r="1901" spans="1:17" s="1" customFormat="1" ht="15" customHeight="1" x14ac:dyDescent="0.25">
      <c r="A1901" s="28" t="s">
        <v>978</v>
      </c>
      <c r="B1901" s="28" t="s">
        <v>617</v>
      </c>
      <c r="C1901" s="6" t="s">
        <v>1936</v>
      </c>
      <c r="D1901" s="1" t="s">
        <v>454</v>
      </c>
      <c r="E1901" s="1">
        <v>2172</v>
      </c>
      <c r="F1901" s="28">
        <v>218</v>
      </c>
      <c r="G1901" s="9">
        <v>202</v>
      </c>
      <c r="H1901" s="1" t="s">
        <v>3073</v>
      </c>
      <c r="I1901" s="1" t="s">
        <v>3073</v>
      </c>
      <c r="J1901" t="str">
        <f t="shared" si="29"/>
        <v>http://www.badatelna.eu/reprodukce/?fondId=1073&amp;zaznamId=1108958&amp;reproId=3779959</v>
      </c>
      <c r="K1901">
        <f>IF(LEN(TRIM(E1901))=0,"",VLOOKUP(E1901,Sheet2!$B$1:$E$19,2,FALSE))</f>
        <v>1073</v>
      </c>
      <c r="L1901">
        <f>IF(LEN(TRIM(E1901))=0,"",VLOOKUP(E1901,Sheet2!$B$1:$E$19,3,FALSE))</f>
        <v>1108958</v>
      </c>
      <c r="M1901">
        <f>IF(LEN(TRIM(E1901))=0,"",VLOOKUP(E1901,Sheet2!$B$1:$E$19,4,FALSE))+(F1901-1)</f>
        <v>3779959</v>
      </c>
    </row>
    <row r="1902" spans="1:17" s="1" customFormat="1" ht="15" customHeight="1" x14ac:dyDescent="0.25">
      <c r="A1902" s="28" t="s">
        <v>2995</v>
      </c>
      <c r="B1902" s="28" t="s">
        <v>263</v>
      </c>
      <c r="C1902" s="1">
        <v>1851</v>
      </c>
      <c r="D1902" s="1" t="s">
        <v>2919</v>
      </c>
      <c r="E1902" s="1">
        <v>998</v>
      </c>
      <c r="F1902" s="28">
        <v>32</v>
      </c>
      <c r="G1902" s="1">
        <v>30</v>
      </c>
      <c r="H1902" s="1">
        <v>76</v>
      </c>
      <c r="I1902" s="1">
        <v>73</v>
      </c>
      <c r="J1902" t="str">
        <f t="shared" si="29"/>
        <v>http://www.badatelna.eu/reprodukce/?fondId=241&amp;zaznamId=1133738&amp;reproId=3885678</v>
      </c>
      <c r="K1902">
        <f>IF(LEN(TRIM(E1902))=0,"",VLOOKUP(E1902,Sheet2!$B$1:$E$19,2,FALSE))</f>
        <v>241</v>
      </c>
      <c r="L1902">
        <f>IF(LEN(TRIM(E1902))=0,"",VLOOKUP(E1902,Sheet2!$B$1:$E$19,3,FALSE))</f>
        <v>1133738</v>
      </c>
      <c r="M1902">
        <f>IF(LEN(TRIM(E1902))=0,"",VLOOKUP(E1902,Sheet2!$B$1:$E$19,4,FALSE))+(F1902-1)</f>
        <v>3885678</v>
      </c>
      <c r="N1902"/>
      <c r="O1902"/>
      <c r="P1902"/>
      <c r="Q1902"/>
    </row>
    <row r="1903" spans="1:17" s="1" customFormat="1" ht="15" customHeight="1" x14ac:dyDescent="0.25">
      <c r="A1903" s="28" t="s">
        <v>980</v>
      </c>
      <c r="B1903" s="28" t="s">
        <v>205</v>
      </c>
      <c r="C1903" s="6" t="s">
        <v>1722</v>
      </c>
      <c r="D1903" s="1" t="s">
        <v>454</v>
      </c>
      <c r="E1903" s="1">
        <v>2172</v>
      </c>
      <c r="F1903" s="28">
        <v>121</v>
      </c>
      <c r="G1903" s="9">
        <v>120</v>
      </c>
      <c r="H1903" s="1">
        <v>123</v>
      </c>
      <c r="I1903" s="1">
        <v>122</v>
      </c>
      <c r="J1903" t="str">
        <f t="shared" si="29"/>
        <v>http://www.badatelna.eu/reprodukce/?fondId=1073&amp;zaznamId=1108958&amp;reproId=3779862</v>
      </c>
      <c r="K1903">
        <f>IF(LEN(TRIM(E1903))=0,"",VLOOKUP(E1903,Sheet2!$B$1:$E$19,2,FALSE))</f>
        <v>1073</v>
      </c>
      <c r="L1903">
        <f>IF(LEN(TRIM(E1903))=0,"",VLOOKUP(E1903,Sheet2!$B$1:$E$19,3,FALSE))</f>
        <v>1108958</v>
      </c>
      <c r="M1903">
        <f>IF(LEN(TRIM(E1903))=0,"",VLOOKUP(E1903,Sheet2!$B$1:$E$19,4,FALSE))+(F1903-1)</f>
        <v>3779862</v>
      </c>
    </row>
    <row r="1904" spans="1:17" s="1" customFormat="1" ht="15" customHeight="1" x14ac:dyDescent="0.25">
      <c r="A1904" s="28" t="s">
        <v>981</v>
      </c>
      <c r="B1904" s="28" t="s">
        <v>306</v>
      </c>
      <c r="C1904" s="15">
        <v>4931</v>
      </c>
      <c r="D1904" s="1" t="s">
        <v>454</v>
      </c>
      <c r="E1904" s="1">
        <v>2172</v>
      </c>
      <c r="F1904" s="28">
        <v>183</v>
      </c>
      <c r="G1904" s="9">
        <v>174</v>
      </c>
      <c r="H1904" s="1" t="s">
        <v>3073</v>
      </c>
      <c r="I1904" s="1" t="s">
        <v>3073</v>
      </c>
      <c r="J1904" t="str">
        <f t="shared" si="29"/>
        <v>http://www.badatelna.eu/reprodukce/?fondId=1073&amp;zaznamId=1108958&amp;reproId=3779924</v>
      </c>
      <c r="K1904">
        <f>IF(LEN(TRIM(E1904))=0,"",VLOOKUP(E1904,Sheet2!$B$1:$E$19,2,FALSE))</f>
        <v>1073</v>
      </c>
      <c r="L1904">
        <f>IF(LEN(TRIM(E1904))=0,"",VLOOKUP(E1904,Sheet2!$B$1:$E$19,3,FALSE))</f>
        <v>1108958</v>
      </c>
      <c r="M1904">
        <f>IF(LEN(TRIM(E1904))=0,"",VLOOKUP(E1904,Sheet2!$B$1:$E$19,4,FALSE))+(F1904-1)</f>
        <v>3779924</v>
      </c>
    </row>
    <row r="1905" spans="1:17" s="1" customFormat="1" ht="15" customHeight="1" x14ac:dyDescent="0.25">
      <c r="A1905" s="28" t="s">
        <v>981</v>
      </c>
      <c r="B1905" s="28" t="s">
        <v>54</v>
      </c>
      <c r="C1905" s="15">
        <v>7951</v>
      </c>
      <c r="D1905" s="1" t="s">
        <v>454</v>
      </c>
      <c r="E1905" s="1">
        <v>2172</v>
      </c>
      <c r="F1905" s="28">
        <v>201</v>
      </c>
      <c r="G1905" s="9">
        <v>188</v>
      </c>
      <c r="H1905" s="1" t="s">
        <v>3073</v>
      </c>
      <c r="I1905" s="1" t="s">
        <v>3073</v>
      </c>
      <c r="J1905" t="str">
        <f t="shared" si="29"/>
        <v>http://www.badatelna.eu/reprodukce/?fondId=1073&amp;zaznamId=1108958&amp;reproId=3779942</v>
      </c>
      <c r="K1905">
        <f>IF(LEN(TRIM(E1905))=0,"",VLOOKUP(E1905,Sheet2!$B$1:$E$19,2,FALSE))</f>
        <v>1073</v>
      </c>
      <c r="L1905">
        <f>IF(LEN(TRIM(E1905))=0,"",VLOOKUP(E1905,Sheet2!$B$1:$E$19,3,FALSE))</f>
        <v>1108958</v>
      </c>
      <c r="M1905">
        <f>IF(LEN(TRIM(E1905))=0,"",VLOOKUP(E1905,Sheet2!$B$1:$E$19,4,FALSE))+(F1905-1)</f>
        <v>3779942</v>
      </c>
      <c r="N1905"/>
      <c r="O1905"/>
      <c r="P1905"/>
      <c r="Q1905"/>
    </row>
    <row r="1906" spans="1:17" s="1" customFormat="1" ht="15" customHeight="1" x14ac:dyDescent="0.25">
      <c r="A1906" s="27" t="s">
        <v>26</v>
      </c>
      <c r="B1906" s="27" t="s">
        <v>492</v>
      </c>
      <c r="C1906" s="5" t="s">
        <v>1301</v>
      </c>
      <c r="D1906" s="3" t="s">
        <v>454</v>
      </c>
      <c r="E1906" s="3">
        <v>2170</v>
      </c>
      <c r="F1906" s="28">
        <v>43</v>
      </c>
      <c r="G1906" s="10">
        <v>39</v>
      </c>
      <c r="H1906" s="3">
        <v>68</v>
      </c>
      <c r="I1906" s="3">
        <v>64</v>
      </c>
      <c r="J1906" t="str">
        <f t="shared" si="29"/>
        <v>http://www.badatelna.eu/reprodukce/?fondId=1073&amp;zaznamId=1108956&amp;reproId=3779635</v>
      </c>
      <c r="K1906">
        <f>IF(LEN(TRIM(E1906))=0,"",VLOOKUP(E1906,Sheet2!$B$1:$E$19,2,FALSE))</f>
        <v>1073</v>
      </c>
      <c r="L1906">
        <f>IF(LEN(TRIM(E1906))=0,"",VLOOKUP(E1906,Sheet2!$B$1:$E$19,3,FALSE))</f>
        <v>1108956</v>
      </c>
      <c r="M1906">
        <f>IF(LEN(TRIM(E1906))=0,"",VLOOKUP(E1906,Sheet2!$B$1:$E$19,4,FALSE))+(F1906-1)</f>
        <v>3779635</v>
      </c>
    </row>
    <row r="1907" spans="1:17" s="1" customFormat="1" ht="15" customHeight="1" x14ac:dyDescent="0.25">
      <c r="A1907" s="28" t="s">
        <v>26</v>
      </c>
      <c r="B1907" s="28" t="s">
        <v>25</v>
      </c>
      <c r="C1907" s="6" t="s">
        <v>2223</v>
      </c>
      <c r="D1907" s="1" t="s">
        <v>454</v>
      </c>
      <c r="E1907" s="1">
        <v>2173</v>
      </c>
      <c r="F1907" s="28">
        <v>196</v>
      </c>
      <c r="G1907" s="9">
        <v>1</v>
      </c>
      <c r="H1907" s="1" t="s">
        <v>3073</v>
      </c>
      <c r="I1907" s="1" t="s">
        <v>3073</v>
      </c>
      <c r="J1907" t="str">
        <f t="shared" si="29"/>
        <v>http://www.badatelna.eu/reprodukce/?fondId=1073&amp;zaznamId=1108959&amp;reproId=3780189</v>
      </c>
      <c r="K1907">
        <f>IF(LEN(TRIM(E1907))=0,"",VLOOKUP(E1907,Sheet2!$B$1:$E$19,2,FALSE))</f>
        <v>1073</v>
      </c>
      <c r="L1907">
        <f>IF(LEN(TRIM(E1907))=0,"",VLOOKUP(E1907,Sheet2!$B$1:$E$19,3,FALSE))</f>
        <v>1108959</v>
      </c>
      <c r="M1907">
        <f>IF(LEN(TRIM(E1907))=0,"",VLOOKUP(E1907,Sheet2!$B$1:$E$19,4,FALSE))+(F1907-1)</f>
        <v>3780189</v>
      </c>
    </row>
    <row r="1908" spans="1:17" s="1" customFormat="1" ht="15" customHeight="1" x14ac:dyDescent="0.25">
      <c r="A1908" s="28" t="s">
        <v>26</v>
      </c>
      <c r="B1908" s="28" t="s">
        <v>517</v>
      </c>
      <c r="C1908" s="1">
        <v>1849</v>
      </c>
      <c r="D1908" s="1" t="s">
        <v>2919</v>
      </c>
      <c r="E1908" s="1">
        <v>998</v>
      </c>
      <c r="F1908" s="28">
        <v>26</v>
      </c>
      <c r="G1908" s="1">
        <v>24</v>
      </c>
      <c r="H1908" s="1">
        <v>76</v>
      </c>
      <c r="I1908" s="1">
        <v>73</v>
      </c>
      <c r="J1908" t="str">
        <f t="shared" si="29"/>
        <v>http://www.badatelna.eu/reprodukce/?fondId=241&amp;zaznamId=1133738&amp;reproId=3885672</v>
      </c>
      <c r="K1908">
        <f>IF(LEN(TRIM(E1908))=0,"",VLOOKUP(E1908,Sheet2!$B$1:$E$19,2,FALSE))</f>
        <v>241</v>
      </c>
      <c r="L1908">
        <f>IF(LEN(TRIM(E1908))=0,"",VLOOKUP(E1908,Sheet2!$B$1:$E$19,3,FALSE))</f>
        <v>1133738</v>
      </c>
      <c r="M1908">
        <f>IF(LEN(TRIM(E1908))=0,"",VLOOKUP(E1908,Sheet2!$B$1:$E$19,4,FALSE))+(F1908-1)</f>
        <v>3885672</v>
      </c>
    </row>
    <row r="1909" spans="1:17" s="1" customFormat="1" ht="15" customHeight="1" x14ac:dyDescent="0.25">
      <c r="A1909" s="28" t="s">
        <v>26</v>
      </c>
      <c r="B1909" s="28" t="s">
        <v>314</v>
      </c>
      <c r="C1909" s="1">
        <v>1852</v>
      </c>
      <c r="D1909" s="1" t="s">
        <v>2919</v>
      </c>
      <c r="E1909" s="1">
        <v>998</v>
      </c>
      <c r="F1909" s="28">
        <v>35</v>
      </c>
      <c r="G1909" s="1">
        <v>33</v>
      </c>
      <c r="H1909" s="1">
        <v>76</v>
      </c>
      <c r="I1909" s="1">
        <v>73</v>
      </c>
      <c r="J1909" t="str">
        <f t="shared" si="29"/>
        <v>http://www.badatelna.eu/reprodukce/?fondId=241&amp;zaznamId=1133738&amp;reproId=3885681</v>
      </c>
      <c r="K1909">
        <f>IF(LEN(TRIM(E1909))=0,"",VLOOKUP(E1909,Sheet2!$B$1:$E$19,2,FALSE))</f>
        <v>241</v>
      </c>
      <c r="L1909">
        <f>IF(LEN(TRIM(E1909))=0,"",VLOOKUP(E1909,Sheet2!$B$1:$E$19,3,FALSE))</f>
        <v>1133738</v>
      </c>
      <c r="M1909">
        <f>IF(LEN(TRIM(E1909))=0,"",VLOOKUP(E1909,Sheet2!$B$1:$E$19,4,FALSE))+(F1909-1)</f>
        <v>3885681</v>
      </c>
    </row>
    <row r="1910" spans="1:17" s="1" customFormat="1" ht="15" customHeight="1" x14ac:dyDescent="0.25">
      <c r="A1910" s="28" t="s">
        <v>26</v>
      </c>
      <c r="B1910" s="28"/>
      <c r="C1910" s="15"/>
      <c r="F1910" s="28"/>
      <c r="G1910" s="9"/>
      <c r="J1910" t="str">
        <f t="shared" si="29"/>
        <v/>
      </c>
      <c r="K1910" t="str">
        <f>IF(LEN(TRIM(E1910))=0,"",VLOOKUP(E1910,Sheet2!$B$1:$E$19,2,FALSE))</f>
        <v/>
      </c>
      <c r="L1910" t="str">
        <f>IF(LEN(TRIM(E1910))=0,"",VLOOKUP(E1910,Sheet2!$B$1:$E$19,3,FALSE))</f>
        <v/>
      </c>
      <c r="M1910" t="e">
        <f>IF(LEN(TRIM(E1910))=0,"",VLOOKUP(E1910,Sheet2!$B$1:$E$19,4,FALSE))+(F1910-1)</f>
        <v>#VALUE!</v>
      </c>
      <c r="N1910"/>
      <c r="O1910"/>
      <c r="P1910"/>
      <c r="Q1910"/>
    </row>
    <row r="1911" spans="1:17" s="1" customFormat="1" ht="15" customHeight="1" x14ac:dyDescent="0.25">
      <c r="A1911" s="27" t="s">
        <v>57</v>
      </c>
      <c r="B1911" s="27" t="s">
        <v>476</v>
      </c>
      <c r="C1911" s="5" t="s">
        <v>1309</v>
      </c>
      <c r="D1911" s="3" t="s">
        <v>454</v>
      </c>
      <c r="E1911" s="3">
        <v>2170</v>
      </c>
      <c r="F1911" s="28">
        <v>42</v>
      </c>
      <c r="G1911" s="10">
        <v>38</v>
      </c>
      <c r="H1911" s="3">
        <v>68</v>
      </c>
      <c r="I1911" s="3">
        <v>64</v>
      </c>
      <c r="J1911" t="str">
        <f t="shared" si="29"/>
        <v>http://www.badatelna.eu/reprodukce/?fondId=1073&amp;zaznamId=1108956&amp;reproId=3779634</v>
      </c>
      <c r="K1911">
        <f>IF(LEN(TRIM(E1911))=0,"",VLOOKUP(E1911,Sheet2!$B$1:$E$19,2,FALSE))</f>
        <v>1073</v>
      </c>
      <c r="L1911">
        <f>IF(LEN(TRIM(E1911))=0,"",VLOOKUP(E1911,Sheet2!$B$1:$E$19,3,FALSE))</f>
        <v>1108956</v>
      </c>
      <c r="M1911">
        <f>IF(LEN(TRIM(E1911))=0,"",VLOOKUP(E1911,Sheet2!$B$1:$E$19,4,FALSE))+(F1911-1)</f>
        <v>3779634</v>
      </c>
    </row>
    <row r="1912" spans="1:17" s="1" customFormat="1" ht="15" customHeight="1" x14ac:dyDescent="0.25">
      <c r="A1912" s="28" t="s">
        <v>57</v>
      </c>
      <c r="B1912" s="28" t="s">
        <v>528</v>
      </c>
      <c r="C1912" s="1">
        <v>1850</v>
      </c>
      <c r="D1912" s="1" t="s">
        <v>2919</v>
      </c>
      <c r="E1912" s="1">
        <v>998</v>
      </c>
      <c r="F1912" s="28">
        <v>29</v>
      </c>
      <c r="G1912" s="1">
        <v>27</v>
      </c>
      <c r="H1912" s="1">
        <v>76</v>
      </c>
      <c r="I1912" s="1">
        <v>73</v>
      </c>
      <c r="J1912" t="str">
        <f t="shared" si="29"/>
        <v>http://www.badatelna.eu/reprodukce/?fondId=241&amp;zaznamId=1133738&amp;reproId=3885675</v>
      </c>
      <c r="K1912">
        <f>IF(LEN(TRIM(E1912))=0,"",VLOOKUP(E1912,Sheet2!$B$1:$E$19,2,FALSE))</f>
        <v>241</v>
      </c>
      <c r="L1912">
        <f>IF(LEN(TRIM(E1912))=0,"",VLOOKUP(E1912,Sheet2!$B$1:$E$19,3,FALSE))</f>
        <v>1133738</v>
      </c>
      <c r="M1912">
        <f>IF(LEN(TRIM(E1912))=0,"",VLOOKUP(E1912,Sheet2!$B$1:$E$19,4,FALSE))+(F1912-1)</f>
        <v>3885675</v>
      </c>
      <c r="N1912"/>
      <c r="O1912"/>
      <c r="P1912"/>
      <c r="Q1912"/>
    </row>
    <row r="1913" spans="1:17" s="1" customFormat="1" ht="15" customHeight="1" x14ac:dyDescent="0.25">
      <c r="A1913" s="27" t="s">
        <v>57</v>
      </c>
      <c r="B1913" s="27" t="s">
        <v>588</v>
      </c>
      <c r="C1913" s="5" t="s">
        <v>1222</v>
      </c>
      <c r="D1913" s="3" t="s">
        <v>454</v>
      </c>
      <c r="E1913" s="3">
        <v>2170</v>
      </c>
      <c r="F1913" s="28">
        <v>25</v>
      </c>
      <c r="G1913" s="10">
        <v>21</v>
      </c>
      <c r="H1913" s="3">
        <v>68</v>
      </c>
      <c r="I1913" s="3">
        <v>64</v>
      </c>
      <c r="J1913" t="str">
        <f t="shared" si="29"/>
        <v>http://www.badatelna.eu/reprodukce/?fondId=1073&amp;zaznamId=1108956&amp;reproId=3779617</v>
      </c>
      <c r="K1913">
        <f>IF(LEN(TRIM(E1913))=0,"",VLOOKUP(E1913,Sheet2!$B$1:$E$19,2,FALSE))</f>
        <v>1073</v>
      </c>
      <c r="L1913">
        <f>IF(LEN(TRIM(E1913))=0,"",VLOOKUP(E1913,Sheet2!$B$1:$E$19,3,FALSE))</f>
        <v>1108956</v>
      </c>
      <c r="M1913">
        <f>IF(LEN(TRIM(E1913))=0,"",VLOOKUP(E1913,Sheet2!$B$1:$E$19,4,FALSE))+(F1913-1)</f>
        <v>3779617</v>
      </c>
      <c r="N1913"/>
      <c r="O1913"/>
      <c r="P1913"/>
      <c r="Q1913"/>
    </row>
    <row r="1914" spans="1:17" s="1" customFormat="1" ht="15" customHeight="1" x14ac:dyDescent="0.25">
      <c r="A1914" s="28" t="s">
        <v>57</v>
      </c>
      <c r="B1914" s="28" t="s">
        <v>290</v>
      </c>
      <c r="C1914" s="6" t="s">
        <v>1723</v>
      </c>
      <c r="D1914" s="1" t="s">
        <v>454</v>
      </c>
      <c r="E1914" s="1">
        <v>2172</v>
      </c>
      <c r="F1914" s="28">
        <v>122</v>
      </c>
      <c r="G1914" s="9">
        <v>121</v>
      </c>
      <c r="H1914" s="1">
        <v>123</v>
      </c>
      <c r="I1914" s="1">
        <v>122</v>
      </c>
      <c r="J1914" t="str">
        <f t="shared" si="29"/>
        <v>http://www.badatelna.eu/reprodukce/?fondId=1073&amp;zaznamId=1108958&amp;reproId=3779863</v>
      </c>
      <c r="K1914">
        <f>IF(LEN(TRIM(E1914))=0,"",VLOOKUP(E1914,Sheet2!$B$1:$E$19,2,FALSE))</f>
        <v>1073</v>
      </c>
      <c r="L1914">
        <f>IF(LEN(TRIM(E1914))=0,"",VLOOKUP(E1914,Sheet2!$B$1:$E$19,3,FALSE))</f>
        <v>1108958</v>
      </c>
      <c r="M1914">
        <f>IF(LEN(TRIM(E1914))=0,"",VLOOKUP(E1914,Sheet2!$B$1:$E$19,4,FALSE))+(F1914-1)</f>
        <v>3779863</v>
      </c>
    </row>
    <row r="1915" spans="1:17" s="1" customFormat="1" ht="15" customHeight="1" x14ac:dyDescent="0.25">
      <c r="A1915" s="28" t="s">
        <v>57</v>
      </c>
      <c r="B1915" s="28" t="s">
        <v>574</v>
      </c>
      <c r="C1915" s="6" t="s">
        <v>1578</v>
      </c>
      <c r="D1915" s="1" t="s">
        <v>454</v>
      </c>
      <c r="E1915" s="1">
        <v>2172</v>
      </c>
      <c r="F1915" s="28">
        <v>20</v>
      </c>
      <c r="G1915" s="9">
        <v>19</v>
      </c>
      <c r="H1915" s="1">
        <v>25</v>
      </c>
      <c r="I1915" s="1">
        <v>24</v>
      </c>
      <c r="J1915" t="str">
        <f t="shared" si="29"/>
        <v>http://www.badatelna.eu/reprodukce/?fondId=1073&amp;zaznamId=1108958&amp;reproId=3779761</v>
      </c>
      <c r="K1915">
        <f>IF(LEN(TRIM(E1915))=0,"",VLOOKUP(E1915,Sheet2!$B$1:$E$19,2,FALSE))</f>
        <v>1073</v>
      </c>
      <c r="L1915">
        <f>IF(LEN(TRIM(E1915))=0,"",VLOOKUP(E1915,Sheet2!$B$1:$E$19,3,FALSE))</f>
        <v>1108958</v>
      </c>
      <c r="M1915">
        <f>IF(LEN(TRIM(E1915))=0,"",VLOOKUP(E1915,Sheet2!$B$1:$E$19,4,FALSE))+(F1915-1)</f>
        <v>3779761</v>
      </c>
      <c r="N1915"/>
      <c r="O1915"/>
      <c r="P1915"/>
      <c r="Q1915"/>
    </row>
    <row r="1916" spans="1:17" s="1" customFormat="1" ht="15" customHeight="1" x14ac:dyDescent="0.25">
      <c r="A1916" s="28" t="s">
        <v>57</v>
      </c>
      <c r="B1916" s="29" t="s">
        <v>594</v>
      </c>
      <c r="C1916" s="1">
        <v>1856</v>
      </c>
      <c r="D1916" s="1" t="s">
        <v>2919</v>
      </c>
      <c r="E1916" s="1">
        <v>998</v>
      </c>
      <c r="F1916" s="28">
        <v>48</v>
      </c>
      <c r="G1916" s="1">
        <v>46</v>
      </c>
      <c r="H1916" s="1">
        <v>76</v>
      </c>
      <c r="I1916" s="1">
        <v>73</v>
      </c>
      <c r="J1916" t="str">
        <f t="shared" si="29"/>
        <v>http://www.badatelna.eu/reprodukce/?fondId=241&amp;zaznamId=1133738&amp;reproId=3885694</v>
      </c>
      <c r="K1916">
        <f>IF(LEN(TRIM(E1916))=0,"",VLOOKUP(E1916,Sheet2!$B$1:$E$19,2,FALSE))</f>
        <v>241</v>
      </c>
      <c r="L1916">
        <f>IF(LEN(TRIM(E1916))=0,"",VLOOKUP(E1916,Sheet2!$B$1:$E$19,3,FALSE))</f>
        <v>1133738</v>
      </c>
      <c r="M1916">
        <f>IF(LEN(TRIM(E1916))=0,"",VLOOKUP(E1916,Sheet2!$B$1:$E$19,4,FALSE))+(F1916-1)</f>
        <v>3885694</v>
      </c>
    </row>
    <row r="1917" spans="1:17" s="1" customFormat="1" ht="15" customHeight="1" x14ac:dyDescent="0.25">
      <c r="A1917" s="28" t="s">
        <v>57</v>
      </c>
      <c r="B1917" s="28" t="s">
        <v>341</v>
      </c>
      <c r="C1917" s="6" t="s">
        <v>2147</v>
      </c>
      <c r="D1917" s="1" t="s">
        <v>454</v>
      </c>
      <c r="E1917" s="1">
        <v>2173</v>
      </c>
      <c r="F1917" s="28">
        <v>183</v>
      </c>
      <c r="G1917" s="9">
        <v>13</v>
      </c>
      <c r="H1917" s="1">
        <v>191</v>
      </c>
      <c r="I1917" s="1">
        <v>424</v>
      </c>
      <c r="J1917" t="str">
        <f t="shared" si="29"/>
        <v>http://www.badatelna.eu/reprodukce/?fondId=1073&amp;zaznamId=1108959&amp;reproId=3780176</v>
      </c>
      <c r="K1917">
        <f>IF(LEN(TRIM(E1917))=0,"",VLOOKUP(E1917,Sheet2!$B$1:$E$19,2,FALSE))</f>
        <v>1073</v>
      </c>
      <c r="L1917">
        <f>IF(LEN(TRIM(E1917))=0,"",VLOOKUP(E1917,Sheet2!$B$1:$E$19,3,FALSE))</f>
        <v>1108959</v>
      </c>
      <c r="M1917">
        <f>IF(LEN(TRIM(E1917))=0,"",VLOOKUP(E1917,Sheet2!$B$1:$E$19,4,FALSE))+(F1917-1)</f>
        <v>3780176</v>
      </c>
    </row>
    <row r="1918" spans="1:17" s="1" customFormat="1" ht="15" customHeight="1" x14ac:dyDescent="0.25">
      <c r="A1918" s="28" t="s">
        <v>57</v>
      </c>
      <c r="B1918" s="28" t="s">
        <v>155</v>
      </c>
      <c r="C1918" s="6" t="s">
        <v>2424</v>
      </c>
      <c r="D1918" s="1" t="s">
        <v>454</v>
      </c>
      <c r="E1918" s="1">
        <v>2173</v>
      </c>
      <c r="F1918" s="28">
        <v>203</v>
      </c>
      <c r="G1918" s="1">
        <v>16</v>
      </c>
      <c r="H1918" s="1" t="s">
        <v>3073</v>
      </c>
      <c r="I1918" s="1" t="s">
        <v>3073</v>
      </c>
      <c r="J1918" t="str">
        <f t="shared" si="29"/>
        <v>http://www.badatelna.eu/reprodukce/?fondId=1073&amp;zaznamId=1108959&amp;reproId=3780196</v>
      </c>
      <c r="K1918">
        <f>IF(LEN(TRIM(E1918))=0,"",VLOOKUP(E1918,Sheet2!$B$1:$E$19,2,FALSE))</f>
        <v>1073</v>
      </c>
      <c r="L1918">
        <f>IF(LEN(TRIM(E1918))=0,"",VLOOKUP(E1918,Sheet2!$B$1:$E$19,3,FALSE))</f>
        <v>1108959</v>
      </c>
      <c r="M1918">
        <f>IF(LEN(TRIM(E1918))=0,"",VLOOKUP(E1918,Sheet2!$B$1:$E$19,4,FALSE))+(F1918-1)</f>
        <v>3780196</v>
      </c>
    </row>
    <row r="1919" spans="1:17" s="1" customFormat="1" ht="15" customHeight="1" x14ac:dyDescent="0.25">
      <c r="A1919" s="28" t="s">
        <v>57</v>
      </c>
      <c r="B1919" s="28" t="s">
        <v>155</v>
      </c>
      <c r="C1919" s="6" t="s">
        <v>2898</v>
      </c>
      <c r="D1919" s="1" t="s">
        <v>454</v>
      </c>
      <c r="E1919" s="1">
        <v>2173</v>
      </c>
      <c r="F1919" s="28">
        <v>211</v>
      </c>
      <c r="G1919" s="9" t="s">
        <v>2760</v>
      </c>
      <c r="H1919" s="1" t="s">
        <v>3073</v>
      </c>
      <c r="I1919" s="1" t="s">
        <v>3073</v>
      </c>
      <c r="J1919" t="str">
        <f t="shared" si="29"/>
        <v>http://www.badatelna.eu/reprodukce/?fondId=1073&amp;zaznamId=1108959&amp;reproId=3780204</v>
      </c>
      <c r="K1919">
        <f>IF(LEN(TRIM(E1919))=0,"",VLOOKUP(E1919,Sheet2!$B$1:$E$19,2,FALSE))</f>
        <v>1073</v>
      </c>
      <c r="L1919">
        <f>IF(LEN(TRIM(E1919))=0,"",VLOOKUP(E1919,Sheet2!$B$1:$E$19,3,FALSE))</f>
        <v>1108959</v>
      </c>
      <c r="M1919">
        <f>IF(LEN(TRIM(E1919))=0,"",VLOOKUP(E1919,Sheet2!$B$1:$E$19,4,FALSE))+(F1919-1)</f>
        <v>3780204</v>
      </c>
      <c r="N1919"/>
      <c r="O1919"/>
      <c r="P1919"/>
      <c r="Q1919"/>
    </row>
    <row r="1920" spans="1:17" s="1" customFormat="1" ht="15" customHeight="1" x14ac:dyDescent="0.25">
      <c r="A1920" s="28" t="s">
        <v>57</v>
      </c>
      <c r="B1920" s="28" t="s">
        <v>155</v>
      </c>
      <c r="C1920" s="6" t="s">
        <v>2143</v>
      </c>
      <c r="D1920" s="1" t="s">
        <v>454</v>
      </c>
      <c r="E1920" s="1">
        <v>2173</v>
      </c>
      <c r="F1920" s="28">
        <v>182</v>
      </c>
      <c r="G1920" s="9">
        <v>10</v>
      </c>
      <c r="H1920" s="1">
        <v>191</v>
      </c>
      <c r="I1920" s="1">
        <v>424</v>
      </c>
      <c r="J1920" t="str">
        <f t="shared" si="29"/>
        <v>http://www.badatelna.eu/reprodukce/?fondId=1073&amp;zaznamId=1108959&amp;reproId=3780175</v>
      </c>
      <c r="K1920">
        <f>IF(LEN(TRIM(E1920))=0,"",VLOOKUP(E1920,Sheet2!$B$1:$E$19,2,FALSE))</f>
        <v>1073</v>
      </c>
      <c r="L1920">
        <f>IF(LEN(TRIM(E1920))=0,"",VLOOKUP(E1920,Sheet2!$B$1:$E$19,3,FALSE))</f>
        <v>1108959</v>
      </c>
      <c r="M1920">
        <f>IF(LEN(TRIM(E1920))=0,"",VLOOKUP(E1920,Sheet2!$B$1:$E$19,4,FALSE))+(F1920-1)</f>
        <v>3780175</v>
      </c>
    </row>
    <row r="1921" spans="1:17" s="1" customFormat="1" ht="15" customHeight="1" x14ac:dyDescent="0.25">
      <c r="A1921" s="28" t="s">
        <v>57</v>
      </c>
      <c r="B1921" s="28" t="s">
        <v>172</v>
      </c>
      <c r="C1921" s="18" t="s">
        <v>2645</v>
      </c>
      <c r="D1921" s="1" t="s">
        <v>454</v>
      </c>
      <c r="E1921" s="1">
        <v>2173</v>
      </c>
      <c r="F1921" s="28">
        <v>221</v>
      </c>
      <c r="G1921" s="9">
        <v>49</v>
      </c>
      <c r="H1921" s="1" t="s">
        <v>3073</v>
      </c>
      <c r="I1921" s="1" t="s">
        <v>3073</v>
      </c>
      <c r="J1921" t="str">
        <f t="shared" si="29"/>
        <v>http://www.badatelna.eu/reprodukce/?fondId=1073&amp;zaznamId=1108959&amp;reproId=3780214</v>
      </c>
      <c r="K1921">
        <f>IF(LEN(TRIM(E1921))=0,"",VLOOKUP(E1921,Sheet2!$B$1:$E$19,2,FALSE))</f>
        <v>1073</v>
      </c>
      <c r="L1921">
        <f>IF(LEN(TRIM(E1921))=0,"",VLOOKUP(E1921,Sheet2!$B$1:$E$19,3,FALSE))</f>
        <v>1108959</v>
      </c>
      <c r="M1921">
        <f>IF(LEN(TRIM(E1921))=0,"",VLOOKUP(E1921,Sheet2!$B$1:$E$19,4,FALSE))+(F1921-1)</f>
        <v>3780214</v>
      </c>
      <c r="N1921"/>
      <c r="O1921"/>
      <c r="P1921"/>
      <c r="Q1921"/>
    </row>
    <row r="1922" spans="1:17" s="1" customFormat="1" ht="15" customHeight="1" x14ac:dyDescent="0.25">
      <c r="A1922" s="28" t="s">
        <v>57</v>
      </c>
      <c r="B1922" s="28" t="s">
        <v>172</v>
      </c>
      <c r="C1922" s="6" t="s">
        <v>2588</v>
      </c>
      <c r="D1922" s="1" t="s">
        <v>454</v>
      </c>
      <c r="E1922" s="1">
        <v>2173</v>
      </c>
      <c r="F1922" s="28">
        <v>215</v>
      </c>
      <c r="G1922" s="9">
        <v>40</v>
      </c>
      <c r="H1922" s="1" t="s">
        <v>3073</v>
      </c>
      <c r="I1922" s="1" t="s">
        <v>3073</v>
      </c>
      <c r="J1922" t="str">
        <f t="shared" si="29"/>
        <v>http://www.badatelna.eu/reprodukce/?fondId=1073&amp;zaznamId=1108959&amp;reproId=3780208</v>
      </c>
      <c r="K1922">
        <f>IF(LEN(TRIM(E1922))=0,"",VLOOKUP(E1922,Sheet2!$B$1:$E$19,2,FALSE))</f>
        <v>1073</v>
      </c>
      <c r="L1922">
        <f>IF(LEN(TRIM(E1922))=0,"",VLOOKUP(E1922,Sheet2!$B$1:$E$19,3,FALSE))</f>
        <v>1108959</v>
      </c>
      <c r="M1922">
        <f>IF(LEN(TRIM(E1922))=0,"",VLOOKUP(E1922,Sheet2!$B$1:$E$19,4,FALSE))+(F1922-1)</f>
        <v>3780208</v>
      </c>
    </row>
    <row r="1923" spans="1:17" s="1" customFormat="1" ht="15" customHeight="1" x14ac:dyDescent="0.25">
      <c r="A1923" s="28" t="s">
        <v>57</v>
      </c>
      <c r="B1923" s="28" t="s">
        <v>191</v>
      </c>
      <c r="C1923" s="6" t="s">
        <v>2646</v>
      </c>
      <c r="D1923" s="1" t="s">
        <v>454</v>
      </c>
      <c r="E1923" s="1">
        <v>2173</v>
      </c>
      <c r="F1923" s="28">
        <v>221</v>
      </c>
      <c r="G1923" s="9">
        <v>49</v>
      </c>
      <c r="H1923" s="1" t="s">
        <v>3073</v>
      </c>
      <c r="I1923" s="1" t="s">
        <v>3073</v>
      </c>
      <c r="J1923" t="str">
        <f t="shared" ref="J1923:J1986" si="30">IF(LEN(TRIM(E1923))=0,"","http://www.badatelna.eu/reprodukce/?fondId="&amp;K1923&amp;"&amp;zaznamId="&amp;L1923&amp;"&amp;reproId="&amp;M1923)</f>
        <v>http://www.badatelna.eu/reprodukce/?fondId=1073&amp;zaznamId=1108959&amp;reproId=3780214</v>
      </c>
      <c r="K1923">
        <f>IF(LEN(TRIM(E1923))=0,"",VLOOKUP(E1923,Sheet2!$B$1:$E$19,2,FALSE))</f>
        <v>1073</v>
      </c>
      <c r="L1923">
        <f>IF(LEN(TRIM(E1923))=0,"",VLOOKUP(E1923,Sheet2!$B$1:$E$19,3,FALSE))</f>
        <v>1108959</v>
      </c>
      <c r="M1923">
        <f>IF(LEN(TRIM(E1923))=0,"",VLOOKUP(E1923,Sheet2!$B$1:$E$19,4,FALSE))+(F1923-1)</f>
        <v>3780214</v>
      </c>
    </row>
    <row r="1924" spans="1:17" s="1" customFormat="1" ht="15" customHeight="1" x14ac:dyDescent="0.25">
      <c r="A1924" s="28" t="s">
        <v>57</v>
      </c>
      <c r="B1924" s="28" t="s">
        <v>191</v>
      </c>
      <c r="C1924" s="6" t="s">
        <v>2432</v>
      </c>
      <c r="D1924" s="1" t="s">
        <v>454</v>
      </c>
      <c r="E1924" s="1">
        <v>2173</v>
      </c>
      <c r="F1924" s="28">
        <v>203</v>
      </c>
      <c r="G1924" s="1">
        <v>16</v>
      </c>
      <c r="H1924" s="1" t="s">
        <v>3073</v>
      </c>
      <c r="I1924" s="1" t="s">
        <v>3073</v>
      </c>
      <c r="J1924" t="str">
        <f t="shared" si="30"/>
        <v>http://www.badatelna.eu/reprodukce/?fondId=1073&amp;zaznamId=1108959&amp;reproId=3780196</v>
      </c>
      <c r="K1924">
        <f>IF(LEN(TRIM(E1924))=0,"",VLOOKUP(E1924,Sheet2!$B$1:$E$19,2,FALSE))</f>
        <v>1073</v>
      </c>
      <c r="L1924">
        <f>IF(LEN(TRIM(E1924))=0,"",VLOOKUP(E1924,Sheet2!$B$1:$E$19,3,FALSE))</f>
        <v>1108959</v>
      </c>
      <c r="M1924">
        <f>IF(LEN(TRIM(E1924))=0,"",VLOOKUP(E1924,Sheet2!$B$1:$E$19,4,FALSE))+(F1924-1)</f>
        <v>3780196</v>
      </c>
      <c r="N1924"/>
      <c r="O1924"/>
      <c r="P1924"/>
      <c r="Q1924"/>
    </row>
    <row r="1925" spans="1:17" s="1" customFormat="1" ht="15" customHeight="1" x14ac:dyDescent="0.25">
      <c r="A1925" s="28" t="s">
        <v>57</v>
      </c>
      <c r="B1925" s="28" t="s">
        <v>922</v>
      </c>
      <c r="C1925" s="6" t="s">
        <v>1791</v>
      </c>
      <c r="D1925" s="1" t="s">
        <v>454</v>
      </c>
      <c r="E1925" s="1">
        <v>2172</v>
      </c>
      <c r="F1925" s="28">
        <v>157</v>
      </c>
      <c r="G1925" s="9">
        <v>151</v>
      </c>
      <c r="H1925" s="1">
        <v>160</v>
      </c>
      <c r="I1925" s="1">
        <v>154</v>
      </c>
      <c r="J1925" t="str">
        <f t="shared" si="30"/>
        <v>http://www.badatelna.eu/reprodukce/?fondId=1073&amp;zaznamId=1108958&amp;reproId=3779898</v>
      </c>
      <c r="K1925">
        <f>IF(LEN(TRIM(E1925))=0,"",VLOOKUP(E1925,Sheet2!$B$1:$E$19,2,FALSE))</f>
        <v>1073</v>
      </c>
      <c r="L1925">
        <f>IF(LEN(TRIM(E1925))=0,"",VLOOKUP(E1925,Sheet2!$B$1:$E$19,3,FALSE))</f>
        <v>1108958</v>
      </c>
      <c r="M1925">
        <f>IF(LEN(TRIM(E1925))=0,"",VLOOKUP(E1925,Sheet2!$B$1:$E$19,4,FALSE))+(F1925-1)</f>
        <v>3779898</v>
      </c>
    </row>
    <row r="1926" spans="1:17" s="1" customFormat="1" ht="15" customHeight="1" x14ac:dyDescent="0.25">
      <c r="A1926" s="28" t="s">
        <v>57</v>
      </c>
      <c r="B1926" s="28" t="s">
        <v>922</v>
      </c>
      <c r="C1926" s="6" t="s">
        <v>1614</v>
      </c>
      <c r="D1926" s="1" t="s">
        <v>454</v>
      </c>
      <c r="E1926" s="1">
        <v>2172</v>
      </c>
      <c r="F1926" s="28">
        <v>73</v>
      </c>
      <c r="G1926" s="9">
        <v>72</v>
      </c>
      <c r="H1926" s="1">
        <v>77</v>
      </c>
      <c r="I1926" s="1">
        <v>76</v>
      </c>
      <c r="J1926" t="str">
        <f t="shared" si="30"/>
        <v>http://www.badatelna.eu/reprodukce/?fondId=1073&amp;zaznamId=1108958&amp;reproId=3779814</v>
      </c>
      <c r="K1926">
        <f>IF(LEN(TRIM(E1926))=0,"",VLOOKUP(E1926,Sheet2!$B$1:$E$19,2,FALSE))</f>
        <v>1073</v>
      </c>
      <c r="L1926">
        <f>IF(LEN(TRIM(E1926))=0,"",VLOOKUP(E1926,Sheet2!$B$1:$E$19,3,FALSE))</f>
        <v>1108958</v>
      </c>
      <c r="M1926">
        <f>IF(LEN(TRIM(E1926))=0,"",VLOOKUP(E1926,Sheet2!$B$1:$E$19,4,FALSE))+(F1926-1)</f>
        <v>3779814</v>
      </c>
    </row>
    <row r="1927" spans="1:17" s="1" customFormat="1" ht="15" customHeight="1" x14ac:dyDescent="0.25">
      <c r="A1927" s="27" t="s">
        <v>57</v>
      </c>
      <c r="B1927" s="27" t="s">
        <v>332</v>
      </c>
      <c r="C1927" s="5" t="s">
        <v>1304</v>
      </c>
      <c r="D1927" s="3" t="s">
        <v>454</v>
      </c>
      <c r="E1927" s="3">
        <v>2170</v>
      </c>
      <c r="F1927" s="28">
        <v>29</v>
      </c>
      <c r="G1927" s="10">
        <v>25</v>
      </c>
      <c r="H1927" s="3">
        <v>68</v>
      </c>
      <c r="I1927" s="3">
        <v>64</v>
      </c>
      <c r="J1927" t="str">
        <f t="shared" si="30"/>
        <v>http://www.badatelna.eu/reprodukce/?fondId=1073&amp;zaznamId=1108956&amp;reproId=3779621</v>
      </c>
      <c r="K1927">
        <f>IF(LEN(TRIM(E1927))=0,"",VLOOKUP(E1927,Sheet2!$B$1:$E$19,2,FALSE))</f>
        <v>1073</v>
      </c>
      <c r="L1927">
        <f>IF(LEN(TRIM(E1927))=0,"",VLOOKUP(E1927,Sheet2!$B$1:$E$19,3,FALSE))</f>
        <v>1108956</v>
      </c>
      <c r="M1927">
        <f>IF(LEN(TRIM(E1927))=0,"",VLOOKUP(E1927,Sheet2!$B$1:$E$19,4,FALSE))+(F1927-1)</f>
        <v>3779621</v>
      </c>
      <c r="N1927"/>
      <c r="O1927"/>
      <c r="P1927"/>
      <c r="Q1927"/>
    </row>
    <row r="1928" spans="1:17" s="1" customFormat="1" ht="15" customHeight="1" x14ac:dyDescent="0.25">
      <c r="A1928" s="28" t="s">
        <v>57</v>
      </c>
      <c r="B1928" s="28" t="s">
        <v>894</v>
      </c>
      <c r="C1928" s="6" t="s">
        <v>1940</v>
      </c>
      <c r="D1928" s="1" t="s">
        <v>454</v>
      </c>
      <c r="E1928" s="1">
        <v>2172</v>
      </c>
      <c r="F1928" s="28">
        <v>221</v>
      </c>
      <c r="G1928" s="9">
        <v>203</v>
      </c>
      <c r="H1928" s="1" t="s">
        <v>3073</v>
      </c>
      <c r="I1928" s="1" t="s">
        <v>3073</v>
      </c>
      <c r="J1928" t="str">
        <f t="shared" si="30"/>
        <v>http://www.badatelna.eu/reprodukce/?fondId=1073&amp;zaznamId=1108958&amp;reproId=3779962</v>
      </c>
      <c r="K1928">
        <f>IF(LEN(TRIM(E1928))=0,"",VLOOKUP(E1928,Sheet2!$B$1:$E$19,2,FALSE))</f>
        <v>1073</v>
      </c>
      <c r="L1928">
        <f>IF(LEN(TRIM(E1928))=0,"",VLOOKUP(E1928,Sheet2!$B$1:$E$19,3,FALSE))</f>
        <v>1108958</v>
      </c>
      <c r="M1928">
        <f>IF(LEN(TRIM(E1928))=0,"",VLOOKUP(E1928,Sheet2!$B$1:$E$19,4,FALSE))+(F1928-1)</f>
        <v>3779962</v>
      </c>
    </row>
    <row r="1929" spans="1:17" s="1" customFormat="1" ht="15" customHeight="1" x14ac:dyDescent="0.25">
      <c r="A1929" s="28" t="s">
        <v>57</v>
      </c>
      <c r="B1929" s="28" t="s">
        <v>240</v>
      </c>
      <c r="C1929" s="1">
        <v>1887</v>
      </c>
      <c r="D1929" s="1" t="s">
        <v>454</v>
      </c>
      <c r="E1929" s="1">
        <v>2172</v>
      </c>
      <c r="F1929" s="28">
        <v>58</v>
      </c>
      <c r="G1929" s="9">
        <v>59</v>
      </c>
      <c r="H1929" s="1">
        <v>60</v>
      </c>
      <c r="I1929" s="1">
        <v>61</v>
      </c>
      <c r="J1929" t="str">
        <f t="shared" si="30"/>
        <v>http://www.badatelna.eu/reprodukce/?fondId=1073&amp;zaznamId=1108958&amp;reproId=3779799</v>
      </c>
      <c r="K1929">
        <f>IF(LEN(TRIM(E1929))=0,"",VLOOKUP(E1929,Sheet2!$B$1:$E$19,2,FALSE))</f>
        <v>1073</v>
      </c>
      <c r="L1929">
        <f>IF(LEN(TRIM(E1929))=0,"",VLOOKUP(E1929,Sheet2!$B$1:$E$19,3,FALSE))</f>
        <v>1108958</v>
      </c>
      <c r="M1929">
        <f>IF(LEN(TRIM(E1929))=0,"",VLOOKUP(E1929,Sheet2!$B$1:$E$19,4,FALSE))+(F1929-1)</f>
        <v>3779799</v>
      </c>
    </row>
    <row r="1930" spans="1:17" s="1" customFormat="1" ht="15" customHeight="1" x14ac:dyDescent="0.25">
      <c r="A1930" s="28" t="s">
        <v>57</v>
      </c>
      <c r="B1930" s="28" t="s">
        <v>19</v>
      </c>
      <c r="C1930" s="6" t="s">
        <v>2431</v>
      </c>
      <c r="D1930" s="1" t="s">
        <v>454</v>
      </c>
      <c r="E1930" s="1">
        <v>2173</v>
      </c>
      <c r="F1930" s="28">
        <v>203</v>
      </c>
      <c r="G1930" s="1">
        <v>15</v>
      </c>
      <c r="H1930" s="1" t="s">
        <v>3073</v>
      </c>
      <c r="I1930" s="1" t="s">
        <v>3073</v>
      </c>
      <c r="J1930" t="str">
        <f t="shared" si="30"/>
        <v>http://www.badatelna.eu/reprodukce/?fondId=1073&amp;zaznamId=1108959&amp;reproId=3780196</v>
      </c>
      <c r="K1930">
        <f>IF(LEN(TRIM(E1930))=0,"",VLOOKUP(E1930,Sheet2!$B$1:$E$19,2,FALSE))</f>
        <v>1073</v>
      </c>
      <c r="L1930">
        <f>IF(LEN(TRIM(E1930))=0,"",VLOOKUP(E1930,Sheet2!$B$1:$E$19,3,FALSE))</f>
        <v>1108959</v>
      </c>
      <c r="M1930">
        <f>IF(LEN(TRIM(E1930))=0,"",VLOOKUP(E1930,Sheet2!$B$1:$E$19,4,FALSE))+(F1930-1)</f>
        <v>3780196</v>
      </c>
    </row>
    <row r="1931" spans="1:17" s="1" customFormat="1" ht="15" customHeight="1" x14ac:dyDescent="0.25">
      <c r="A1931" s="28" t="s">
        <v>57</v>
      </c>
      <c r="B1931" s="28" t="s">
        <v>19</v>
      </c>
      <c r="C1931" s="6" t="s">
        <v>2080</v>
      </c>
      <c r="D1931" s="1" t="s">
        <v>454</v>
      </c>
      <c r="E1931" s="1">
        <v>2173</v>
      </c>
      <c r="F1931" s="28">
        <v>181</v>
      </c>
      <c r="G1931" s="9">
        <v>9</v>
      </c>
      <c r="H1931" s="1">
        <v>191</v>
      </c>
      <c r="I1931" s="1">
        <v>424</v>
      </c>
      <c r="J1931" t="str">
        <f t="shared" si="30"/>
        <v>http://www.badatelna.eu/reprodukce/?fondId=1073&amp;zaznamId=1108959&amp;reproId=3780174</v>
      </c>
      <c r="K1931">
        <f>IF(LEN(TRIM(E1931))=0,"",VLOOKUP(E1931,Sheet2!$B$1:$E$19,2,FALSE))</f>
        <v>1073</v>
      </c>
      <c r="L1931">
        <f>IF(LEN(TRIM(E1931))=0,"",VLOOKUP(E1931,Sheet2!$B$1:$E$19,3,FALSE))</f>
        <v>1108959</v>
      </c>
      <c r="M1931">
        <f>IF(LEN(TRIM(E1931))=0,"",VLOOKUP(E1931,Sheet2!$B$1:$E$19,4,FALSE))+(F1931-1)</f>
        <v>3780174</v>
      </c>
      <c r="N1931"/>
      <c r="O1931"/>
      <c r="P1931"/>
      <c r="Q1931"/>
    </row>
    <row r="1932" spans="1:17" s="1" customFormat="1" ht="15" customHeight="1" x14ac:dyDescent="0.25">
      <c r="A1932" s="28" t="s">
        <v>57</v>
      </c>
      <c r="B1932" s="28" t="s">
        <v>19</v>
      </c>
      <c r="C1932" s="6" t="s">
        <v>2146</v>
      </c>
      <c r="D1932" s="1" t="s">
        <v>454</v>
      </c>
      <c r="E1932" s="1">
        <v>2173</v>
      </c>
      <c r="F1932" s="28">
        <v>181</v>
      </c>
      <c r="G1932" s="9">
        <v>8</v>
      </c>
      <c r="H1932" s="1">
        <v>191</v>
      </c>
      <c r="I1932" s="1">
        <v>424</v>
      </c>
      <c r="J1932" t="str">
        <f t="shared" si="30"/>
        <v>http://www.badatelna.eu/reprodukce/?fondId=1073&amp;zaznamId=1108959&amp;reproId=3780174</v>
      </c>
      <c r="K1932">
        <f>IF(LEN(TRIM(E1932))=0,"",VLOOKUP(E1932,Sheet2!$B$1:$E$19,2,FALSE))</f>
        <v>1073</v>
      </c>
      <c r="L1932">
        <f>IF(LEN(TRIM(E1932))=0,"",VLOOKUP(E1932,Sheet2!$B$1:$E$19,3,FALSE))</f>
        <v>1108959</v>
      </c>
      <c r="M1932">
        <f>IF(LEN(TRIM(E1932))=0,"",VLOOKUP(E1932,Sheet2!$B$1:$E$19,4,FALSE))+(F1932-1)</f>
        <v>3780174</v>
      </c>
    </row>
    <row r="1933" spans="1:17" s="1" customFormat="1" ht="15" customHeight="1" x14ac:dyDescent="0.25">
      <c r="A1933" s="28" t="s">
        <v>57</v>
      </c>
      <c r="B1933" s="28" t="s">
        <v>25</v>
      </c>
      <c r="C1933" s="6" t="s">
        <v>2529</v>
      </c>
      <c r="D1933" s="1" t="s">
        <v>454</v>
      </c>
      <c r="E1933" s="1">
        <v>2173</v>
      </c>
      <c r="F1933" s="28">
        <v>207</v>
      </c>
      <c r="G1933" s="1">
        <v>23</v>
      </c>
      <c r="H1933" s="1" t="s">
        <v>3073</v>
      </c>
      <c r="I1933" s="1" t="s">
        <v>3073</v>
      </c>
      <c r="J1933" t="str">
        <f t="shared" si="30"/>
        <v>http://www.badatelna.eu/reprodukce/?fondId=1073&amp;zaznamId=1108959&amp;reproId=3780200</v>
      </c>
      <c r="K1933">
        <f>IF(LEN(TRIM(E1933))=0,"",VLOOKUP(E1933,Sheet2!$B$1:$E$19,2,FALSE))</f>
        <v>1073</v>
      </c>
      <c r="L1933">
        <f>IF(LEN(TRIM(E1933))=0,"",VLOOKUP(E1933,Sheet2!$B$1:$E$19,3,FALSE))</f>
        <v>1108959</v>
      </c>
      <c r="M1933">
        <f>IF(LEN(TRIM(E1933))=0,"",VLOOKUP(E1933,Sheet2!$B$1:$E$19,4,FALSE))+(F1933-1)</f>
        <v>3780200</v>
      </c>
    </row>
    <row r="1934" spans="1:17" s="1" customFormat="1" ht="15" customHeight="1" x14ac:dyDescent="0.25">
      <c r="A1934" s="28" t="s">
        <v>57</v>
      </c>
      <c r="B1934" s="28" t="s">
        <v>25</v>
      </c>
      <c r="C1934" s="6" t="s">
        <v>2300</v>
      </c>
      <c r="D1934" s="1" t="s">
        <v>454</v>
      </c>
      <c r="E1934" s="1">
        <v>2173</v>
      </c>
      <c r="F1934" s="28">
        <v>198</v>
      </c>
      <c r="G1934" s="9">
        <v>6</v>
      </c>
      <c r="H1934" s="1" t="s">
        <v>3073</v>
      </c>
      <c r="I1934" s="1" t="s">
        <v>3073</v>
      </c>
      <c r="J1934" t="str">
        <f t="shared" si="30"/>
        <v>http://www.badatelna.eu/reprodukce/?fondId=1073&amp;zaznamId=1108959&amp;reproId=3780191</v>
      </c>
      <c r="K1934">
        <f>IF(LEN(TRIM(E1934))=0,"",VLOOKUP(E1934,Sheet2!$B$1:$E$19,2,FALSE))</f>
        <v>1073</v>
      </c>
      <c r="L1934">
        <f>IF(LEN(TRIM(E1934))=0,"",VLOOKUP(E1934,Sheet2!$B$1:$E$19,3,FALSE))</f>
        <v>1108959</v>
      </c>
      <c r="M1934">
        <f>IF(LEN(TRIM(E1934))=0,"",VLOOKUP(E1934,Sheet2!$B$1:$E$19,4,FALSE))+(F1934-1)</f>
        <v>3780191</v>
      </c>
    </row>
    <row r="1935" spans="1:17" s="1" customFormat="1" ht="15" customHeight="1" x14ac:dyDescent="0.25">
      <c r="A1935" s="27" t="s">
        <v>57</v>
      </c>
      <c r="B1935" s="27" t="s">
        <v>25</v>
      </c>
      <c r="C1935" s="5" t="s">
        <v>1308</v>
      </c>
      <c r="D1935" s="3" t="s">
        <v>454</v>
      </c>
      <c r="E1935" s="3">
        <v>2170</v>
      </c>
      <c r="F1935" s="28">
        <v>46</v>
      </c>
      <c r="G1935" s="10" t="s">
        <v>3078</v>
      </c>
      <c r="H1935" s="3">
        <v>68</v>
      </c>
      <c r="I1935" s="3">
        <v>64</v>
      </c>
      <c r="J1935" t="str">
        <f t="shared" si="30"/>
        <v>http://www.badatelna.eu/reprodukce/?fondId=1073&amp;zaznamId=1108956&amp;reproId=3779638</v>
      </c>
      <c r="K1935">
        <f>IF(LEN(TRIM(E1935))=0,"",VLOOKUP(E1935,Sheet2!$B$1:$E$19,2,FALSE))</f>
        <v>1073</v>
      </c>
      <c r="L1935">
        <f>IF(LEN(TRIM(E1935))=0,"",VLOOKUP(E1935,Sheet2!$B$1:$E$19,3,FALSE))</f>
        <v>1108956</v>
      </c>
      <c r="M1935">
        <f>IF(LEN(TRIM(E1935))=0,"",VLOOKUP(E1935,Sheet2!$B$1:$E$19,4,FALSE))+(F1935-1)</f>
        <v>3779638</v>
      </c>
    </row>
    <row r="1936" spans="1:17" s="1" customFormat="1" ht="15" customHeight="1" x14ac:dyDescent="0.25">
      <c r="A1936" s="28" t="s">
        <v>57</v>
      </c>
      <c r="B1936" s="28" t="s">
        <v>10</v>
      </c>
      <c r="C1936" s="1">
        <v>1885</v>
      </c>
      <c r="D1936" s="1" t="s">
        <v>454</v>
      </c>
      <c r="E1936" s="1">
        <v>2172</v>
      </c>
      <c r="F1936" s="28">
        <v>47</v>
      </c>
      <c r="G1936" s="9">
        <v>46</v>
      </c>
      <c r="H1936" s="1">
        <v>49</v>
      </c>
      <c r="I1936" s="1">
        <v>50</v>
      </c>
      <c r="J1936" t="str">
        <f t="shared" si="30"/>
        <v>http://www.badatelna.eu/reprodukce/?fondId=1073&amp;zaznamId=1108958&amp;reproId=3779788</v>
      </c>
      <c r="K1936">
        <f>IF(LEN(TRIM(E1936))=0,"",VLOOKUP(E1936,Sheet2!$B$1:$E$19,2,FALSE))</f>
        <v>1073</v>
      </c>
      <c r="L1936">
        <f>IF(LEN(TRIM(E1936))=0,"",VLOOKUP(E1936,Sheet2!$B$1:$E$19,3,FALSE))</f>
        <v>1108958</v>
      </c>
      <c r="M1936">
        <f>IF(LEN(TRIM(E1936))=0,"",VLOOKUP(E1936,Sheet2!$B$1:$E$19,4,FALSE))+(F1936-1)</f>
        <v>3779788</v>
      </c>
    </row>
    <row r="1937" spans="1:17" s="1" customFormat="1" ht="15" customHeight="1" x14ac:dyDescent="0.25">
      <c r="A1937" s="28" t="s">
        <v>57</v>
      </c>
      <c r="B1937" s="28" t="s">
        <v>10</v>
      </c>
      <c r="C1937" s="6" t="s">
        <v>2457</v>
      </c>
      <c r="D1937" s="1" t="s">
        <v>454</v>
      </c>
      <c r="E1937" s="1">
        <v>2173</v>
      </c>
      <c r="F1937" s="28">
        <v>204</v>
      </c>
      <c r="G1937" s="1">
        <v>18</v>
      </c>
      <c r="H1937" s="1" t="s">
        <v>3073</v>
      </c>
      <c r="I1937" s="1" t="s">
        <v>3073</v>
      </c>
      <c r="J1937" t="str">
        <f t="shared" si="30"/>
        <v>http://www.badatelna.eu/reprodukce/?fondId=1073&amp;zaznamId=1108959&amp;reproId=3780197</v>
      </c>
      <c r="K1937">
        <f>IF(LEN(TRIM(E1937))=0,"",VLOOKUP(E1937,Sheet2!$B$1:$E$19,2,FALSE))</f>
        <v>1073</v>
      </c>
      <c r="L1937">
        <f>IF(LEN(TRIM(E1937))=0,"",VLOOKUP(E1937,Sheet2!$B$1:$E$19,3,FALSE))</f>
        <v>1108959</v>
      </c>
      <c r="M1937">
        <f>IF(LEN(TRIM(E1937))=0,"",VLOOKUP(E1937,Sheet2!$B$1:$E$19,4,FALSE))+(F1937-1)</f>
        <v>3780197</v>
      </c>
    </row>
    <row r="1938" spans="1:17" s="1" customFormat="1" ht="15" customHeight="1" x14ac:dyDescent="0.25">
      <c r="A1938" s="28" t="s">
        <v>57</v>
      </c>
      <c r="B1938" s="28" t="s">
        <v>982</v>
      </c>
      <c r="C1938" s="6" t="s">
        <v>1576</v>
      </c>
      <c r="D1938" s="1" t="s">
        <v>454</v>
      </c>
      <c r="E1938" s="1">
        <v>2172</v>
      </c>
      <c r="F1938" s="28">
        <v>22</v>
      </c>
      <c r="G1938" s="9">
        <v>21</v>
      </c>
      <c r="H1938" s="1">
        <v>25</v>
      </c>
      <c r="I1938" s="1">
        <v>24</v>
      </c>
      <c r="J1938" t="str">
        <f t="shared" si="30"/>
        <v>http://www.badatelna.eu/reprodukce/?fondId=1073&amp;zaznamId=1108958&amp;reproId=3779763</v>
      </c>
      <c r="K1938">
        <f>IF(LEN(TRIM(E1938))=0,"",VLOOKUP(E1938,Sheet2!$B$1:$E$19,2,FALSE))</f>
        <v>1073</v>
      </c>
      <c r="L1938">
        <f>IF(LEN(TRIM(E1938))=0,"",VLOOKUP(E1938,Sheet2!$B$1:$E$19,3,FALSE))</f>
        <v>1108958</v>
      </c>
      <c r="M1938">
        <f>IF(LEN(TRIM(E1938))=0,"",VLOOKUP(E1938,Sheet2!$B$1:$E$19,4,FALSE))+(F1938-1)</f>
        <v>3779763</v>
      </c>
    </row>
    <row r="1939" spans="1:17" s="1" customFormat="1" ht="15" customHeight="1" x14ac:dyDescent="0.25">
      <c r="A1939" s="28" t="s">
        <v>57</v>
      </c>
      <c r="B1939" s="28" t="s">
        <v>982</v>
      </c>
      <c r="C1939" s="6" t="s">
        <v>2907</v>
      </c>
      <c r="D1939" s="1" t="s">
        <v>454</v>
      </c>
      <c r="E1939" s="1">
        <v>2173</v>
      </c>
      <c r="F1939" s="28">
        <v>212</v>
      </c>
      <c r="G1939" s="9" t="s">
        <v>2761</v>
      </c>
      <c r="H1939" s="1" t="s">
        <v>3073</v>
      </c>
      <c r="I1939" s="1" t="s">
        <v>3073</v>
      </c>
      <c r="J1939" t="str">
        <f t="shared" si="30"/>
        <v>http://www.badatelna.eu/reprodukce/?fondId=1073&amp;zaznamId=1108959&amp;reproId=3780205</v>
      </c>
      <c r="K1939">
        <f>IF(LEN(TRIM(E1939))=0,"",VLOOKUP(E1939,Sheet2!$B$1:$E$19,2,FALSE))</f>
        <v>1073</v>
      </c>
      <c r="L1939">
        <f>IF(LEN(TRIM(E1939))=0,"",VLOOKUP(E1939,Sheet2!$B$1:$E$19,3,FALSE))</f>
        <v>1108959</v>
      </c>
      <c r="M1939">
        <f>IF(LEN(TRIM(E1939))=0,"",VLOOKUP(E1939,Sheet2!$B$1:$E$19,4,FALSE))+(F1939-1)</f>
        <v>3780205</v>
      </c>
    </row>
    <row r="1940" spans="1:17" s="1" customFormat="1" ht="15" customHeight="1" x14ac:dyDescent="0.25">
      <c r="A1940" s="28" t="s">
        <v>57</v>
      </c>
      <c r="B1940" s="28" t="s">
        <v>270</v>
      </c>
      <c r="C1940" s="6" t="s">
        <v>2141</v>
      </c>
      <c r="D1940" s="1" t="s">
        <v>454</v>
      </c>
      <c r="E1940" s="1">
        <v>2173</v>
      </c>
      <c r="F1940" s="28">
        <v>181</v>
      </c>
      <c r="G1940" s="9">
        <v>8</v>
      </c>
      <c r="H1940" s="1">
        <v>191</v>
      </c>
      <c r="I1940" s="1">
        <v>424</v>
      </c>
      <c r="J1940" t="str">
        <f t="shared" si="30"/>
        <v>http://www.badatelna.eu/reprodukce/?fondId=1073&amp;zaznamId=1108959&amp;reproId=3780174</v>
      </c>
      <c r="K1940">
        <f>IF(LEN(TRIM(E1940))=0,"",VLOOKUP(E1940,Sheet2!$B$1:$E$19,2,FALSE))</f>
        <v>1073</v>
      </c>
      <c r="L1940">
        <f>IF(LEN(TRIM(E1940))=0,"",VLOOKUP(E1940,Sheet2!$B$1:$E$19,3,FALSE))</f>
        <v>1108959</v>
      </c>
      <c r="M1940">
        <f>IF(LEN(TRIM(E1940))=0,"",VLOOKUP(E1940,Sheet2!$B$1:$E$19,4,FALSE))+(F1940-1)</f>
        <v>3780174</v>
      </c>
    </row>
    <row r="1941" spans="1:17" s="1" customFormat="1" ht="15" customHeight="1" x14ac:dyDescent="0.25">
      <c r="A1941" s="28" t="s">
        <v>57</v>
      </c>
      <c r="B1941" s="28" t="s">
        <v>198</v>
      </c>
      <c r="C1941" s="1">
        <v>1859</v>
      </c>
      <c r="D1941" s="1" t="s">
        <v>2919</v>
      </c>
      <c r="E1941" s="1">
        <v>998</v>
      </c>
      <c r="F1941" s="28">
        <v>56</v>
      </c>
      <c r="G1941" s="1" t="s">
        <v>2941</v>
      </c>
      <c r="H1941" s="1">
        <v>76</v>
      </c>
      <c r="I1941" s="1">
        <v>73</v>
      </c>
      <c r="J1941" t="str">
        <f t="shared" si="30"/>
        <v>http://www.badatelna.eu/reprodukce/?fondId=241&amp;zaznamId=1133738&amp;reproId=3885702</v>
      </c>
      <c r="K1941">
        <f>IF(LEN(TRIM(E1941))=0,"",VLOOKUP(E1941,Sheet2!$B$1:$E$19,2,FALSE))</f>
        <v>241</v>
      </c>
      <c r="L1941">
        <f>IF(LEN(TRIM(E1941))=0,"",VLOOKUP(E1941,Sheet2!$B$1:$E$19,3,FALSE))</f>
        <v>1133738</v>
      </c>
      <c r="M1941">
        <f>IF(LEN(TRIM(E1941))=0,"",VLOOKUP(E1941,Sheet2!$B$1:$E$19,4,FALSE))+(F1941-1)</f>
        <v>3885702</v>
      </c>
    </row>
    <row r="1942" spans="1:17" s="1" customFormat="1" ht="15" customHeight="1" x14ac:dyDescent="0.25">
      <c r="A1942" s="28" t="s">
        <v>57</v>
      </c>
      <c r="B1942" s="28" t="s">
        <v>198</v>
      </c>
      <c r="C1942" s="6" t="s">
        <v>1577</v>
      </c>
      <c r="D1942" s="1" t="s">
        <v>454</v>
      </c>
      <c r="E1942" s="1">
        <v>2172</v>
      </c>
      <c r="F1942" s="28">
        <v>20</v>
      </c>
      <c r="G1942" s="9">
        <v>19</v>
      </c>
      <c r="H1942" s="1">
        <v>25</v>
      </c>
      <c r="I1942" s="1">
        <v>24</v>
      </c>
      <c r="J1942" t="str">
        <f t="shared" si="30"/>
        <v>http://www.badatelna.eu/reprodukce/?fondId=1073&amp;zaznamId=1108958&amp;reproId=3779761</v>
      </c>
      <c r="K1942">
        <f>IF(LEN(TRIM(E1942))=0,"",VLOOKUP(E1942,Sheet2!$B$1:$E$19,2,FALSE))</f>
        <v>1073</v>
      </c>
      <c r="L1942">
        <f>IF(LEN(TRIM(E1942))=0,"",VLOOKUP(E1942,Sheet2!$B$1:$E$19,3,FALSE))</f>
        <v>1108958</v>
      </c>
      <c r="M1942">
        <f>IF(LEN(TRIM(E1942))=0,"",VLOOKUP(E1942,Sheet2!$B$1:$E$19,4,FALSE))+(F1942-1)</f>
        <v>3779761</v>
      </c>
      <c r="N1942"/>
      <c r="O1942"/>
      <c r="P1942"/>
      <c r="Q1942"/>
    </row>
    <row r="1943" spans="1:17" s="1" customFormat="1" ht="15" customHeight="1" x14ac:dyDescent="0.25">
      <c r="A1943" s="28" t="s">
        <v>57</v>
      </c>
      <c r="B1943" s="28" t="s">
        <v>2871</v>
      </c>
      <c r="C1943" s="6" t="s">
        <v>2141</v>
      </c>
      <c r="D1943" s="1" t="s">
        <v>454</v>
      </c>
      <c r="E1943" s="1">
        <v>2173</v>
      </c>
      <c r="F1943" s="28">
        <v>210</v>
      </c>
      <c r="G1943" s="9" t="s">
        <v>2874</v>
      </c>
      <c r="H1943" s="1" t="s">
        <v>3073</v>
      </c>
      <c r="I1943" s="1" t="s">
        <v>3073</v>
      </c>
      <c r="J1943" t="str">
        <f t="shared" si="30"/>
        <v>http://www.badatelna.eu/reprodukce/?fondId=1073&amp;zaznamId=1108959&amp;reproId=3780203</v>
      </c>
      <c r="K1943">
        <f>IF(LEN(TRIM(E1943))=0,"",VLOOKUP(E1943,Sheet2!$B$1:$E$19,2,FALSE))</f>
        <v>1073</v>
      </c>
      <c r="L1943">
        <f>IF(LEN(TRIM(E1943))=0,"",VLOOKUP(E1943,Sheet2!$B$1:$E$19,3,FALSE))</f>
        <v>1108959</v>
      </c>
      <c r="M1943">
        <f>IF(LEN(TRIM(E1943))=0,"",VLOOKUP(E1943,Sheet2!$B$1:$E$19,4,FALSE))+(F1943-1)</f>
        <v>3780203</v>
      </c>
      <c r="N1943"/>
      <c r="O1943"/>
      <c r="P1943"/>
      <c r="Q1943"/>
    </row>
    <row r="1944" spans="1:17" s="1" customFormat="1" ht="15" customHeight="1" x14ac:dyDescent="0.2">
      <c r="A1944" s="31" t="s">
        <v>57</v>
      </c>
      <c r="B1944" s="31" t="s">
        <v>49</v>
      </c>
      <c r="C1944" s="7" t="s">
        <v>2796</v>
      </c>
      <c r="D1944" s="1" t="s">
        <v>454</v>
      </c>
      <c r="E1944" s="1">
        <v>2173</v>
      </c>
      <c r="F1944" s="31">
        <v>197</v>
      </c>
      <c r="G1944" s="12">
        <v>3</v>
      </c>
      <c r="H1944" s="1" t="s">
        <v>3073</v>
      </c>
      <c r="I1944" s="1" t="s">
        <v>3073</v>
      </c>
      <c r="J1944" t="str">
        <f t="shared" si="30"/>
        <v>http://www.badatelna.eu/reprodukce/?fondId=1073&amp;zaznamId=1108959&amp;reproId=3780190</v>
      </c>
      <c r="K1944">
        <f>IF(LEN(TRIM(E1944))=0,"",VLOOKUP(E1944,Sheet2!$B$1:$E$19,2,FALSE))</f>
        <v>1073</v>
      </c>
      <c r="L1944">
        <f>IF(LEN(TRIM(E1944))=0,"",VLOOKUP(E1944,Sheet2!$B$1:$E$19,3,FALSE))</f>
        <v>1108959</v>
      </c>
      <c r="M1944">
        <f>IF(LEN(TRIM(E1944))=0,"",VLOOKUP(E1944,Sheet2!$B$1:$E$19,4,FALSE))+(F1944-1)</f>
        <v>3780190</v>
      </c>
      <c r="N1944"/>
      <c r="O1944"/>
      <c r="P1944"/>
      <c r="Q1944"/>
    </row>
    <row r="1945" spans="1:17" s="1" customFormat="1" ht="15" customHeight="1" x14ac:dyDescent="0.25">
      <c r="A1945" s="28" t="s">
        <v>57</v>
      </c>
      <c r="B1945" s="28" t="s">
        <v>338</v>
      </c>
      <c r="C1945" s="6" t="s">
        <v>2145</v>
      </c>
      <c r="D1945" s="1" t="s">
        <v>454</v>
      </c>
      <c r="E1945" s="1">
        <v>2173</v>
      </c>
      <c r="F1945" s="28">
        <v>182</v>
      </c>
      <c r="G1945" s="9">
        <v>10</v>
      </c>
      <c r="H1945" s="1">
        <v>191</v>
      </c>
      <c r="I1945" s="1">
        <v>424</v>
      </c>
      <c r="J1945" t="str">
        <f t="shared" si="30"/>
        <v>http://www.badatelna.eu/reprodukce/?fondId=1073&amp;zaznamId=1108959&amp;reproId=3780175</v>
      </c>
      <c r="K1945">
        <f>IF(LEN(TRIM(E1945))=0,"",VLOOKUP(E1945,Sheet2!$B$1:$E$19,2,FALSE))</f>
        <v>1073</v>
      </c>
      <c r="L1945">
        <f>IF(LEN(TRIM(E1945))=0,"",VLOOKUP(E1945,Sheet2!$B$1:$E$19,3,FALSE))</f>
        <v>1108959</v>
      </c>
      <c r="M1945">
        <f>IF(LEN(TRIM(E1945))=0,"",VLOOKUP(E1945,Sheet2!$B$1:$E$19,4,FALSE))+(F1945-1)</f>
        <v>3780175</v>
      </c>
    </row>
    <row r="1946" spans="1:17" s="1" customFormat="1" ht="15" customHeight="1" x14ac:dyDescent="0.25">
      <c r="A1946" s="28" t="s">
        <v>57</v>
      </c>
      <c r="B1946" s="28" t="s">
        <v>338</v>
      </c>
      <c r="C1946" s="6" t="s">
        <v>2145</v>
      </c>
      <c r="D1946" s="1" t="s">
        <v>454</v>
      </c>
      <c r="E1946" s="1">
        <v>2173</v>
      </c>
      <c r="F1946" s="28">
        <v>212</v>
      </c>
      <c r="G1946" s="9" t="s">
        <v>2761</v>
      </c>
      <c r="H1946" s="1" t="s">
        <v>3073</v>
      </c>
      <c r="I1946" s="1" t="s">
        <v>3073</v>
      </c>
      <c r="J1946" t="str">
        <f t="shared" si="30"/>
        <v>http://www.badatelna.eu/reprodukce/?fondId=1073&amp;zaznamId=1108959&amp;reproId=3780205</v>
      </c>
      <c r="K1946">
        <f>IF(LEN(TRIM(E1946))=0,"",VLOOKUP(E1946,Sheet2!$B$1:$E$19,2,FALSE))</f>
        <v>1073</v>
      </c>
      <c r="L1946">
        <f>IF(LEN(TRIM(E1946))=0,"",VLOOKUP(E1946,Sheet2!$B$1:$E$19,3,FALSE))</f>
        <v>1108959</v>
      </c>
      <c r="M1946">
        <f>IF(LEN(TRIM(E1946))=0,"",VLOOKUP(E1946,Sheet2!$B$1:$E$19,4,FALSE))+(F1946-1)</f>
        <v>3780205</v>
      </c>
    </row>
    <row r="1947" spans="1:17" s="1" customFormat="1" ht="15" customHeight="1" x14ac:dyDescent="0.25">
      <c r="A1947" s="28" t="s">
        <v>57</v>
      </c>
      <c r="B1947" s="28" t="s">
        <v>471</v>
      </c>
      <c r="C1947" s="1">
        <v>1866</v>
      </c>
      <c r="D1947" s="1" t="s">
        <v>2919</v>
      </c>
      <c r="E1947" s="1">
        <v>999</v>
      </c>
      <c r="F1947" s="28">
        <v>92</v>
      </c>
      <c r="G1947" s="1">
        <v>13</v>
      </c>
      <c r="H1947" s="1">
        <v>106</v>
      </c>
      <c r="I1947" s="1">
        <v>165</v>
      </c>
      <c r="J1947" t="str">
        <f t="shared" si="30"/>
        <v>http://www.badatelna.eu/reprodukce/?fondId=241&amp;zaznamId=1133739&amp;reproId=3885821</v>
      </c>
      <c r="K1947">
        <f>IF(LEN(TRIM(E1947))=0,"",VLOOKUP(E1947,Sheet2!$B$1:$E$19,2,FALSE))</f>
        <v>241</v>
      </c>
      <c r="L1947">
        <f>IF(LEN(TRIM(E1947))=0,"",VLOOKUP(E1947,Sheet2!$B$1:$E$19,3,FALSE))</f>
        <v>1133739</v>
      </c>
      <c r="M1947">
        <f>IF(LEN(TRIM(E1947))=0,"",VLOOKUP(E1947,Sheet2!$B$1:$E$19,4,FALSE))+(F1947-1)</f>
        <v>3885821</v>
      </c>
    </row>
    <row r="1948" spans="1:17" s="1" customFormat="1" ht="15" customHeight="1" x14ac:dyDescent="0.25">
      <c r="A1948" s="27" t="s">
        <v>57</v>
      </c>
      <c r="B1948" s="27" t="s">
        <v>359</v>
      </c>
      <c r="C1948" s="5" t="s">
        <v>1307</v>
      </c>
      <c r="D1948" s="3" t="s">
        <v>454</v>
      </c>
      <c r="E1948" s="3">
        <v>2170</v>
      </c>
      <c r="F1948" s="37">
        <v>19</v>
      </c>
      <c r="G1948" s="10">
        <v>15</v>
      </c>
      <c r="H1948" s="3">
        <v>68</v>
      </c>
      <c r="I1948" s="3">
        <v>64</v>
      </c>
      <c r="J1948" t="str">
        <f t="shared" si="30"/>
        <v>http://www.badatelna.eu/reprodukce/?fondId=1073&amp;zaznamId=1108956&amp;reproId=3779611</v>
      </c>
      <c r="K1948">
        <f>IF(LEN(TRIM(E1948))=0,"",VLOOKUP(E1948,Sheet2!$B$1:$E$19,2,FALSE))</f>
        <v>1073</v>
      </c>
      <c r="L1948">
        <f>IF(LEN(TRIM(E1948))=0,"",VLOOKUP(E1948,Sheet2!$B$1:$E$19,3,FALSE))</f>
        <v>1108956</v>
      </c>
      <c r="M1948">
        <f>IF(LEN(TRIM(E1948))=0,"",VLOOKUP(E1948,Sheet2!$B$1:$E$19,4,FALSE))+(F1948-1)</f>
        <v>3779611</v>
      </c>
      <c r="N1948"/>
      <c r="O1948"/>
      <c r="P1948"/>
      <c r="Q1948"/>
    </row>
    <row r="1949" spans="1:17" s="1" customFormat="1" ht="15" customHeight="1" x14ac:dyDescent="0.25">
      <c r="A1949" s="28" t="s">
        <v>57</v>
      </c>
      <c r="B1949" s="28" t="s">
        <v>462</v>
      </c>
      <c r="C1949" s="1">
        <v>1862</v>
      </c>
      <c r="D1949" s="1" t="s">
        <v>2919</v>
      </c>
      <c r="E1949" s="1">
        <v>999</v>
      </c>
      <c r="F1949" s="28">
        <v>80</v>
      </c>
      <c r="G1949" s="1">
        <v>1</v>
      </c>
      <c r="H1949" s="1">
        <v>106</v>
      </c>
      <c r="I1949" s="1">
        <v>165</v>
      </c>
      <c r="J1949" t="str">
        <f t="shared" si="30"/>
        <v>http://www.badatelna.eu/reprodukce/?fondId=241&amp;zaznamId=1133739&amp;reproId=3885809</v>
      </c>
      <c r="K1949">
        <f>IF(LEN(TRIM(E1949))=0,"",VLOOKUP(E1949,Sheet2!$B$1:$E$19,2,FALSE))</f>
        <v>241</v>
      </c>
      <c r="L1949">
        <f>IF(LEN(TRIM(E1949))=0,"",VLOOKUP(E1949,Sheet2!$B$1:$E$19,3,FALSE))</f>
        <v>1133739</v>
      </c>
      <c r="M1949">
        <f>IF(LEN(TRIM(E1949))=0,"",VLOOKUP(E1949,Sheet2!$B$1:$E$19,4,FALSE))+(F1949-1)</f>
        <v>3885809</v>
      </c>
    </row>
    <row r="1950" spans="1:17" s="1" customFormat="1" ht="15" customHeight="1" x14ac:dyDescent="0.25">
      <c r="A1950" s="28" t="s">
        <v>57</v>
      </c>
      <c r="B1950" s="28" t="s">
        <v>462</v>
      </c>
      <c r="C1950" s="1">
        <v>1889</v>
      </c>
      <c r="D1950" s="1" t="s">
        <v>454</v>
      </c>
      <c r="E1950" s="1">
        <v>2172</v>
      </c>
      <c r="F1950" s="28">
        <v>68</v>
      </c>
      <c r="G1950" s="9" t="s">
        <v>3083</v>
      </c>
      <c r="H1950" s="1">
        <v>70</v>
      </c>
      <c r="I1950" s="1">
        <v>69</v>
      </c>
      <c r="J1950" t="str">
        <f t="shared" si="30"/>
        <v>http://www.badatelna.eu/reprodukce/?fondId=1073&amp;zaznamId=1108958&amp;reproId=3779809</v>
      </c>
      <c r="K1950">
        <f>IF(LEN(TRIM(E1950))=0,"",VLOOKUP(E1950,Sheet2!$B$1:$E$19,2,FALSE))</f>
        <v>1073</v>
      </c>
      <c r="L1950">
        <f>IF(LEN(TRIM(E1950))=0,"",VLOOKUP(E1950,Sheet2!$B$1:$E$19,3,FALSE))</f>
        <v>1108958</v>
      </c>
      <c r="M1950">
        <f>IF(LEN(TRIM(E1950))=0,"",VLOOKUP(E1950,Sheet2!$B$1:$E$19,4,FALSE))+(F1950-1)</f>
        <v>3779809</v>
      </c>
    </row>
    <row r="1951" spans="1:17" s="1" customFormat="1" ht="15" customHeight="1" x14ac:dyDescent="0.25">
      <c r="A1951" s="27" t="s">
        <v>57</v>
      </c>
      <c r="B1951" s="27" t="s">
        <v>490</v>
      </c>
      <c r="C1951" s="5" t="s">
        <v>1305</v>
      </c>
      <c r="D1951" s="3" t="s">
        <v>454</v>
      </c>
      <c r="E1951" s="3">
        <v>2170</v>
      </c>
      <c r="F1951" s="28">
        <v>33</v>
      </c>
      <c r="G1951" s="10">
        <v>29</v>
      </c>
      <c r="H1951" s="3">
        <v>68</v>
      </c>
      <c r="I1951" s="3">
        <v>64</v>
      </c>
      <c r="J1951" t="str">
        <f t="shared" si="30"/>
        <v>http://www.badatelna.eu/reprodukce/?fondId=1073&amp;zaznamId=1108956&amp;reproId=3779625</v>
      </c>
      <c r="K1951">
        <f>IF(LEN(TRIM(E1951))=0,"",VLOOKUP(E1951,Sheet2!$B$1:$E$19,2,FALSE))</f>
        <v>1073</v>
      </c>
      <c r="L1951">
        <f>IF(LEN(TRIM(E1951))=0,"",VLOOKUP(E1951,Sheet2!$B$1:$E$19,3,FALSE))</f>
        <v>1108956</v>
      </c>
      <c r="M1951">
        <f>IF(LEN(TRIM(E1951))=0,"",VLOOKUP(E1951,Sheet2!$B$1:$E$19,4,FALSE))+(F1951-1)</f>
        <v>3779625</v>
      </c>
    </row>
    <row r="1952" spans="1:17" s="1" customFormat="1" ht="15" customHeight="1" x14ac:dyDescent="0.25">
      <c r="A1952" s="27" t="s">
        <v>57</v>
      </c>
      <c r="B1952" s="27" t="s">
        <v>28</v>
      </c>
      <c r="C1952" s="5" t="s">
        <v>1302</v>
      </c>
      <c r="D1952" s="3" t="s">
        <v>454</v>
      </c>
      <c r="E1952" s="3">
        <v>2170</v>
      </c>
      <c r="F1952" s="28">
        <v>39</v>
      </c>
      <c r="G1952" s="10">
        <v>35</v>
      </c>
      <c r="H1952" s="3">
        <v>68</v>
      </c>
      <c r="I1952" s="3">
        <v>64</v>
      </c>
      <c r="J1952" t="str">
        <f t="shared" si="30"/>
        <v>http://www.badatelna.eu/reprodukce/?fondId=1073&amp;zaznamId=1108956&amp;reproId=3779631</v>
      </c>
      <c r="K1952">
        <f>IF(LEN(TRIM(E1952))=0,"",VLOOKUP(E1952,Sheet2!$B$1:$E$19,2,FALSE))</f>
        <v>1073</v>
      </c>
      <c r="L1952">
        <f>IF(LEN(TRIM(E1952))=0,"",VLOOKUP(E1952,Sheet2!$B$1:$E$19,3,FALSE))</f>
        <v>1108956</v>
      </c>
      <c r="M1952">
        <f>IF(LEN(TRIM(E1952))=0,"",VLOOKUP(E1952,Sheet2!$B$1:$E$19,4,FALSE))+(F1952-1)</f>
        <v>3779631</v>
      </c>
    </row>
    <row r="1953" spans="1:17" s="1" customFormat="1" ht="15" customHeight="1" x14ac:dyDescent="0.25">
      <c r="A1953" s="28" t="s">
        <v>57</v>
      </c>
      <c r="B1953" s="28" t="s">
        <v>527</v>
      </c>
      <c r="C1953" s="6" t="s">
        <v>1645</v>
      </c>
      <c r="D1953" s="1" t="s">
        <v>454</v>
      </c>
      <c r="E1953" s="1">
        <v>2172</v>
      </c>
      <c r="F1953" s="28">
        <v>93</v>
      </c>
      <c r="G1953" s="9">
        <v>92</v>
      </c>
      <c r="H1953" s="1">
        <v>96</v>
      </c>
      <c r="I1953" s="1">
        <v>95</v>
      </c>
      <c r="J1953" t="str">
        <f t="shared" si="30"/>
        <v>http://www.badatelna.eu/reprodukce/?fondId=1073&amp;zaznamId=1108958&amp;reproId=3779834</v>
      </c>
      <c r="K1953">
        <f>IF(LEN(TRIM(E1953))=0,"",VLOOKUP(E1953,Sheet2!$B$1:$E$19,2,FALSE))</f>
        <v>1073</v>
      </c>
      <c r="L1953">
        <f>IF(LEN(TRIM(E1953))=0,"",VLOOKUP(E1953,Sheet2!$B$1:$E$19,3,FALSE))</f>
        <v>1108958</v>
      </c>
      <c r="M1953">
        <f>IF(LEN(TRIM(E1953))=0,"",VLOOKUP(E1953,Sheet2!$B$1:$E$19,4,FALSE))+(F1953-1)</f>
        <v>3779834</v>
      </c>
      <c r="N1953"/>
      <c r="O1953"/>
      <c r="P1953"/>
      <c r="Q1953"/>
    </row>
    <row r="1954" spans="1:17" s="1" customFormat="1" ht="15" customHeight="1" x14ac:dyDescent="0.25">
      <c r="A1954" s="28" t="s">
        <v>57</v>
      </c>
      <c r="B1954" s="28" t="s">
        <v>285</v>
      </c>
      <c r="C1954" s="6" t="s">
        <v>2144</v>
      </c>
      <c r="D1954" s="1" t="s">
        <v>454</v>
      </c>
      <c r="E1954" s="1">
        <v>2173</v>
      </c>
      <c r="F1954" s="28">
        <v>181</v>
      </c>
      <c r="G1954" s="9">
        <v>9</v>
      </c>
      <c r="H1954" s="1">
        <v>191</v>
      </c>
      <c r="I1954" s="1">
        <v>424</v>
      </c>
      <c r="J1954" t="str">
        <f t="shared" si="30"/>
        <v>http://www.badatelna.eu/reprodukce/?fondId=1073&amp;zaznamId=1108959&amp;reproId=3780174</v>
      </c>
      <c r="K1954">
        <f>IF(LEN(TRIM(E1954))=0,"",VLOOKUP(E1954,Sheet2!$B$1:$E$19,2,FALSE))</f>
        <v>1073</v>
      </c>
      <c r="L1954">
        <f>IF(LEN(TRIM(E1954))=0,"",VLOOKUP(E1954,Sheet2!$B$1:$E$19,3,FALSE))</f>
        <v>1108959</v>
      </c>
      <c r="M1954">
        <f>IF(LEN(TRIM(E1954))=0,"",VLOOKUP(E1954,Sheet2!$B$1:$E$19,4,FALSE))+(F1954-1)</f>
        <v>3780174</v>
      </c>
      <c r="N1954"/>
      <c r="O1954"/>
      <c r="P1954"/>
      <c r="Q1954"/>
    </row>
    <row r="1955" spans="1:17" s="1" customFormat="1" ht="15" customHeight="1" x14ac:dyDescent="0.25">
      <c r="A1955" s="28" t="s">
        <v>57</v>
      </c>
      <c r="B1955" s="28" t="s">
        <v>314</v>
      </c>
      <c r="C1955" s="1">
        <v>1866</v>
      </c>
      <c r="D1955" s="1" t="s">
        <v>2919</v>
      </c>
      <c r="E1955" s="1">
        <v>999</v>
      </c>
      <c r="F1955" s="28">
        <v>92</v>
      </c>
      <c r="G1955" s="1">
        <v>13</v>
      </c>
      <c r="H1955" s="1">
        <v>106</v>
      </c>
      <c r="I1955" s="1">
        <v>165</v>
      </c>
      <c r="J1955" t="str">
        <f t="shared" si="30"/>
        <v>http://www.badatelna.eu/reprodukce/?fondId=241&amp;zaznamId=1133739&amp;reproId=3885821</v>
      </c>
      <c r="K1955">
        <f>IF(LEN(TRIM(E1955))=0,"",VLOOKUP(E1955,Sheet2!$B$1:$E$19,2,FALSE))</f>
        <v>241</v>
      </c>
      <c r="L1955">
        <f>IF(LEN(TRIM(E1955))=0,"",VLOOKUP(E1955,Sheet2!$B$1:$E$19,3,FALSE))</f>
        <v>1133739</v>
      </c>
      <c r="M1955">
        <f>IF(LEN(TRIM(E1955))=0,"",VLOOKUP(E1955,Sheet2!$B$1:$E$19,4,FALSE))+(F1955-1)</f>
        <v>3885821</v>
      </c>
    </row>
    <row r="1956" spans="1:17" s="1" customFormat="1" ht="15" customHeight="1" x14ac:dyDescent="0.25">
      <c r="A1956" s="27" t="s">
        <v>57</v>
      </c>
      <c r="B1956" s="27" t="s">
        <v>314</v>
      </c>
      <c r="C1956" s="5" t="s">
        <v>1306</v>
      </c>
      <c r="D1956" s="3" t="s">
        <v>454</v>
      </c>
      <c r="E1956" s="3">
        <v>2170</v>
      </c>
      <c r="F1956" s="37">
        <v>19</v>
      </c>
      <c r="G1956" s="10">
        <v>15</v>
      </c>
      <c r="H1956" s="3">
        <v>68</v>
      </c>
      <c r="I1956" s="3">
        <v>64</v>
      </c>
      <c r="J1956" t="str">
        <f t="shared" si="30"/>
        <v>http://www.badatelna.eu/reprodukce/?fondId=1073&amp;zaznamId=1108956&amp;reproId=3779611</v>
      </c>
      <c r="K1956">
        <f>IF(LEN(TRIM(E1956))=0,"",VLOOKUP(E1956,Sheet2!$B$1:$E$19,2,FALSE))</f>
        <v>1073</v>
      </c>
      <c r="L1956">
        <f>IF(LEN(TRIM(E1956))=0,"",VLOOKUP(E1956,Sheet2!$B$1:$E$19,3,FALSE))</f>
        <v>1108956</v>
      </c>
      <c r="M1956">
        <f>IF(LEN(TRIM(E1956))=0,"",VLOOKUP(E1956,Sheet2!$B$1:$E$19,4,FALSE))+(F1956-1)</f>
        <v>3779611</v>
      </c>
    </row>
    <row r="1957" spans="1:17" s="1" customFormat="1" ht="15" customHeight="1" x14ac:dyDescent="0.2">
      <c r="A1957" s="31" t="s">
        <v>57</v>
      </c>
      <c r="B1957" s="31" t="s">
        <v>39</v>
      </c>
      <c r="C1957" s="7" t="s">
        <v>2272</v>
      </c>
      <c r="D1957" s="1" t="s">
        <v>454</v>
      </c>
      <c r="E1957" s="1">
        <v>2173</v>
      </c>
      <c r="F1957" s="31">
        <v>197</v>
      </c>
      <c r="G1957" s="12">
        <v>3</v>
      </c>
      <c r="H1957" s="1" t="s">
        <v>3073</v>
      </c>
      <c r="I1957" s="1" t="s">
        <v>3073</v>
      </c>
      <c r="J1957" t="str">
        <f t="shared" si="30"/>
        <v>http://www.badatelna.eu/reprodukce/?fondId=1073&amp;zaznamId=1108959&amp;reproId=3780190</v>
      </c>
      <c r="K1957">
        <f>IF(LEN(TRIM(E1957))=0,"",VLOOKUP(E1957,Sheet2!$B$1:$E$19,2,FALSE))</f>
        <v>1073</v>
      </c>
      <c r="L1957">
        <f>IF(LEN(TRIM(E1957))=0,"",VLOOKUP(E1957,Sheet2!$B$1:$E$19,3,FALSE))</f>
        <v>1108959</v>
      </c>
      <c r="M1957">
        <f>IF(LEN(TRIM(E1957))=0,"",VLOOKUP(E1957,Sheet2!$B$1:$E$19,4,FALSE))+(F1957-1)</f>
        <v>3780190</v>
      </c>
    </row>
    <row r="1958" spans="1:17" s="1" customFormat="1" ht="15" customHeight="1" x14ac:dyDescent="0.25">
      <c r="A1958" s="27" t="s">
        <v>57</v>
      </c>
      <c r="B1958" s="27" t="s">
        <v>39</v>
      </c>
      <c r="C1958" s="5" t="s">
        <v>1324</v>
      </c>
      <c r="D1958" s="3" t="s">
        <v>454</v>
      </c>
      <c r="E1958" s="3">
        <v>2170</v>
      </c>
      <c r="F1958" s="28">
        <v>48</v>
      </c>
      <c r="G1958" s="10">
        <v>44</v>
      </c>
      <c r="H1958" s="3">
        <v>69</v>
      </c>
      <c r="I1958" s="3">
        <v>65</v>
      </c>
      <c r="J1958" t="str">
        <f t="shared" si="30"/>
        <v>http://www.badatelna.eu/reprodukce/?fondId=1073&amp;zaznamId=1108956&amp;reproId=3779640</v>
      </c>
      <c r="K1958">
        <f>IF(LEN(TRIM(E1958))=0,"",VLOOKUP(E1958,Sheet2!$B$1:$E$19,2,FALSE))</f>
        <v>1073</v>
      </c>
      <c r="L1958">
        <f>IF(LEN(TRIM(E1958))=0,"",VLOOKUP(E1958,Sheet2!$B$1:$E$19,3,FALSE))</f>
        <v>1108956</v>
      </c>
      <c r="M1958">
        <f>IF(LEN(TRIM(E1958))=0,"",VLOOKUP(E1958,Sheet2!$B$1:$E$19,4,FALSE))+(F1958-1)</f>
        <v>3779640</v>
      </c>
      <c r="N1958"/>
      <c r="O1958"/>
      <c r="P1958"/>
      <c r="Q1958"/>
    </row>
    <row r="1959" spans="1:17" s="1" customFormat="1" ht="15" customHeight="1" x14ac:dyDescent="0.25">
      <c r="A1959" s="28" t="s">
        <v>57</v>
      </c>
      <c r="B1959" s="28" t="s">
        <v>2997</v>
      </c>
      <c r="C1959" s="1">
        <v>1855</v>
      </c>
      <c r="D1959" s="1" t="s">
        <v>2919</v>
      </c>
      <c r="E1959" s="1">
        <v>998</v>
      </c>
      <c r="F1959" s="28">
        <v>45</v>
      </c>
      <c r="G1959" s="1">
        <v>43</v>
      </c>
      <c r="H1959" s="1">
        <v>76</v>
      </c>
      <c r="I1959" s="1">
        <v>73</v>
      </c>
      <c r="J1959" t="str">
        <f t="shared" si="30"/>
        <v>http://www.badatelna.eu/reprodukce/?fondId=241&amp;zaznamId=1133738&amp;reproId=3885691</v>
      </c>
      <c r="K1959">
        <f>IF(LEN(TRIM(E1959))=0,"",VLOOKUP(E1959,Sheet2!$B$1:$E$19,2,FALSE))</f>
        <v>241</v>
      </c>
      <c r="L1959">
        <f>IF(LEN(TRIM(E1959))=0,"",VLOOKUP(E1959,Sheet2!$B$1:$E$19,3,FALSE))</f>
        <v>1133738</v>
      </c>
      <c r="M1959">
        <f>IF(LEN(TRIM(E1959))=0,"",VLOOKUP(E1959,Sheet2!$B$1:$E$19,4,FALSE))+(F1959-1)</f>
        <v>3885691</v>
      </c>
    </row>
    <row r="1960" spans="1:17" s="1" customFormat="1" ht="15" customHeight="1" x14ac:dyDescent="0.25">
      <c r="A1960" s="28" t="s">
        <v>57</v>
      </c>
      <c r="B1960" s="28" t="s">
        <v>254</v>
      </c>
      <c r="C1960" s="15">
        <v>5421</v>
      </c>
      <c r="D1960" s="1" t="s">
        <v>454</v>
      </c>
      <c r="E1960" s="1">
        <v>2172</v>
      </c>
      <c r="F1960" s="28">
        <v>184</v>
      </c>
      <c r="G1960" s="9">
        <v>175</v>
      </c>
      <c r="H1960" s="1" t="s">
        <v>3073</v>
      </c>
      <c r="I1960" s="1" t="s">
        <v>3073</v>
      </c>
      <c r="J1960" t="str">
        <f t="shared" si="30"/>
        <v>http://www.badatelna.eu/reprodukce/?fondId=1073&amp;zaznamId=1108958&amp;reproId=3779925</v>
      </c>
      <c r="K1960">
        <f>IF(LEN(TRIM(E1960))=0,"",VLOOKUP(E1960,Sheet2!$B$1:$E$19,2,FALSE))</f>
        <v>1073</v>
      </c>
      <c r="L1960">
        <f>IF(LEN(TRIM(E1960))=0,"",VLOOKUP(E1960,Sheet2!$B$1:$E$19,3,FALSE))</f>
        <v>1108958</v>
      </c>
      <c r="M1960">
        <f>IF(LEN(TRIM(E1960))=0,"",VLOOKUP(E1960,Sheet2!$B$1:$E$19,4,FALSE))+(F1960-1)</f>
        <v>3779925</v>
      </c>
      <c r="N1960"/>
      <c r="O1960"/>
      <c r="P1960"/>
      <c r="Q1960"/>
    </row>
    <row r="1961" spans="1:17" s="1" customFormat="1" ht="15" customHeight="1" x14ac:dyDescent="0.25">
      <c r="A1961" s="28" t="s">
        <v>57</v>
      </c>
      <c r="B1961" s="28" t="s">
        <v>234</v>
      </c>
      <c r="C1961" s="15">
        <v>10573</v>
      </c>
      <c r="D1961" s="1" t="s">
        <v>454</v>
      </c>
      <c r="E1961" s="1">
        <v>2172</v>
      </c>
      <c r="F1961" s="28">
        <v>214</v>
      </c>
      <c r="G1961" s="9">
        <v>198</v>
      </c>
      <c r="H1961" s="1" t="s">
        <v>3073</v>
      </c>
      <c r="I1961" s="1" t="s">
        <v>3073</v>
      </c>
      <c r="J1961" t="str">
        <f t="shared" si="30"/>
        <v>http://www.badatelna.eu/reprodukce/?fondId=1073&amp;zaznamId=1108958&amp;reproId=3779955</v>
      </c>
      <c r="K1961">
        <f>IF(LEN(TRIM(E1961))=0,"",VLOOKUP(E1961,Sheet2!$B$1:$E$19,2,FALSE))</f>
        <v>1073</v>
      </c>
      <c r="L1961">
        <f>IF(LEN(TRIM(E1961))=0,"",VLOOKUP(E1961,Sheet2!$B$1:$E$19,3,FALSE))</f>
        <v>1108958</v>
      </c>
      <c r="M1961">
        <f>IF(LEN(TRIM(E1961))=0,"",VLOOKUP(E1961,Sheet2!$B$1:$E$19,4,FALSE))+(F1961-1)</f>
        <v>3779955</v>
      </c>
    </row>
    <row r="1962" spans="1:17" s="1" customFormat="1" ht="15" customHeight="1" x14ac:dyDescent="0.25">
      <c r="A1962" s="28" t="s">
        <v>57</v>
      </c>
      <c r="B1962" s="28" t="s">
        <v>54</v>
      </c>
      <c r="C1962" s="6" t="s">
        <v>2142</v>
      </c>
      <c r="D1962" s="1" t="s">
        <v>454</v>
      </c>
      <c r="E1962" s="1">
        <v>2173</v>
      </c>
      <c r="F1962" s="28">
        <v>180</v>
      </c>
      <c r="G1962" s="9">
        <v>7</v>
      </c>
      <c r="H1962" s="1">
        <v>191</v>
      </c>
      <c r="I1962" s="1">
        <v>424</v>
      </c>
      <c r="J1962" t="str">
        <f t="shared" si="30"/>
        <v>http://www.badatelna.eu/reprodukce/?fondId=1073&amp;zaznamId=1108959&amp;reproId=3780173</v>
      </c>
      <c r="K1962">
        <f>IF(LEN(TRIM(E1962))=0,"",VLOOKUP(E1962,Sheet2!$B$1:$E$19,2,FALSE))</f>
        <v>1073</v>
      </c>
      <c r="L1962">
        <f>IF(LEN(TRIM(E1962))=0,"",VLOOKUP(E1962,Sheet2!$B$1:$E$19,3,FALSE))</f>
        <v>1108959</v>
      </c>
      <c r="M1962">
        <f>IF(LEN(TRIM(E1962))=0,"",VLOOKUP(E1962,Sheet2!$B$1:$E$19,4,FALSE))+(F1962-1)</f>
        <v>3780173</v>
      </c>
      <c r="N1962"/>
      <c r="O1962"/>
      <c r="P1962"/>
      <c r="Q1962"/>
    </row>
    <row r="1963" spans="1:17" s="1" customFormat="1" ht="15" customHeight="1" x14ac:dyDescent="0.25">
      <c r="A1963" s="27" t="s">
        <v>57</v>
      </c>
      <c r="B1963" s="27" t="s">
        <v>54</v>
      </c>
      <c r="C1963" s="5" t="s">
        <v>1303</v>
      </c>
      <c r="D1963" s="3" t="s">
        <v>454</v>
      </c>
      <c r="E1963" s="3">
        <v>2170</v>
      </c>
      <c r="F1963" s="31">
        <v>46</v>
      </c>
      <c r="G1963" s="10">
        <v>42</v>
      </c>
      <c r="H1963" s="3">
        <v>68</v>
      </c>
      <c r="I1963" s="3">
        <v>64</v>
      </c>
      <c r="J1963" t="str">
        <f t="shared" si="30"/>
        <v>http://www.badatelna.eu/reprodukce/?fondId=1073&amp;zaznamId=1108956&amp;reproId=3779638</v>
      </c>
      <c r="K1963">
        <f>IF(LEN(TRIM(E1963))=0,"",VLOOKUP(E1963,Sheet2!$B$1:$E$19,2,FALSE))</f>
        <v>1073</v>
      </c>
      <c r="L1963">
        <f>IF(LEN(TRIM(E1963))=0,"",VLOOKUP(E1963,Sheet2!$B$1:$E$19,3,FALSE))</f>
        <v>1108956</v>
      </c>
      <c r="M1963">
        <f>IF(LEN(TRIM(E1963))=0,"",VLOOKUP(E1963,Sheet2!$B$1:$E$19,4,FALSE))+(F1963-1)</f>
        <v>3779638</v>
      </c>
    </row>
    <row r="1964" spans="1:17" s="1" customFormat="1" ht="15" customHeight="1" x14ac:dyDescent="0.25">
      <c r="A1964" s="28" t="s">
        <v>57</v>
      </c>
      <c r="B1964" s="28" t="s">
        <v>13</v>
      </c>
      <c r="C1964" s="6" t="s">
        <v>2495</v>
      </c>
      <c r="D1964" s="1" t="s">
        <v>454</v>
      </c>
      <c r="E1964" s="1">
        <v>2173</v>
      </c>
      <c r="F1964" s="28">
        <v>205</v>
      </c>
      <c r="G1964" s="1">
        <v>20</v>
      </c>
      <c r="H1964" s="1" t="s">
        <v>3073</v>
      </c>
      <c r="I1964" s="1" t="s">
        <v>3073</v>
      </c>
      <c r="J1964" t="str">
        <f t="shared" si="30"/>
        <v>http://www.badatelna.eu/reprodukce/?fondId=1073&amp;zaznamId=1108959&amp;reproId=3780198</v>
      </c>
      <c r="K1964">
        <f>IF(LEN(TRIM(E1964))=0,"",VLOOKUP(E1964,Sheet2!$B$1:$E$19,2,FALSE))</f>
        <v>1073</v>
      </c>
      <c r="L1964">
        <f>IF(LEN(TRIM(E1964))=0,"",VLOOKUP(E1964,Sheet2!$B$1:$E$19,3,FALSE))</f>
        <v>1108959</v>
      </c>
      <c r="M1964">
        <f>IF(LEN(TRIM(E1964))=0,"",VLOOKUP(E1964,Sheet2!$B$1:$E$19,4,FALSE))+(F1964-1)</f>
        <v>3780198</v>
      </c>
    </row>
    <row r="1965" spans="1:17" s="1" customFormat="1" ht="15" customHeight="1" x14ac:dyDescent="0.2">
      <c r="A1965" s="31" t="s">
        <v>57</v>
      </c>
      <c r="B1965" s="31" t="s">
        <v>13</v>
      </c>
      <c r="C1965" s="23" t="s">
        <v>2795</v>
      </c>
      <c r="D1965" s="1" t="s">
        <v>454</v>
      </c>
      <c r="E1965" s="1">
        <v>2173</v>
      </c>
      <c r="F1965" s="31">
        <v>197</v>
      </c>
      <c r="G1965" s="12">
        <v>3</v>
      </c>
      <c r="H1965" s="1" t="s">
        <v>3073</v>
      </c>
      <c r="I1965" s="1" t="s">
        <v>3073</v>
      </c>
      <c r="J1965" t="str">
        <f t="shared" si="30"/>
        <v>http://www.badatelna.eu/reprodukce/?fondId=1073&amp;zaznamId=1108959&amp;reproId=3780190</v>
      </c>
      <c r="K1965">
        <f>IF(LEN(TRIM(E1965))=0,"",VLOOKUP(E1965,Sheet2!$B$1:$E$19,2,FALSE))</f>
        <v>1073</v>
      </c>
      <c r="L1965">
        <f>IF(LEN(TRIM(E1965))=0,"",VLOOKUP(E1965,Sheet2!$B$1:$E$19,3,FALSE))</f>
        <v>1108959</v>
      </c>
      <c r="M1965">
        <f>IF(LEN(TRIM(E1965))=0,"",VLOOKUP(E1965,Sheet2!$B$1:$E$19,4,FALSE))+(F1965-1)</f>
        <v>3780190</v>
      </c>
      <c r="N1965"/>
      <c r="O1965"/>
      <c r="P1965"/>
      <c r="Q1965"/>
    </row>
    <row r="1966" spans="1:17" s="1" customFormat="1" ht="15" customHeight="1" x14ac:dyDescent="0.25">
      <c r="A1966" s="27" t="s">
        <v>57</v>
      </c>
      <c r="B1966" s="27" t="s">
        <v>407</v>
      </c>
      <c r="C1966" s="5" t="s">
        <v>1323</v>
      </c>
      <c r="D1966" s="3" t="s">
        <v>454</v>
      </c>
      <c r="E1966" s="3">
        <v>2170</v>
      </c>
      <c r="F1966" s="28">
        <v>55</v>
      </c>
      <c r="G1966" s="10">
        <v>51</v>
      </c>
      <c r="H1966" s="3">
        <v>69</v>
      </c>
      <c r="I1966" s="3">
        <v>65</v>
      </c>
      <c r="J1966" t="str">
        <f t="shared" si="30"/>
        <v>http://www.badatelna.eu/reprodukce/?fondId=1073&amp;zaznamId=1108956&amp;reproId=3779647</v>
      </c>
      <c r="K1966">
        <f>IF(LEN(TRIM(E1966))=0,"",VLOOKUP(E1966,Sheet2!$B$1:$E$19,2,FALSE))</f>
        <v>1073</v>
      </c>
      <c r="L1966">
        <f>IF(LEN(TRIM(E1966))=0,"",VLOOKUP(E1966,Sheet2!$B$1:$E$19,3,FALSE))</f>
        <v>1108956</v>
      </c>
      <c r="M1966">
        <f>IF(LEN(TRIM(E1966))=0,"",VLOOKUP(E1966,Sheet2!$B$1:$E$19,4,FALSE))+(F1966-1)</f>
        <v>3779647</v>
      </c>
      <c r="N1966"/>
      <c r="O1966"/>
      <c r="P1966"/>
      <c r="Q1966"/>
    </row>
    <row r="1967" spans="1:17" s="1" customFormat="1" ht="15" customHeight="1" x14ac:dyDescent="0.25">
      <c r="A1967" s="28" t="s">
        <v>983</v>
      </c>
      <c r="B1967" s="28" t="s">
        <v>799</v>
      </c>
      <c r="C1967" s="6" t="s">
        <v>1956</v>
      </c>
      <c r="D1967" s="1" t="s">
        <v>454</v>
      </c>
      <c r="E1967" s="1">
        <v>2172</v>
      </c>
      <c r="F1967" s="28">
        <v>231</v>
      </c>
      <c r="G1967" s="9">
        <v>211</v>
      </c>
      <c r="H1967" s="1" t="s">
        <v>3073</v>
      </c>
      <c r="I1967" s="1" t="s">
        <v>3073</v>
      </c>
      <c r="J1967" t="str">
        <f t="shared" si="30"/>
        <v>http://www.badatelna.eu/reprodukce/?fondId=1073&amp;zaznamId=1108958&amp;reproId=3779972</v>
      </c>
      <c r="K1967">
        <f>IF(LEN(TRIM(E1967))=0,"",VLOOKUP(E1967,Sheet2!$B$1:$E$19,2,FALSE))</f>
        <v>1073</v>
      </c>
      <c r="L1967">
        <f>IF(LEN(TRIM(E1967))=0,"",VLOOKUP(E1967,Sheet2!$B$1:$E$19,3,FALSE))</f>
        <v>1108958</v>
      </c>
      <c r="M1967">
        <f>IF(LEN(TRIM(E1967))=0,"",VLOOKUP(E1967,Sheet2!$B$1:$E$19,4,FALSE))+(F1967-1)</f>
        <v>3779972</v>
      </c>
    </row>
    <row r="1968" spans="1:17" s="1" customFormat="1" ht="15" customHeight="1" x14ac:dyDescent="0.25">
      <c r="A1968" s="28" t="s">
        <v>339</v>
      </c>
      <c r="B1968" s="28" t="s">
        <v>340</v>
      </c>
      <c r="C1968" s="6" t="s">
        <v>2148</v>
      </c>
      <c r="D1968" s="1" t="s">
        <v>454</v>
      </c>
      <c r="E1968" s="1">
        <v>2173</v>
      </c>
      <c r="F1968" s="28">
        <v>183</v>
      </c>
      <c r="G1968" s="9">
        <v>13</v>
      </c>
      <c r="H1968" s="1">
        <v>191</v>
      </c>
      <c r="I1968" s="1">
        <v>424</v>
      </c>
      <c r="J1968" t="str">
        <f t="shared" si="30"/>
        <v>http://www.badatelna.eu/reprodukce/?fondId=1073&amp;zaznamId=1108959&amp;reproId=3780176</v>
      </c>
      <c r="K1968">
        <f>IF(LEN(TRIM(E1968))=0,"",VLOOKUP(E1968,Sheet2!$B$1:$E$19,2,FALSE))</f>
        <v>1073</v>
      </c>
      <c r="L1968">
        <f>IF(LEN(TRIM(E1968))=0,"",VLOOKUP(E1968,Sheet2!$B$1:$E$19,3,FALSE))</f>
        <v>1108959</v>
      </c>
      <c r="M1968">
        <f>IF(LEN(TRIM(E1968))=0,"",VLOOKUP(E1968,Sheet2!$B$1:$E$19,4,FALSE))+(F1968-1)</f>
        <v>3780176</v>
      </c>
      <c r="N1968"/>
      <c r="O1968"/>
      <c r="P1968"/>
      <c r="Q1968"/>
    </row>
    <row r="1969" spans="1:17" s="1" customFormat="1" ht="15" customHeight="1" x14ac:dyDescent="0.25">
      <c r="A1969" s="28" t="s">
        <v>406</v>
      </c>
      <c r="B1969" s="28" t="s">
        <v>29</v>
      </c>
      <c r="C1969" s="6" t="s">
        <v>2647</v>
      </c>
      <c r="D1969" s="1" t="s">
        <v>454</v>
      </c>
      <c r="E1969" s="1">
        <v>2173</v>
      </c>
      <c r="F1969" s="28">
        <v>221</v>
      </c>
      <c r="G1969" s="9">
        <v>48</v>
      </c>
      <c r="H1969" s="1" t="s">
        <v>3073</v>
      </c>
      <c r="I1969" s="1" t="s">
        <v>3073</v>
      </c>
      <c r="J1969" t="str">
        <f t="shared" si="30"/>
        <v>http://www.badatelna.eu/reprodukce/?fondId=1073&amp;zaznamId=1108959&amp;reproId=3780214</v>
      </c>
      <c r="K1969">
        <f>IF(LEN(TRIM(E1969))=0,"",VLOOKUP(E1969,Sheet2!$B$1:$E$19,2,FALSE))</f>
        <v>1073</v>
      </c>
      <c r="L1969">
        <f>IF(LEN(TRIM(E1969))=0,"",VLOOKUP(E1969,Sheet2!$B$1:$E$19,3,FALSE))</f>
        <v>1108959</v>
      </c>
      <c r="M1969">
        <f>IF(LEN(TRIM(E1969))=0,"",VLOOKUP(E1969,Sheet2!$B$1:$E$19,4,FALSE))+(F1969-1)</f>
        <v>3780214</v>
      </c>
    </row>
    <row r="1970" spans="1:17" s="1" customFormat="1" ht="15" customHeight="1" x14ac:dyDescent="0.25">
      <c r="A1970" s="28" t="s">
        <v>427</v>
      </c>
      <c r="B1970" s="28" t="s">
        <v>19</v>
      </c>
      <c r="C1970" s="6" t="s">
        <v>2680</v>
      </c>
      <c r="D1970" s="1" t="s">
        <v>454</v>
      </c>
      <c r="E1970" s="1">
        <v>2173</v>
      </c>
      <c r="F1970" s="28">
        <v>223</v>
      </c>
      <c r="G1970" s="9">
        <v>52</v>
      </c>
      <c r="H1970" s="1" t="s">
        <v>3073</v>
      </c>
      <c r="I1970" s="1" t="s">
        <v>3073</v>
      </c>
      <c r="J1970" t="str">
        <f t="shared" si="30"/>
        <v>http://www.badatelna.eu/reprodukce/?fondId=1073&amp;zaznamId=1108959&amp;reproId=3780216</v>
      </c>
      <c r="K1970">
        <f>IF(LEN(TRIM(E1970))=0,"",VLOOKUP(E1970,Sheet2!$B$1:$E$19,2,FALSE))</f>
        <v>1073</v>
      </c>
      <c r="L1970">
        <f>IF(LEN(TRIM(E1970))=0,"",VLOOKUP(E1970,Sheet2!$B$1:$E$19,3,FALSE))</f>
        <v>1108959</v>
      </c>
      <c r="M1970">
        <f>IF(LEN(TRIM(E1970))=0,"",VLOOKUP(E1970,Sheet2!$B$1:$E$19,4,FALSE))+(F1970-1)</f>
        <v>3780216</v>
      </c>
    </row>
    <row r="1971" spans="1:17" s="1" customFormat="1" ht="15" customHeight="1" x14ac:dyDescent="0.25">
      <c r="A1971" s="31" t="s">
        <v>41</v>
      </c>
      <c r="B1971" s="31" t="s">
        <v>40</v>
      </c>
      <c r="C1971" s="7" t="s">
        <v>2241</v>
      </c>
      <c r="D1971" s="1" t="s">
        <v>454</v>
      </c>
      <c r="E1971" s="1">
        <v>2173</v>
      </c>
      <c r="F1971" s="28">
        <v>196</v>
      </c>
      <c r="G1971" s="9">
        <v>2</v>
      </c>
      <c r="H1971" s="1" t="s">
        <v>3073</v>
      </c>
      <c r="I1971" s="1" t="s">
        <v>3073</v>
      </c>
      <c r="J1971" t="str">
        <f t="shared" si="30"/>
        <v>http://www.badatelna.eu/reprodukce/?fondId=1073&amp;zaznamId=1108959&amp;reproId=3780189</v>
      </c>
      <c r="K1971">
        <f>IF(LEN(TRIM(E1971))=0,"",VLOOKUP(E1971,Sheet2!$B$1:$E$19,2,FALSE))</f>
        <v>1073</v>
      </c>
      <c r="L1971">
        <f>IF(LEN(TRIM(E1971))=0,"",VLOOKUP(E1971,Sheet2!$B$1:$E$19,3,FALSE))</f>
        <v>1108959</v>
      </c>
      <c r="M1971">
        <f>IF(LEN(TRIM(E1971))=0,"",VLOOKUP(E1971,Sheet2!$B$1:$E$19,4,FALSE))+(F1971-1)</f>
        <v>3780189</v>
      </c>
      <c r="N1971"/>
      <c r="O1971"/>
      <c r="P1971"/>
      <c r="Q1971"/>
    </row>
    <row r="1972" spans="1:17" s="1" customFormat="1" ht="15" customHeight="1" x14ac:dyDescent="0.25">
      <c r="A1972" s="28" t="s">
        <v>121</v>
      </c>
      <c r="B1972" s="28" t="s">
        <v>492</v>
      </c>
      <c r="C1972" s="1">
        <v>1883</v>
      </c>
      <c r="D1972" s="1" t="s">
        <v>454</v>
      </c>
      <c r="E1972" s="1">
        <v>2172</v>
      </c>
      <c r="F1972" s="28">
        <v>35</v>
      </c>
      <c r="G1972" s="9">
        <v>34</v>
      </c>
      <c r="H1972" s="1">
        <v>36</v>
      </c>
      <c r="I1972" s="1">
        <v>35</v>
      </c>
      <c r="J1972" t="str">
        <f t="shared" si="30"/>
        <v>http://www.badatelna.eu/reprodukce/?fondId=1073&amp;zaznamId=1108958&amp;reproId=3779776</v>
      </c>
      <c r="K1972">
        <f>IF(LEN(TRIM(E1972))=0,"",VLOOKUP(E1972,Sheet2!$B$1:$E$19,2,FALSE))</f>
        <v>1073</v>
      </c>
      <c r="L1972">
        <f>IF(LEN(TRIM(E1972))=0,"",VLOOKUP(E1972,Sheet2!$B$1:$E$19,3,FALSE))</f>
        <v>1108958</v>
      </c>
      <c r="M1972">
        <f>IF(LEN(TRIM(E1972))=0,"",VLOOKUP(E1972,Sheet2!$B$1:$E$19,4,FALSE))+(F1972-1)</f>
        <v>3779776</v>
      </c>
    </row>
    <row r="1973" spans="1:17" s="1" customFormat="1" ht="15" customHeight="1" x14ac:dyDescent="0.25">
      <c r="A1973" s="28" t="s">
        <v>121</v>
      </c>
      <c r="B1973" s="28" t="s">
        <v>126</v>
      </c>
      <c r="C1973" s="1">
        <v>1883</v>
      </c>
      <c r="D1973" s="1" t="s">
        <v>454</v>
      </c>
      <c r="E1973" s="1">
        <v>2172</v>
      </c>
      <c r="F1973" s="28">
        <v>33</v>
      </c>
      <c r="G1973" s="9">
        <v>32</v>
      </c>
      <c r="H1973" s="1">
        <v>36</v>
      </c>
      <c r="I1973" s="1">
        <v>35</v>
      </c>
      <c r="J1973" t="str">
        <f t="shared" si="30"/>
        <v>http://www.badatelna.eu/reprodukce/?fondId=1073&amp;zaznamId=1108958&amp;reproId=3779774</v>
      </c>
      <c r="K1973">
        <f>IF(LEN(TRIM(E1973))=0,"",VLOOKUP(E1973,Sheet2!$B$1:$E$19,2,FALSE))</f>
        <v>1073</v>
      </c>
      <c r="L1973">
        <f>IF(LEN(TRIM(E1973))=0,"",VLOOKUP(E1973,Sheet2!$B$1:$E$19,3,FALSE))</f>
        <v>1108958</v>
      </c>
      <c r="M1973">
        <f>IF(LEN(TRIM(E1973))=0,"",VLOOKUP(E1973,Sheet2!$B$1:$E$19,4,FALSE))+(F1973-1)</f>
        <v>3779774</v>
      </c>
    </row>
    <row r="1974" spans="1:17" s="1" customFormat="1" ht="15" customHeight="1" x14ac:dyDescent="0.25">
      <c r="A1974" s="28" t="s">
        <v>121</v>
      </c>
      <c r="B1974" s="28" t="s">
        <v>126</v>
      </c>
      <c r="C1974" s="6" t="s">
        <v>2355</v>
      </c>
      <c r="D1974" s="1" t="s">
        <v>454</v>
      </c>
      <c r="E1974" s="1">
        <v>2173</v>
      </c>
      <c r="F1974" s="28">
        <v>200</v>
      </c>
      <c r="G1974" s="9">
        <v>9</v>
      </c>
      <c r="H1974" s="1" t="s">
        <v>3073</v>
      </c>
      <c r="I1974" s="1" t="s">
        <v>3073</v>
      </c>
      <c r="J1974" t="str">
        <f t="shared" si="30"/>
        <v>http://www.badatelna.eu/reprodukce/?fondId=1073&amp;zaznamId=1108959&amp;reproId=3780193</v>
      </c>
      <c r="K1974">
        <f>IF(LEN(TRIM(E1974))=0,"",VLOOKUP(E1974,Sheet2!$B$1:$E$19,2,FALSE))</f>
        <v>1073</v>
      </c>
      <c r="L1974">
        <f>IF(LEN(TRIM(E1974))=0,"",VLOOKUP(E1974,Sheet2!$B$1:$E$19,3,FALSE))</f>
        <v>1108959</v>
      </c>
      <c r="M1974">
        <f>IF(LEN(TRIM(E1974))=0,"",VLOOKUP(E1974,Sheet2!$B$1:$E$19,4,FALSE))+(F1974-1)</f>
        <v>3780193</v>
      </c>
    </row>
    <row r="1975" spans="1:17" s="1" customFormat="1" ht="15" customHeight="1" x14ac:dyDescent="0.25">
      <c r="A1975" s="28" t="s">
        <v>121</v>
      </c>
      <c r="B1975" s="28" t="s">
        <v>373</v>
      </c>
      <c r="C1975" s="1">
        <v>1854</v>
      </c>
      <c r="D1975" s="1" t="s">
        <v>2919</v>
      </c>
      <c r="E1975" s="1">
        <v>998</v>
      </c>
      <c r="F1975" s="28">
        <v>40</v>
      </c>
      <c r="G1975" s="1">
        <v>38</v>
      </c>
      <c r="H1975" s="1">
        <v>76</v>
      </c>
      <c r="I1975" s="1">
        <v>73</v>
      </c>
      <c r="J1975" t="str">
        <f t="shared" si="30"/>
        <v>http://www.badatelna.eu/reprodukce/?fondId=241&amp;zaznamId=1133738&amp;reproId=3885686</v>
      </c>
      <c r="K1975">
        <f>IF(LEN(TRIM(E1975))=0,"",VLOOKUP(E1975,Sheet2!$B$1:$E$19,2,FALSE))</f>
        <v>241</v>
      </c>
      <c r="L1975">
        <f>IF(LEN(TRIM(E1975))=0,"",VLOOKUP(E1975,Sheet2!$B$1:$E$19,3,FALSE))</f>
        <v>1133738</v>
      </c>
      <c r="M1975">
        <f>IF(LEN(TRIM(E1975))=0,"",VLOOKUP(E1975,Sheet2!$B$1:$E$19,4,FALSE))+(F1975-1)</f>
        <v>3885686</v>
      </c>
    </row>
    <row r="1976" spans="1:17" s="1" customFormat="1" ht="15" customHeight="1" x14ac:dyDescent="0.25">
      <c r="A1976" s="28" t="s">
        <v>121</v>
      </c>
      <c r="B1976" s="28" t="s">
        <v>984</v>
      </c>
      <c r="C1976" s="6" t="s">
        <v>1615</v>
      </c>
      <c r="D1976" s="1" t="s">
        <v>454</v>
      </c>
      <c r="E1976" s="1">
        <v>2172</v>
      </c>
      <c r="F1976" s="28">
        <v>75</v>
      </c>
      <c r="G1976" s="9">
        <v>74</v>
      </c>
      <c r="H1976" s="1">
        <v>77</v>
      </c>
      <c r="I1976" s="1">
        <v>76</v>
      </c>
      <c r="J1976" t="str">
        <f t="shared" si="30"/>
        <v>http://www.badatelna.eu/reprodukce/?fondId=1073&amp;zaznamId=1108958&amp;reproId=3779816</v>
      </c>
      <c r="K1976">
        <f>IF(LEN(TRIM(E1976))=0,"",VLOOKUP(E1976,Sheet2!$B$1:$E$19,2,FALSE))</f>
        <v>1073</v>
      </c>
      <c r="L1976">
        <f>IF(LEN(TRIM(E1976))=0,"",VLOOKUP(E1976,Sheet2!$B$1:$E$19,3,FALSE))</f>
        <v>1108958</v>
      </c>
      <c r="M1976">
        <f>IF(LEN(TRIM(E1976))=0,"",VLOOKUP(E1976,Sheet2!$B$1:$E$19,4,FALSE))+(F1976-1)</f>
        <v>3779816</v>
      </c>
    </row>
    <row r="1977" spans="1:17" s="1" customFormat="1" ht="15" customHeight="1" x14ac:dyDescent="0.25">
      <c r="A1977" s="28" t="s">
        <v>121</v>
      </c>
      <c r="B1977" s="28" t="s">
        <v>552</v>
      </c>
      <c r="C1977" s="1">
        <v>1847</v>
      </c>
      <c r="D1977" s="1" t="s">
        <v>2919</v>
      </c>
      <c r="E1977" s="1">
        <v>998</v>
      </c>
      <c r="F1977" s="28">
        <v>15</v>
      </c>
      <c r="G1977" s="1">
        <v>13</v>
      </c>
      <c r="H1977" s="1">
        <v>76</v>
      </c>
      <c r="I1977" s="1">
        <v>73</v>
      </c>
      <c r="J1977" t="str">
        <f t="shared" si="30"/>
        <v>http://www.badatelna.eu/reprodukce/?fondId=241&amp;zaznamId=1133738&amp;reproId=3885661</v>
      </c>
      <c r="K1977">
        <f>IF(LEN(TRIM(E1977))=0,"",VLOOKUP(E1977,Sheet2!$B$1:$E$19,2,FALSE))</f>
        <v>241</v>
      </c>
      <c r="L1977">
        <f>IF(LEN(TRIM(E1977))=0,"",VLOOKUP(E1977,Sheet2!$B$1:$E$19,3,FALSE))</f>
        <v>1133738</v>
      </c>
      <c r="M1977">
        <f>IF(LEN(TRIM(E1977))=0,"",VLOOKUP(E1977,Sheet2!$B$1:$E$19,4,FALSE))+(F1977-1)</f>
        <v>3885661</v>
      </c>
    </row>
    <row r="1978" spans="1:17" s="1" customFormat="1" ht="15" customHeight="1" x14ac:dyDescent="0.25">
      <c r="A1978" s="28" t="s">
        <v>121</v>
      </c>
      <c r="B1978" s="28" t="s">
        <v>240</v>
      </c>
      <c r="C1978" s="1">
        <v>1866</v>
      </c>
      <c r="D1978" s="1" t="s">
        <v>2919</v>
      </c>
      <c r="E1978" s="1">
        <v>999</v>
      </c>
      <c r="F1978" s="28">
        <v>92</v>
      </c>
      <c r="G1978" s="1">
        <v>13</v>
      </c>
      <c r="H1978" s="1">
        <v>106</v>
      </c>
      <c r="I1978" s="1">
        <v>165</v>
      </c>
      <c r="J1978" t="str">
        <f t="shared" si="30"/>
        <v>http://www.badatelna.eu/reprodukce/?fondId=241&amp;zaznamId=1133739&amp;reproId=3885821</v>
      </c>
      <c r="K1978">
        <f>IF(LEN(TRIM(E1978))=0,"",VLOOKUP(E1978,Sheet2!$B$1:$E$19,2,FALSE))</f>
        <v>241</v>
      </c>
      <c r="L1978">
        <f>IF(LEN(TRIM(E1978))=0,"",VLOOKUP(E1978,Sheet2!$B$1:$E$19,3,FALSE))</f>
        <v>1133739</v>
      </c>
      <c r="M1978">
        <f>IF(LEN(TRIM(E1978))=0,"",VLOOKUP(E1978,Sheet2!$B$1:$E$19,4,FALSE))+(F1978-1)</f>
        <v>3885821</v>
      </c>
    </row>
    <row r="1979" spans="1:17" s="1" customFormat="1" ht="15" customHeight="1" x14ac:dyDescent="0.25">
      <c r="A1979" s="28" t="s">
        <v>121</v>
      </c>
      <c r="B1979" s="28" t="s">
        <v>589</v>
      </c>
      <c r="C1979" s="15">
        <v>3506</v>
      </c>
      <c r="D1979" s="1" t="s">
        <v>454</v>
      </c>
      <c r="E1979" s="1">
        <v>2172</v>
      </c>
      <c r="F1979" s="28">
        <v>174</v>
      </c>
      <c r="G1979" s="9">
        <v>167</v>
      </c>
      <c r="H1979" s="1" t="s">
        <v>3073</v>
      </c>
      <c r="I1979" s="1" t="s">
        <v>3073</v>
      </c>
      <c r="J1979" t="str">
        <f t="shared" si="30"/>
        <v>http://www.badatelna.eu/reprodukce/?fondId=1073&amp;zaznamId=1108958&amp;reproId=3779915</v>
      </c>
      <c r="K1979">
        <f>IF(LEN(TRIM(E1979))=0,"",VLOOKUP(E1979,Sheet2!$B$1:$E$19,2,FALSE))</f>
        <v>1073</v>
      </c>
      <c r="L1979">
        <f>IF(LEN(TRIM(E1979))=0,"",VLOOKUP(E1979,Sheet2!$B$1:$E$19,3,FALSE))</f>
        <v>1108958</v>
      </c>
      <c r="M1979">
        <f>IF(LEN(TRIM(E1979))=0,"",VLOOKUP(E1979,Sheet2!$B$1:$E$19,4,FALSE))+(F1979-1)</f>
        <v>3779915</v>
      </c>
      <c r="N1979"/>
      <c r="O1979"/>
      <c r="P1979"/>
      <c r="Q1979"/>
    </row>
    <row r="1980" spans="1:17" s="1" customFormat="1" ht="15" customHeight="1" x14ac:dyDescent="0.25">
      <c r="A1980" s="27" t="s">
        <v>121</v>
      </c>
      <c r="B1980" s="27" t="s">
        <v>589</v>
      </c>
      <c r="C1980" s="5" t="s">
        <v>1312</v>
      </c>
      <c r="D1980" s="3" t="s">
        <v>454</v>
      </c>
      <c r="E1980" s="3">
        <v>2170</v>
      </c>
      <c r="F1980" s="37">
        <v>19</v>
      </c>
      <c r="G1980" s="10">
        <v>15</v>
      </c>
      <c r="H1980" s="3">
        <v>68</v>
      </c>
      <c r="I1980" s="3">
        <v>64</v>
      </c>
      <c r="J1980" t="str">
        <f t="shared" si="30"/>
        <v>http://www.badatelna.eu/reprodukce/?fondId=1073&amp;zaznamId=1108956&amp;reproId=3779611</v>
      </c>
      <c r="K1980">
        <f>IF(LEN(TRIM(E1980))=0,"",VLOOKUP(E1980,Sheet2!$B$1:$E$19,2,FALSE))</f>
        <v>1073</v>
      </c>
      <c r="L1980">
        <f>IF(LEN(TRIM(E1980))=0,"",VLOOKUP(E1980,Sheet2!$B$1:$E$19,3,FALSE))</f>
        <v>1108956</v>
      </c>
      <c r="M1980">
        <f>IF(LEN(TRIM(E1980))=0,"",VLOOKUP(E1980,Sheet2!$B$1:$E$19,4,FALSE))+(F1980-1)</f>
        <v>3779611</v>
      </c>
    </row>
    <row r="1981" spans="1:17" s="1" customFormat="1" ht="15" customHeight="1" x14ac:dyDescent="0.25">
      <c r="A1981" s="28" t="s">
        <v>121</v>
      </c>
      <c r="B1981" s="28" t="s">
        <v>19</v>
      </c>
      <c r="C1981" s="1">
        <v>1849</v>
      </c>
      <c r="D1981" s="1" t="s">
        <v>2919</v>
      </c>
      <c r="E1981" s="1">
        <v>998</v>
      </c>
      <c r="F1981" s="28">
        <v>28</v>
      </c>
      <c r="G1981" s="1">
        <v>26</v>
      </c>
      <c r="H1981" s="1">
        <v>76</v>
      </c>
      <c r="I1981" s="1">
        <v>73</v>
      </c>
      <c r="J1981" t="str">
        <f t="shared" si="30"/>
        <v>http://www.badatelna.eu/reprodukce/?fondId=241&amp;zaznamId=1133738&amp;reproId=3885674</v>
      </c>
      <c r="K1981">
        <f>IF(LEN(TRIM(E1981))=0,"",VLOOKUP(E1981,Sheet2!$B$1:$E$19,2,FALSE))</f>
        <v>241</v>
      </c>
      <c r="L1981">
        <f>IF(LEN(TRIM(E1981))=0,"",VLOOKUP(E1981,Sheet2!$B$1:$E$19,3,FALSE))</f>
        <v>1133738</v>
      </c>
      <c r="M1981">
        <f>IF(LEN(TRIM(E1981))=0,"",VLOOKUP(E1981,Sheet2!$B$1:$E$19,4,FALSE))+(F1981-1)</f>
        <v>3885674</v>
      </c>
      <c r="N1981"/>
      <c r="O1981"/>
      <c r="P1981"/>
      <c r="Q1981"/>
    </row>
    <row r="1982" spans="1:17" s="1" customFormat="1" ht="15" customHeight="1" x14ac:dyDescent="0.25">
      <c r="A1982" s="28" t="s">
        <v>121</v>
      </c>
      <c r="B1982" s="28" t="s">
        <v>19</v>
      </c>
      <c r="C1982" s="6" t="s">
        <v>2328</v>
      </c>
      <c r="D1982" s="1" t="s">
        <v>454</v>
      </c>
      <c r="E1982" s="1">
        <v>2173</v>
      </c>
      <c r="F1982" s="31">
        <v>199</v>
      </c>
      <c r="G1982" s="9">
        <v>8</v>
      </c>
      <c r="H1982" s="1" t="s">
        <v>3073</v>
      </c>
      <c r="I1982" s="1" t="s">
        <v>3073</v>
      </c>
      <c r="J1982" t="str">
        <f t="shared" si="30"/>
        <v>http://www.badatelna.eu/reprodukce/?fondId=1073&amp;zaznamId=1108959&amp;reproId=3780192</v>
      </c>
      <c r="K1982">
        <f>IF(LEN(TRIM(E1982))=0,"",VLOOKUP(E1982,Sheet2!$B$1:$E$19,2,FALSE))</f>
        <v>1073</v>
      </c>
      <c r="L1982">
        <f>IF(LEN(TRIM(E1982))=0,"",VLOOKUP(E1982,Sheet2!$B$1:$E$19,3,FALSE))</f>
        <v>1108959</v>
      </c>
      <c r="M1982">
        <f>IF(LEN(TRIM(E1982))=0,"",VLOOKUP(E1982,Sheet2!$B$1:$E$19,4,FALSE))+(F1982-1)</f>
        <v>3780192</v>
      </c>
    </row>
    <row r="1983" spans="1:17" s="1" customFormat="1" ht="15" customHeight="1" x14ac:dyDescent="0.25">
      <c r="A1983" s="28" t="s">
        <v>121</v>
      </c>
      <c r="B1983" s="28" t="s">
        <v>19</v>
      </c>
      <c r="C1983" s="6" t="s">
        <v>2662</v>
      </c>
      <c r="D1983" s="1" t="s">
        <v>454</v>
      </c>
      <c r="E1983" s="1">
        <v>2173</v>
      </c>
      <c r="F1983" s="28">
        <v>222</v>
      </c>
      <c r="G1983" s="9">
        <v>49</v>
      </c>
      <c r="H1983" s="1" t="s">
        <v>3073</v>
      </c>
      <c r="I1983" s="1" t="s">
        <v>3073</v>
      </c>
      <c r="J1983" t="str">
        <f t="shared" si="30"/>
        <v>http://www.badatelna.eu/reprodukce/?fondId=1073&amp;zaznamId=1108959&amp;reproId=3780215</v>
      </c>
      <c r="K1983">
        <f>IF(LEN(TRIM(E1983))=0,"",VLOOKUP(E1983,Sheet2!$B$1:$E$19,2,FALSE))</f>
        <v>1073</v>
      </c>
      <c r="L1983">
        <f>IF(LEN(TRIM(E1983))=0,"",VLOOKUP(E1983,Sheet2!$B$1:$E$19,3,FALSE))</f>
        <v>1108959</v>
      </c>
      <c r="M1983">
        <f>IF(LEN(TRIM(E1983))=0,"",VLOOKUP(E1983,Sheet2!$B$1:$E$19,4,FALSE))+(F1983-1)</f>
        <v>3780215</v>
      </c>
    </row>
    <row r="1984" spans="1:17" s="1" customFormat="1" ht="15" customHeight="1" x14ac:dyDescent="0.25">
      <c r="A1984" s="28" t="s">
        <v>121</v>
      </c>
      <c r="B1984" s="28" t="s">
        <v>19</v>
      </c>
      <c r="C1984" s="6" t="s">
        <v>2503</v>
      </c>
      <c r="D1984" s="1" t="s">
        <v>454</v>
      </c>
      <c r="E1984" s="1">
        <v>2173</v>
      </c>
      <c r="F1984" s="28">
        <v>206</v>
      </c>
      <c r="G1984" s="1">
        <v>21</v>
      </c>
      <c r="H1984" s="1" t="s">
        <v>3073</v>
      </c>
      <c r="I1984" s="1" t="s">
        <v>3073</v>
      </c>
      <c r="J1984" t="str">
        <f t="shared" si="30"/>
        <v>http://www.badatelna.eu/reprodukce/?fondId=1073&amp;zaznamId=1108959&amp;reproId=3780199</v>
      </c>
      <c r="K1984">
        <f>IF(LEN(TRIM(E1984))=0,"",VLOOKUP(E1984,Sheet2!$B$1:$E$19,2,FALSE))</f>
        <v>1073</v>
      </c>
      <c r="L1984">
        <f>IF(LEN(TRIM(E1984))=0,"",VLOOKUP(E1984,Sheet2!$B$1:$E$19,3,FALSE))</f>
        <v>1108959</v>
      </c>
      <c r="M1984">
        <f>IF(LEN(TRIM(E1984))=0,"",VLOOKUP(E1984,Sheet2!$B$1:$E$19,4,FALSE))+(F1984-1)</f>
        <v>3780199</v>
      </c>
    </row>
    <row r="1985" spans="1:17" s="1" customFormat="1" ht="15" customHeight="1" x14ac:dyDescent="0.25">
      <c r="A1985" s="27" t="s">
        <v>121</v>
      </c>
      <c r="B1985" s="27" t="s">
        <v>590</v>
      </c>
      <c r="C1985" s="5" t="s">
        <v>1313</v>
      </c>
      <c r="D1985" s="3" t="s">
        <v>454</v>
      </c>
      <c r="E1985" s="3">
        <v>2170</v>
      </c>
      <c r="F1985" s="31">
        <v>38</v>
      </c>
      <c r="G1985" s="10">
        <v>34</v>
      </c>
      <c r="H1985" s="3">
        <v>68</v>
      </c>
      <c r="I1985" s="3">
        <v>64</v>
      </c>
      <c r="J1985" t="str">
        <f t="shared" si="30"/>
        <v>http://www.badatelna.eu/reprodukce/?fondId=1073&amp;zaznamId=1108956&amp;reproId=3779630</v>
      </c>
      <c r="K1985">
        <f>IF(LEN(TRIM(E1985))=0,"",VLOOKUP(E1985,Sheet2!$B$1:$E$19,2,FALSE))</f>
        <v>1073</v>
      </c>
      <c r="L1985">
        <f>IF(LEN(TRIM(E1985))=0,"",VLOOKUP(E1985,Sheet2!$B$1:$E$19,3,FALSE))</f>
        <v>1108956</v>
      </c>
      <c r="M1985">
        <f>IF(LEN(TRIM(E1985))=0,"",VLOOKUP(E1985,Sheet2!$B$1:$E$19,4,FALSE))+(F1985-1)</f>
        <v>3779630</v>
      </c>
      <c r="N1985"/>
      <c r="O1985"/>
      <c r="P1985"/>
      <c r="Q1985"/>
    </row>
    <row r="1986" spans="1:17" s="1" customFormat="1" ht="15" customHeight="1" x14ac:dyDescent="0.25">
      <c r="A1986" s="28" t="s">
        <v>121</v>
      </c>
      <c r="B1986" s="28" t="s">
        <v>3146</v>
      </c>
      <c r="C1986" s="1">
        <v>1884</v>
      </c>
      <c r="D1986" s="1" t="s">
        <v>454</v>
      </c>
      <c r="E1986" s="1">
        <v>2172</v>
      </c>
      <c r="F1986" s="28">
        <v>41</v>
      </c>
      <c r="G1986" s="9" t="s">
        <v>2763</v>
      </c>
      <c r="H1986" s="1">
        <v>42</v>
      </c>
      <c r="I1986" s="1">
        <v>41</v>
      </c>
      <c r="J1986" t="str">
        <f t="shared" si="30"/>
        <v>http://www.badatelna.eu/reprodukce/?fondId=1073&amp;zaznamId=1108958&amp;reproId=3779782</v>
      </c>
      <c r="K1986">
        <f>IF(LEN(TRIM(E1986))=0,"",VLOOKUP(E1986,Sheet2!$B$1:$E$19,2,FALSE))</f>
        <v>1073</v>
      </c>
      <c r="L1986">
        <f>IF(LEN(TRIM(E1986))=0,"",VLOOKUP(E1986,Sheet2!$B$1:$E$19,3,FALSE))</f>
        <v>1108958</v>
      </c>
      <c r="M1986">
        <f>IF(LEN(TRIM(E1986))=0,"",VLOOKUP(E1986,Sheet2!$B$1:$E$19,4,FALSE))+(F1986-1)</f>
        <v>3779782</v>
      </c>
    </row>
    <row r="1987" spans="1:17" s="1" customFormat="1" ht="15" customHeight="1" x14ac:dyDescent="0.25">
      <c r="A1987" s="28" t="s">
        <v>121</v>
      </c>
      <c r="B1987" s="28" t="s">
        <v>3146</v>
      </c>
      <c r="C1987" s="6" t="s">
        <v>2868</v>
      </c>
      <c r="D1987" s="1" t="s">
        <v>454</v>
      </c>
      <c r="E1987" s="1">
        <v>2173</v>
      </c>
      <c r="F1987" s="28">
        <v>210</v>
      </c>
      <c r="G1987" s="9" t="s">
        <v>2863</v>
      </c>
      <c r="H1987" s="1" t="s">
        <v>3073</v>
      </c>
      <c r="I1987" s="1" t="s">
        <v>3073</v>
      </c>
      <c r="J1987" t="str">
        <f t="shared" ref="J1987:J2050" si="31">IF(LEN(TRIM(E1987))=0,"","http://www.badatelna.eu/reprodukce/?fondId="&amp;K1987&amp;"&amp;zaznamId="&amp;L1987&amp;"&amp;reproId="&amp;M1987)</f>
        <v>http://www.badatelna.eu/reprodukce/?fondId=1073&amp;zaznamId=1108959&amp;reproId=3780203</v>
      </c>
      <c r="K1987">
        <f>IF(LEN(TRIM(E1987))=0,"",VLOOKUP(E1987,Sheet2!$B$1:$E$19,2,FALSE))</f>
        <v>1073</v>
      </c>
      <c r="L1987">
        <f>IF(LEN(TRIM(E1987))=0,"",VLOOKUP(E1987,Sheet2!$B$1:$E$19,3,FALSE))</f>
        <v>1108959</v>
      </c>
      <c r="M1987">
        <f>IF(LEN(TRIM(E1987))=0,"",VLOOKUP(E1987,Sheet2!$B$1:$E$19,4,FALSE))+(F1987-1)</f>
        <v>3780203</v>
      </c>
    </row>
    <row r="1988" spans="1:17" s="1" customFormat="1" ht="15" customHeight="1" x14ac:dyDescent="0.25">
      <c r="A1988" s="27" t="s">
        <v>121</v>
      </c>
      <c r="B1988" s="27" t="s">
        <v>340</v>
      </c>
      <c r="C1988" s="5" t="s">
        <v>1311</v>
      </c>
      <c r="D1988" s="3" t="s">
        <v>454</v>
      </c>
      <c r="E1988" s="3">
        <v>2170</v>
      </c>
      <c r="F1988" s="31">
        <v>37</v>
      </c>
      <c r="G1988" s="10">
        <v>33</v>
      </c>
      <c r="H1988" s="3">
        <v>68</v>
      </c>
      <c r="I1988" s="3">
        <v>64</v>
      </c>
      <c r="J1988" t="str">
        <f t="shared" si="31"/>
        <v>http://www.badatelna.eu/reprodukce/?fondId=1073&amp;zaznamId=1108956&amp;reproId=3779629</v>
      </c>
      <c r="K1988">
        <f>IF(LEN(TRIM(E1988))=0,"",VLOOKUP(E1988,Sheet2!$B$1:$E$19,2,FALSE))</f>
        <v>1073</v>
      </c>
      <c r="L1988">
        <f>IF(LEN(TRIM(E1988))=0,"",VLOOKUP(E1988,Sheet2!$B$1:$E$19,3,FALSE))</f>
        <v>1108956</v>
      </c>
      <c r="M1988">
        <f>IF(LEN(TRIM(E1988))=0,"",VLOOKUP(E1988,Sheet2!$B$1:$E$19,4,FALSE))+(F1988-1)</f>
        <v>3779629</v>
      </c>
    </row>
    <row r="1989" spans="1:17" s="1" customFormat="1" ht="15" customHeight="1" x14ac:dyDescent="0.25">
      <c r="A1989" s="28" t="s">
        <v>121</v>
      </c>
      <c r="B1989" s="28" t="s">
        <v>340</v>
      </c>
      <c r="C1989" s="6" t="s">
        <v>1856</v>
      </c>
      <c r="D1989" s="1" t="s">
        <v>454</v>
      </c>
      <c r="E1989" s="1">
        <v>2172</v>
      </c>
      <c r="F1989" s="28">
        <v>184</v>
      </c>
      <c r="G1989" s="9">
        <v>175</v>
      </c>
      <c r="H1989" s="1" t="s">
        <v>3073</v>
      </c>
      <c r="I1989" s="1" t="s">
        <v>3073</v>
      </c>
      <c r="J1989" t="str">
        <f t="shared" si="31"/>
        <v>http://www.badatelna.eu/reprodukce/?fondId=1073&amp;zaznamId=1108958&amp;reproId=3779925</v>
      </c>
      <c r="K1989">
        <f>IF(LEN(TRIM(E1989))=0,"",VLOOKUP(E1989,Sheet2!$B$1:$E$19,2,FALSE))</f>
        <v>1073</v>
      </c>
      <c r="L1989">
        <f>IF(LEN(TRIM(E1989))=0,"",VLOOKUP(E1989,Sheet2!$B$1:$E$19,3,FALSE))</f>
        <v>1108958</v>
      </c>
      <c r="M1989">
        <f>IF(LEN(TRIM(E1989))=0,"",VLOOKUP(E1989,Sheet2!$B$1:$E$19,4,FALSE))+(F1989-1)</f>
        <v>3779925</v>
      </c>
    </row>
    <row r="1990" spans="1:17" s="1" customFormat="1" ht="15" customHeight="1" x14ac:dyDescent="0.25">
      <c r="A1990" s="28" t="s">
        <v>121</v>
      </c>
      <c r="B1990" s="28" t="s">
        <v>985</v>
      </c>
      <c r="C1990" s="1">
        <v>1885</v>
      </c>
      <c r="D1990" s="1" t="s">
        <v>454</v>
      </c>
      <c r="E1990" s="1">
        <v>2172</v>
      </c>
      <c r="F1990" s="28">
        <v>47</v>
      </c>
      <c r="G1990" s="9">
        <v>46</v>
      </c>
      <c r="H1990" s="1">
        <v>49</v>
      </c>
      <c r="I1990" s="1">
        <v>50</v>
      </c>
      <c r="J1990" t="str">
        <f t="shared" si="31"/>
        <v>http://www.badatelna.eu/reprodukce/?fondId=1073&amp;zaznamId=1108958&amp;reproId=3779788</v>
      </c>
      <c r="K1990">
        <f>IF(LEN(TRIM(E1990))=0,"",VLOOKUP(E1990,Sheet2!$B$1:$E$19,2,FALSE))</f>
        <v>1073</v>
      </c>
      <c r="L1990">
        <f>IF(LEN(TRIM(E1990))=0,"",VLOOKUP(E1990,Sheet2!$B$1:$E$19,3,FALSE))</f>
        <v>1108958</v>
      </c>
      <c r="M1990">
        <f>IF(LEN(TRIM(E1990))=0,"",VLOOKUP(E1990,Sheet2!$B$1:$E$19,4,FALSE))+(F1990-1)</f>
        <v>3779788</v>
      </c>
    </row>
    <row r="1991" spans="1:17" s="1" customFormat="1" ht="15" customHeight="1" x14ac:dyDescent="0.25">
      <c r="A1991" s="27" t="s">
        <v>121</v>
      </c>
      <c r="B1991" s="27" t="s">
        <v>338</v>
      </c>
      <c r="C1991" s="5" t="s">
        <v>1327</v>
      </c>
      <c r="D1991" s="3" t="s">
        <v>454</v>
      </c>
      <c r="E1991" s="3">
        <v>2170</v>
      </c>
      <c r="F1991" s="28">
        <v>53</v>
      </c>
      <c r="G1991" s="10">
        <v>49</v>
      </c>
      <c r="H1991" s="3">
        <v>69</v>
      </c>
      <c r="I1991" s="3">
        <v>65</v>
      </c>
      <c r="J1991" t="str">
        <f t="shared" si="31"/>
        <v>http://www.badatelna.eu/reprodukce/?fondId=1073&amp;zaznamId=1108956&amp;reproId=3779645</v>
      </c>
      <c r="K1991">
        <f>IF(LEN(TRIM(E1991))=0,"",VLOOKUP(E1991,Sheet2!$B$1:$E$19,2,FALSE))</f>
        <v>1073</v>
      </c>
      <c r="L1991">
        <f>IF(LEN(TRIM(E1991))=0,"",VLOOKUP(E1991,Sheet2!$B$1:$E$19,3,FALSE))</f>
        <v>1108956</v>
      </c>
      <c r="M1991">
        <f>IF(LEN(TRIM(E1991))=0,"",VLOOKUP(E1991,Sheet2!$B$1:$E$19,4,FALSE))+(F1991-1)</f>
        <v>3779645</v>
      </c>
    </row>
    <row r="1992" spans="1:17" s="1" customFormat="1" ht="15" customHeight="1" x14ac:dyDescent="0.25">
      <c r="A1992" s="27" t="s">
        <v>121</v>
      </c>
      <c r="B1992" s="27" t="s">
        <v>359</v>
      </c>
      <c r="C1992" s="5" t="s">
        <v>1491</v>
      </c>
      <c r="D1992" s="3" t="s">
        <v>454</v>
      </c>
      <c r="E1992" s="3">
        <v>2171</v>
      </c>
      <c r="F1992" s="28">
        <v>61</v>
      </c>
      <c r="G1992" s="10">
        <v>47</v>
      </c>
      <c r="H1992" s="3">
        <v>61</v>
      </c>
      <c r="I1992" s="3">
        <v>47</v>
      </c>
      <c r="J1992" t="str">
        <f t="shared" si="31"/>
        <v>http://www.badatelna.eu/reprodukce/?fondId=1073&amp;zaznamId=1108957&amp;reproId=3779728</v>
      </c>
      <c r="K1992">
        <f>IF(LEN(TRIM(E1992))=0,"",VLOOKUP(E1992,Sheet2!$B$1:$E$19,2,FALSE))</f>
        <v>1073</v>
      </c>
      <c r="L1992">
        <f>IF(LEN(TRIM(E1992))=0,"",VLOOKUP(E1992,Sheet2!$B$1:$E$19,3,FALSE))</f>
        <v>1108957</v>
      </c>
      <c r="M1992">
        <f>IF(LEN(TRIM(E1992))=0,"",VLOOKUP(E1992,Sheet2!$B$1:$E$19,4,FALSE))+(F1992-1)</f>
        <v>3779728</v>
      </c>
      <c r="N1992"/>
      <c r="O1992"/>
      <c r="P1992"/>
      <c r="Q1992"/>
    </row>
    <row r="1993" spans="1:17" s="1" customFormat="1" ht="15" customHeight="1" x14ac:dyDescent="0.25">
      <c r="A1993" s="27" t="s">
        <v>121</v>
      </c>
      <c r="B1993" s="27" t="s">
        <v>28</v>
      </c>
      <c r="C1993" s="5" t="s">
        <v>1314</v>
      </c>
      <c r="D1993" s="3" t="s">
        <v>454</v>
      </c>
      <c r="E1993" s="3">
        <v>2170</v>
      </c>
      <c r="F1993" s="28">
        <v>28</v>
      </c>
      <c r="G1993" s="10">
        <v>24</v>
      </c>
      <c r="H1993" s="3">
        <v>68</v>
      </c>
      <c r="I1993" s="3">
        <v>64</v>
      </c>
      <c r="J1993" t="str">
        <f t="shared" si="31"/>
        <v>http://www.badatelna.eu/reprodukce/?fondId=1073&amp;zaznamId=1108956&amp;reproId=3779620</v>
      </c>
      <c r="K1993">
        <f>IF(LEN(TRIM(E1993))=0,"",VLOOKUP(E1993,Sheet2!$B$1:$E$19,2,FALSE))</f>
        <v>1073</v>
      </c>
      <c r="L1993">
        <f>IF(LEN(TRIM(E1993))=0,"",VLOOKUP(E1993,Sheet2!$B$1:$E$19,3,FALSE))</f>
        <v>1108956</v>
      </c>
      <c r="M1993">
        <f>IF(LEN(TRIM(E1993))=0,"",VLOOKUP(E1993,Sheet2!$B$1:$E$19,4,FALSE))+(F1993-1)</f>
        <v>3779620</v>
      </c>
    </row>
    <row r="1994" spans="1:17" s="1" customFormat="1" ht="15" customHeight="1" x14ac:dyDescent="0.25">
      <c r="A1994" s="27" t="s">
        <v>121</v>
      </c>
      <c r="B1994" s="27" t="s">
        <v>530</v>
      </c>
      <c r="C1994" s="5" t="s">
        <v>1310</v>
      </c>
      <c r="D1994" s="3" t="s">
        <v>454</v>
      </c>
      <c r="E1994" s="3">
        <v>2170</v>
      </c>
      <c r="F1994" s="28">
        <v>31</v>
      </c>
      <c r="G1994" s="10">
        <v>27</v>
      </c>
      <c r="H1994" s="3">
        <v>68</v>
      </c>
      <c r="I1994" s="3">
        <v>64</v>
      </c>
      <c r="J1994" t="str">
        <f t="shared" si="31"/>
        <v>http://www.badatelna.eu/reprodukce/?fondId=1073&amp;zaznamId=1108956&amp;reproId=3779623</v>
      </c>
      <c r="K1994">
        <f>IF(LEN(TRIM(E1994))=0,"",VLOOKUP(E1994,Sheet2!$B$1:$E$19,2,FALSE))</f>
        <v>1073</v>
      </c>
      <c r="L1994">
        <f>IF(LEN(TRIM(E1994))=0,"",VLOOKUP(E1994,Sheet2!$B$1:$E$19,3,FALSE))</f>
        <v>1108956</v>
      </c>
      <c r="M1994">
        <f>IF(LEN(TRIM(E1994))=0,"",VLOOKUP(E1994,Sheet2!$B$1:$E$19,4,FALSE))+(F1994-1)</f>
        <v>3779623</v>
      </c>
    </row>
    <row r="1995" spans="1:17" s="1" customFormat="1" ht="15" customHeight="1" x14ac:dyDescent="0.25">
      <c r="A1995" s="28" t="s">
        <v>121</v>
      </c>
      <c r="B1995" s="28" t="s">
        <v>314</v>
      </c>
      <c r="C1995" s="1">
        <v>1882</v>
      </c>
      <c r="D1995" s="1" t="s">
        <v>454</v>
      </c>
      <c r="E1995" s="1">
        <v>2172</v>
      </c>
      <c r="F1995" s="29">
        <v>29</v>
      </c>
      <c r="G1995" s="9" t="s">
        <v>2758</v>
      </c>
      <c r="H1995" s="1">
        <v>30</v>
      </c>
      <c r="I1995" s="1">
        <v>29</v>
      </c>
      <c r="J1995" t="str">
        <f t="shared" si="31"/>
        <v>http://www.badatelna.eu/reprodukce/?fondId=1073&amp;zaznamId=1108958&amp;reproId=3779770</v>
      </c>
      <c r="K1995">
        <f>IF(LEN(TRIM(E1995))=0,"",VLOOKUP(E1995,Sheet2!$B$1:$E$19,2,FALSE))</f>
        <v>1073</v>
      </c>
      <c r="L1995">
        <f>IF(LEN(TRIM(E1995))=0,"",VLOOKUP(E1995,Sheet2!$B$1:$E$19,3,FALSE))</f>
        <v>1108958</v>
      </c>
      <c r="M1995">
        <f>IF(LEN(TRIM(E1995))=0,"",VLOOKUP(E1995,Sheet2!$B$1:$E$19,4,FALSE))+(F1995-1)</f>
        <v>3779770</v>
      </c>
    </row>
    <row r="1996" spans="1:17" s="1" customFormat="1" ht="15" customHeight="1" x14ac:dyDescent="0.25">
      <c r="A1996" s="28" t="s">
        <v>121</v>
      </c>
      <c r="B1996" s="28" t="s">
        <v>424</v>
      </c>
      <c r="C1996" s="6" t="s">
        <v>1899</v>
      </c>
      <c r="D1996" s="1" t="s">
        <v>454</v>
      </c>
      <c r="E1996" s="1">
        <v>2172</v>
      </c>
      <c r="F1996" s="28">
        <v>202</v>
      </c>
      <c r="G1996" s="9">
        <v>189</v>
      </c>
      <c r="H1996" s="1" t="s">
        <v>3073</v>
      </c>
      <c r="I1996" s="1" t="s">
        <v>3073</v>
      </c>
      <c r="J1996" t="str">
        <f t="shared" si="31"/>
        <v>http://www.badatelna.eu/reprodukce/?fondId=1073&amp;zaznamId=1108958&amp;reproId=3779943</v>
      </c>
      <c r="K1996">
        <f>IF(LEN(TRIM(E1996))=0,"",VLOOKUP(E1996,Sheet2!$B$1:$E$19,2,FALSE))</f>
        <v>1073</v>
      </c>
      <c r="L1996">
        <f>IF(LEN(TRIM(E1996))=0,"",VLOOKUP(E1996,Sheet2!$B$1:$E$19,3,FALSE))</f>
        <v>1108958</v>
      </c>
      <c r="M1996">
        <f>IF(LEN(TRIM(E1996))=0,"",VLOOKUP(E1996,Sheet2!$B$1:$E$19,4,FALSE))+(F1996-1)</f>
        <v>3779943</v>
      </c>
    </row>
    <row r="1997" spans="1:17" s="1" customFormat="1" ht="15" customHeight="1" x14ac:dyDescent="0.25">
      <c r="A1997" s="27" t="s">
        <v>121</v>
      </c>
      <c r="B1997" s="27" t="s">
        <v>591</v>
      </c>
      <c r="C1997" s="5" t="s">
        <v>1328</v>
      </c>
      <c r="D1997" s="3" t="s">
        <v>454</v>
      </c>
      <c r="E1997" s="3">
        <v>2170</v>
      </c>
      <c r="F1997" s="28">
        <v>56</v>
      </c>
      <c r="G1997" s="10">
        <v>52</v>
      </c>
      <c r="H1997" s="3">
        <v>69</v>
      </c>
      <c r="I1997" s="3">
        <v>65</v>
      </c>
      <c r="J1997" t="str">
        <f t="shared" si="31"/>
        <v>http://www.badatelna.eu/reprodukce/?fondId=1073&amp;zaznamId=1108956&amp;reproId=3779648</v>
      </c>
      <c r="K1997">
        <f>IF(LEN(TRIM(E1997))=0,"",VLOOKUP(E1997,Sheet2!$B$1:$E$19,2,FALSE))</f>
        <v>1073</v>
      </c>
      <c r="L1997">
        <f>IF(LEN(TRIM(E1997))=0,"",VLOOKUP(E1997,Sheet2!$B$1:$E$19,3,FALSE))</f>
        <v>1108956</v>
      </c>
      <c r="M1997">
        <f>IF(LEN(TRIM(E1997))=0,"",VLOOKUP(E1997,Sheet2!$B$1:$E$19,4,FALSE))+(F1997-1)</f>
        <v>3779648</v>
      </c>
    </row>
    <row r="1998" spans="1:17" s="1" customFormat="1" ht="15" customHeight="1" x14ac:dyDescent="0.25">
      <c r="A1998" s="28" t="s">
        <v>121</v>
      </c>
      <c r="B1998" s="28" t="s">
        <v>2992</v>
      </c>
      <c r="C1998" s="1">
        <v>1849</v>
      </c>
      <c r="D1998" s="1" t="s">
        <v>2919</v>
      </c>
      <c r="E1998" s="1">
        <v>998</v>
      </c>
      <c r="F1998" s="28">
        <v>19</v>
      </c>
      <c r="G1998" s="1">
        <v>17</v>
      </c>
      <c r="H1998" s="1">
        <v>76</v>
      </c>
      <c r="I1998" s="1">
        <v>73</v>
      </c>
      <c r="J1998" t="str">
        <f t="shared" si="31"/>
        <v>http://www.badatelna.eu/reprodukce/?fondId=241&amp;zaznamId=1133738&amp;reproId=3885665</v>
      </c>
      <c r="K1998">
        <f>IF(LEN(TRIM(E1998))=0,"",VLOOKUP(E1998,Sheet2!$B$1:$E$19,2,FALSE))</f>
        <v>241</v>
      </c>
      <c r="L1998">
        <f>IF(LEN(TRIM(E1998))=0,"",VLOOKUP(E1998,Sheet2!$B$1:$E$19,3,FALSE))</f>
        <v>1133738</v>
      </c>
      <c r="M1998">
        <f>IF(LEN(TRIM(E1998))=0,"",VLOOKUP(E1998,Sheet2!$B$1:$E$19,4,FALSE))+(F1998-1)</f>
        <v>3885665</v>
      </c>
    </row>
    <row r="1999" spans="1:17" s="1" customFormat="1" ht="15" customHeight="1" x14ac:dyDescent="0.25">
      <c r="A1999" s="28" t="s">
        <v>121</v>
      </c>
      <c r="B1999" s="28" t="s">
        <v>500</v>
      </c>
      <c r="C1999" s="1">
        <v>1856</v>
      </c>
      <c r="D1999" s="1" t="s">
        <v>2919</v>
      </c>
      <c r="E1999" s="1">
        <v>998</v>
      </c>
      <c r="F1999" s="28">
        <v>50</v>
      </c>
      <c r="G1999" s="1">
        <v>48</v>
      </c>
      <c r="H1999" s="1">
        <v>76</v>
      </c>
      <c r="I1999" s="1">
        <v>73</v>
      </c>
      <c r="J1999" t="str">
        <f t="shared" si="31"/>
        <v>http://www.badatelna.eu/reprodukce/?fondId=241&amp;zaznamId=1133738&amp;reproId=3885696</v>
      </c>
      <c r="K1999">
        <f>IF(LEN(TRIM(E1999))=0,"",VLOOKUP(E1999,Sheet2!$B$1:$E$19,2,FALSE))</f>
        <v>241</v>
      </c>
      <c r="L1999">
        <f>IF(LEN(TRIM(E1999))=0,"",VLOOKUP(E1999,Sheet2!$B$1:$E$19,3,FALSE))</f>
        <v>1133738</v>
      </c>
      <c r="M1999">
        <f>IF(LEN(TRIM(E1999))=0,"",VLOOKUP(E1999,Sheet2!$B$1:$E$19,4,FALSE))+(F1999-1)</f>
        <v>3885696</v>
      </c>
    </row>
    <row r="2000" spans="1:17" s="1" customFormat="1" ht="15" customHeight="1" x14ac:dyDescent="0.25">
      <c r="A2000" s="29" t="s">
        <v>2804</v>
      </c>
      <c r="B2000" s="28" t="s">
        <v>46</v>
      </c>
      <c r="C2000" s="6" t="s">
        <v>2803</v>
      </c>
      <c r="D2000" s="1" t="s">
        <v>454</v>
      </c>
      <c r="E2000" s="1">
        <v>2173</v>
      </c>
      <c r="F2000" s="31">
        <v>199</v>
      </c>
      <c r="G2000" s="9">
        <v>8</v>
      </c>
      <c r="H2000" s="1" t="s">
        <v>3073</v>
      </c>
      <c r="I2000" s="1" t="s">
        <v>3073</v>
      </c>
      <c r="J2000" t="str">
        <f t="shared" si="31"/>
        <v>http://www.badatelna.eu/reprodukce/?fondId=1073&amp;zaznamId=1108959&amp;reproId=3780192</v>
      </c>
      <c r="K2000">
        <f>IF(LEN(TRIM(E2000))=0,"",VLOOKUP(E2000,Sheet2!$B$1:$E$19,2,FALSE))</f>
        <v>1073</v>
      </c>
      <c r="L2000">
        <f>IF(LEN(TRIM(E2000))=0,"",VLOOKUP(E2000,Sheet2!$B$1:$E$19,3,FALSE))</f>
        <v>1108959</v>
      </c>
      <c r="M2000">
        <f>IF(LEN(TRIM(E2000))=0,"",VLOOKUP(E2000,Sheet2!$B$1:$E$19,4,FALSE))+(F2000-1)</f>
        <v>3780192</v>
      </c>
    </row>
    <row r="2001" spans="1:17" s="1" customFormat="1" ht="15" customHeight="1" x14ac:dyDescent="0.25">
      <c r="A2001" s="28" t="s">
        <v>337</v>
      </c>
      <c r="B2001" s="28" t="s">
        <v>254</v>
      </c>
      <c r="C2001" s="6" t="s">
        <v>2149</v>
      </c>
      <c r="D2001" s="1" t="s">
        <v>454</v>
      </c>
      <c r="E2001" s="1">
        <v>2173</v>
      </c>
      <c r="F2001" s="28">
        <v>180</v>
      </c>
      <c r="G2001" s="9">
        <v>6</v>
      </c>
      <c r="H2001" s="1">
        <v>191</v>
      </c>
      <c r="I2001" s="1">
        <v>424</v>
      </c>
      <c r="J2001" t="str">
        <f t="shared" si="31"/>
        <v>http://www.badatelna.eu/reprodukce/?fondId=1073&amp;zaznamId=1108959&amp;reproId=3780173</v>
      </c>
      <c r="K2001">
        <f>IF(LEN(TRIM(E2001))=0,"",VLOOKUP(E2001,Sheet2!$B$1:$E$19,2,FALSE))</f>
        <v>1073</v>
      </c>
      <c r="L2001">
        <f>IF(LEN(TRIM(E2001))=0,"",VLOOKUP(E2001,Sheet2!$B$1:$E$19,3,FALSE))</f>
        <v>1108959</v>
      </c>
      <c r="M2001">
        <f>IF(LEN(TRIM(E2001))=0,"",VLOOKUP(E2001,Sheet2!$B$1:$E$19,4,FALSE))+(F2001-1)</f>
        <v>3780173</v>
      </c>
      <c r="N2001"/>
      <c r="O2001"/>
      <c r="P2001"/>
      <c r="Q2001"/>
    </row>
    <row r="2002" spans="1:17" s="1" customFormat="1" ht="15" customHeight="1" x14ac:dyDescent="0.25">
      <c r="A2002" s="28" t="s">
        <v>986</v>
      </c>
      <c r="B2002" s="28" t="s">
        <v>987</v>
      </c>
      <c r="C2002" s="6" t="s">
        <v>1744</v>
      </c>
      <c r="D2002" s="1" t="s">
        <v>454</v>
      </c>
      <c r="E2002" s="1">
        <v>2172</v>
      </c>
      <c r="F2002" s="28">
        <v>127</v>
      </c>
      <c r="G2002" s="9" t="s">
        <v>2780</v>
      </c>
      <c r="H2002" s="1">
        <v>133</v>
      </c>
      <c r="I2002" s="1">
        <v>132</v>
      </c>
      <c r="J2002" t="str">
        <f t="shared" si="31"/>
        <v>http://www.badatelna.eu/reprodukce/?fondId=1073&amp;zaznamId=1108958&amp;reproId=3779868</v>
      </c>
      <c r="K2002">
        <f>IF(LEN(TRIM(E2002))=0,"",VLOOKUP(E2002,Sheet2!$B$1:$E$19,2,FALSE))</f>
        <v>1073</v>
      </c>
      <c r="L2002">
        <f>IF(LEN(TRIM(E2002))=0,"",VLOOKUP(E2002,Sheet2!$B$1:$E$19,3,FALSE))</f>
        <v>1108958</v>
      </c>
      <c r="M2002">
        <f>IF(LEN(TRIM(E2002))=0,"",VLOOKUP(E2002,Sheet2!$B$1:$E$19,4,FALSE))+(F2002-1)</f>
        <v>3779868</v>
      </c>
    </row>
    <row r="2003" spans="1:17" s="1" customFormat="1" ht="15" customHeight="1" x14ac:dyDescent="0.25">
      <c r="A2003" s="28" t="s">
        <v>99</v>
      </c>
      <c r="B2003" s="28" t="s">
        <v>49</v>
      </c>
      <c r="C2003" s="6" t="s">
        <v>2301</v>
      </c>
      <c r="D2003" s="1" t="s">
        <v>454</v>
      </c>
      <c r="E2003" s="1">
        <v>2173</v>
      </c>
      <c r="F2003" s="28">
        <v>198</v>
      </c>
      <c r="G2003" s="9">
        <v>6</v>
      </c>
      <c r="H2003" s="1" t="s">
        <v>3073</v>
      </c>
      <c r="I2003" s="1" t="s">
        <v>3073</v>
      </c>
      <c r="J2003" t="str">
        <f t="shared" si="31"/>
        <v>http://www.badatelna.eu/reprodukce/?fondId=1073&amp;zaznamId=1108959&amp;reproId=3780191</v>
      </c>
      <c r="K2003">
        <f>IF(LEN(TRIM(E2003))=0,"",VLOOKUP(E2003,Sheet2!$B$1:$E$19,2,FALSE))</f>
        <v>1073</v>
      </c>
      <c r="L2003">
        <f>IF(LEN(TRIM(E2003))=0,"",VLOOKUP(E2003,Sheet2!$B$1:$E$19,3,FALSE))</f>
        <v>1108959</v>
      </c>
      <c r="M2003">
        <f>IF(LEN(TRIM(E2003))=0,"",VLOOKUP(E2003,Sheet2!$B$1:$E$19,4,FALSE))+(F2003-1)</f>
        <v>3780191</v>
      </c>
      <c r="N2003"/>
      <c r="O2003"/>
      <c r="P2003"/>
      <c r="Q2003"/>
    </row>
    <row r="2004" spans="1:17" s="1" customFormat="1" ht="15" customHeight="1" x14ac:dyDescent="0.25">
      <c r="A2004" s="28" t="s">
        <v>425</v>
      </c>
      <c r="B2004" s="28" t="s">
        <v>492</v>
      </c>
      <c r="C2004" s="1">
        <v>1849</v>
      </c>
      <c r="D2004" s="1" t="s">
        <v>2919</v>
      </c>
      <c r="E2004" s="1">
        <v>998</v>
      </c>
      <c r="F2004" s="28">
        <v>23</v>
      </c>
      <c r="G2004" s="1">
        <v>21</v>
      </c>
      <c r="H2004" s="1">
        <v>77</v>
      </c>
      <c r="I2004" s="1">
        <v>75</v>
      </c>
      <c r="J2004" t="str">
        <f t="shared" si="31"/>
        <v>http://www.badatelna.eu/reprodukce/?fondId=241&amp;zaznamId=1133738&amp;reproId=3885669</v>
      </c>
      <c r="K2004">
        <f>IF(LEN(TRIM(E2004))=0,"",VLOOKUP(E2004,Sheet2!$B$1:$E$19,2,FALSE))</f>
        <v>241</v>
      </c>
      <c r="L2004">
        <f>IF(LEN(TRIM(E2004))=0,"",VLOOKUP(E2004,Sheet2!$B$1:$E$19,3,FALSE))</f>
        <v>1133738</v>
      </c>
      <c r="M2004">
        <f>IF(LEN(TRIM(E2004))=0,"",VLOOKUP(E2004,Sheet2!$B$1:$E$19,4,FALSE))+(F2004-1)</f>
        <v>3885669</v>
      </c>
    </row>
    <row r="2005" spans="1:17" s="1" customFormat="1" ht="15" customHeight="1" x14ac:dyDescent="0.25">
      <c r="A2005" s="28" t="s">
        <v>425</v>
      </c>
      <c r="B2005" s="28" t="s">
        <v>673</v>
      </c>
      <c r="C2005" s="1">
        <v>1885</v>
      </c>
      <c r="D2005" s="1" t="s">
        <v>454</v>
      </c>
      <c r="E2005" s="1">
        <v>2172</v>
      </c>
      <c r="F2005" s="28">
        <v>47</v>
      </c>
      <c r="G2005" s="9">
        <v>46</v>
      </c>
      <c r="H2005" s="1">
        <v>49</v>
      </c>
      <c r="I2005" s="1">
        <v>50</v>
      </c>
      <c r="J2005" t="str">
        <f t="shared" si="31"/>
        <v>http://www.badatelna.eu/reprodukce/?fondId=1073&amp;zaznamId=1108958&amp;reproId=3779788</v>
      </c>
      <c r="K2005">
        <f>IF(LEN(TRIM(E2005))=0,"",VLOOKUP(E2005,Sheet2!$B$1:$E$19,2,FALSE))</f>
        <v>1073</v>
      </c>
      <c r="L2005">
        <f>IF(LEN(TRIM(E2005))=0,"",VLOOKUP(E2005,Sheet2!$B$1:$E$19,3,FALSE))</f>
        <v>1108958</v>
      </c>
      <c r="M2005">
        <f>IF(LEN(TRIM(E2005))=0,"",VLOOKUP(E2005,Sheet2!$B$1:$E$19,4,FALSE))+(F2005-1)</f>
        <v>3779788</v>
      </c>
      <c r="N2005"/>
      <c r="O2005"/>
      <c r="P2005"/>
      <c r="Q2005"/>
    </row>
    <row r="2006" spans="1:17" s="1" customFormat="1" ht="15" customHeight="1" x14ac:dyDescent="0.25">
      <c r="A2006" s="28" t="s">
        <v>425</v>
      </c>
      <c r="B2006" s="28" t="s">
        <v>597</v>
      </c>
      <c r="C2006" s="6" t="s">
        <v>1883</v>
      </c>
      <c r="D2006" s="1" t="s">
        <v>454</v>
      </c>
      <c r="E2006" s="1">
        <v>2172</v>
      </c>
      <c r="F2006" s="28">
        <v>194</v>
      </c>
      <c r="G2006" s="9">
        <v>184</v>
      </c>
      <c r="H2006" s="1" t="s">
        <v>3073</v>
      </c>
      <c r="I2006" s="1" t="s">
        <v>3073</v>
      </c>
      <c r="J2006" t="str">
        <f t="shared" si="31"/>
        <v>http://www.badatelna.eu/reprodukce/?fondId=1073&amp;zaznamId=1108958&amp;reproId=3779935</v>
      </c>
      <c r="K2006">
        <f>IF(LEN(TRIM(E2006))=0,"",VLOOKUP(E2006,Sheet2!$B$1:$E$19,2,FALSE))</f>
        <v>1073</v>
      </c>
      <c r="L2006">
        <f>IF(LEN(TRIM(E2006))=0,"",VLOOKUP(E2006,Sheet2!$B$1:$E$19,3,FALSE))</f>
        <v>1108958</v>
      </c>
      <c r="M2006">
        <f>IF(LEN(TRIM(E2006))=0,"",VLOOKUP(E2006,Sheet2!$B$1:$E$19,4,FALSE))+(F2006-1)</f>
        <v>3779935</v>
      </c>
    </row>
    <row r="2007" spans="1:17" s="1" customFormat="1" ht="15" customHeight="1" x14ac:dyDescent="0.25">
      <c r="A2007" s="28" t="s">
        <v>425</v>
      </c>
      <c r="B2007" s="28" t="s">
        <v>54</v>
      </c>
      <c r="C2007" s="6" t="s">
        <v>2681</v>
      </c>
      <c r="D2007" s="1" t="s">
        <v>454</v>
      </c>
      <c r="E2007" s="1">
        <v>2173</v>
      </c>
      <c r="F2007" s="28">
        <v>223</v>
      </c>
      <c r="G2007" s="9">
        <v>52</v>
      </c>
      <c r="H2007" s="1" t="s">
        <v>3073</v>
      </c>
      <c r="I2007" s="1" t="s">
        <v>3073</v>
      </c>
      <c r="J2007" t="str">
        <f t="shared" si="31"/>
        <v>http://www.badatelna.eu/reprodukce/?fondId=1073&amp;zaznamId=1108959&amp;reproId=3780216</v>
      </c>
      <c r="K2007">
        <f>IF(LEN(TRIM(E2007))=0,"",VLOOKUP(E2007,Sheet2!$B$1:$E$19,2,FALSE))</f>
        <v>1073</v>
      </c>
      <c r="L2007">
        <f>IF(LEN(TRIM(E2007))=0,"",VLOOKUP(E2007,Sheet2!$B$1:$E$19,3,FALSE))</f>
        <v>1108959</v>
      </c>
      <c r="M2007">
        <f>IF(LEN(TRIM(E2007))=0,"",VLOOKUP(E2007,Sheet2!$B$1:$E$19,4,FALSE))+(F2007-1)</f>
        <v>3780216</v>
      </c>
    </row>
    <row r="2008" spans="1:17" s="1" customFormat="1" ht="15" customHeight="1" x14ac:dyDescent="0.25">
      <c r="A2008" s="28" t="s">
        <v>100</v>
      </c>
      <c r="B2008" s="28" t="s">
        <v>39</v>
      </c>
      <c r="C2008" s="6" t="s">
        <v>2302</v>
      </c>
      <c r="D2008" s="1" t="s">
        <v>454</v>
      </c>
      <c r="E2008" s="1">
        <v>2173</v>
      </c>
      <c r="F2008" s="28">
        <v>198</v>
      </c>
      <c r="G2008" s="9">
        <v>6</v>
      </c>
      <c r="H2008" s="1" t="s">
        <v>3073</v>
      </c>
      <c r="I2008" s="1" t="s">
        <v>3073</v>
      </c>
      <c r="J2008" t="str">
        <f t="shared" si="31"/>
        <v>http://www.badatelna.eu/reprodukce/?fondId=1073&amp;zaznamId=1108959&amp;reproId=3780191</v>
      </c>
      <c r="K2008">
        <f>IF(LEN(TRIM(E2008))=0,"",VLOOKUP(E2008,Sheet2!$B$1:$E$19,2,FALSE))</f>
        <v>1073</v>
      </c>
      <c r="L2008">
        <f>IF(LEN(TRIM(E2008))=0,"",VLOOKUP(E2008,Sheet2!$B$1:$E$19,3,FALSE))</f>
        <v>1108959</v>
      </c>
      <c r="M2008">
        <f>IF(LEN(TRIM(E2008))=0,"",VLOOKUP(E2008,Sheet2!$B$1:$E$19,4,FALSE))+(F2008-1)</f>
        <v>3780191</v>
      </c>
    </row>
    <row r="2009" spans="1:17" s="1" customFormat="1" ht="15" customHeight="1" x14ac:dyDescent="0.25">
      <c r="A2009" s="28" t="s">
        <v>100</v>
      </c>
      <c r="B2009" s="28" t="s">
        <v>21</v>
      </c>
      <c r="C2009" s="6" t="s">
        <v>2382</v>
      </c>
      <c r="D2009" s="1" t="s">
        <v>454</v>
      </c>
      <c r="E2009" s="1">
        <v>2173</v>
      </c>
      <c r="F2009" s="28">
        <v>201</v>
      </c>
      <c r="G2009" s="9">
        <v>12</v>
      </c>
      <c r="H2009" s="1" t="s">
        <v>3073</v>
      </c>
      <c r="I2009" s="1" t="s">
        <v>3073</v>
      </c>
      <c r="J2009" t="str">
        <f t="shared" si="31"/>
        <v>http://www.badatelna.eu/reprodukce/?fondId=1073&amp;zaznamId=1108959&amp;reproId=3780194</v>
      </c>
      <c r="K2009">
        <f>IF(LEN(TRIM(E2009))=0,"",VLOOKUP(E2009,Sheet2!$B$1:$E$19,2,FALSE))</f>
        <v>1073</v>
      </c>
      <c r="L2009">
        <f>IF(LEN(TRIM(E2009))=0,"",VLOOKUP(E2009,Sheet2!$B$1:$E$19,3,FALSE))</f>
        <v>1108959</v>
      </c>
      <c r="M2009">
        <f>IF(LEN(TRIM(E2009))=0,"",VLOOKUP(E2009,Sheet2!$B$1:$E$19,4,FALSE))+(F2009-1)</f>
        <v>3780194</v>
      </c>
    </row>
    <row r="2010" spans="1:17" s="1" customFormat="1" ht="15" customHeight="1" x14ac:dyDescent="0.25">
      <c r="A2010" s="28"/>
      <c r="B2010" s="28"/>
      <c r="C2010" s="38" t="s">
        <v>3133</v>
      </c>
      <c r="F2010" s="28"/>
      <c r="G2010" s="9"/>
      <c r="J2010" t="str">
        <f t="shared" si="31"/>
        <v/>
      </c>
      <c r="K2010" t="str">
        <f>IF(LEN(TRIM(E2010))=0,"",VLOOKUP(E2010,Sheet2!$B$1:$E$19,2,FALSE))</f>
        <v/>
      </c>
      <c r="L2010" t="str">
        <f>IF(LEN(TRIM(E2010))=0,"",VLOOKUP(E2010,Sheet2!$B$1:$E$19,3,FALSE))</f>
        <v/>
      </c>
      <c r="M2010" t="e">
        <f>IF(LEN(TRIM(E2010))=0,"",VLOOKUP(E2010,Sheet2!$B$1:$E$19,4,FALSE))+(F2010-1)</f>
        <v>#VALUE!</v>
      </c>
    </row>
    <row r="2011" spans="1:17" s="1" customFormat="1" ht="15" customHeight="1" x14ac:dyDescent="0.25">
      <c r="A2011" s="27" t="s">
        <v>592</v>
      </c>
      <c r="B2011" s="27" t="s">
        <v>25</v>
      </c>
      <c r="C2011" s="5" t="s">
        <v>1330</v>
      </c>
      <c r="D2011" s="3" t="s">
        <v>454</v>
      </c>
      <c r="E2011" s="3">
        <v>2170</v>
      </c>
      <c r="F2011" s="28">
        <v>32</v>
      </c>
      <c r="G2011" s="10">
        <v>28</v>
      </c>
      <c r="H2011" s="3">
        <v>69</v>
      </c>
      <c r="I2011" s="3">
        <v>65</v>
      </c>
      <c r="J2011" t="str">
        <f t="shared" si="31"/>
        <v>http://www.badatelna.eu/reprodukce/?fondId=1073&amp;zaznamId=1108956&amp;reproId=3779624</v>
      </c>
      <c r="K2011">
        <f>IF(LEN(TRIM(E2011))=0,"",VLOOKUP(E2011,Sheet2!$B$1:$E$19,2,FALSE))</f>
        <v>1073</v>
      </c>
      <c r="L2011">
        <f>IF(LEN(TRIM(E2011))=0,"",VLOOKUP(E2011,Sheet2!$B$1:$E$19,3,FALSE))</f>
        <v>1108956</v>
      </c>
      <c r="M2011">
        <f>IF(LEN(TRIM(E2011))=0,"",VLOOKUP(E2011,Sheet2!$B$1:$E$19,4,FALSE))+(F2011-1)</f>
        <v>3779624</v>
      </c>
      <c r="N2011"/>
      <c r="O2011"/>
      <c r="P2011"/>
      <c r="Q2011"/>
    </row>
    <row r="2012" spans="1:17" s="1" customFormat="1" ht="15" customHeight="1" x14ac:dyDescent="0.25">
      <c r="A2012" s="27" t="s">
        <v>592</v>
      </c>
      <c r="B2012" s="27" t="s">
        <v>593</v>
      </c>
      <c r="C2012" s="5" t="s">
        <v>1331</v>
      </c>
      <c r="D2012" s="3" t="s">
        <v>454</v>
      </c>
      <c r="E2012" s="3">
        <v>2170</v>
      </c>
      <c r="F2012" s="31">
        <v>37</v>
      </c>
      <c r="G2012" s="10">
        <v>33</v>
      </c>
      <c r="H2012" s="3">
        <v>69</v>
      </c>
      <c r="I2012" s="3">
        <v>65</v>
      </c>
      <c r="J2012" t="str">
        <f t="shared" si="31"/>
        <v>http://www.badatelna.eu/reprodukce/?fondId=1073&amp;zaznamId=1108956&amp;reproId=3779629</v>
      </c>
      <c r="K2012">
        <f>IF(LEN(TRIM(E2012))=0,"",VLOOKUP(E2012,Sheet2!$B$1:$E$19,2,FALSE))</f>
        <v>1073</v>
      </c>
      <c r="L2012">
        <f>IF(LEN(TRIM(E2012))=0,"",VLOOKUP(E2012,Sheet2!$B$1:$E$19,3,FALSE))</f>
        <v>1108956</v>
      </c>
      <c r="M2012">
        <f>IF(LEN(TRIM(E2012))=0,"",VLOOKUP(E2012,Sheet2!$B$1:$E$19,4,FALSE))+(F2012-1)</f>
        <v>3779629</v>
      </c>
    </row>
    <row r="2013" spans="1:17" s="1" customFormat="1" ht="15" customHeight="1" x14ac:dyDescent="0.25">
      <c r="A2013" s="27" t="s">
        <v>592</v>
      </c>
      <c r="B2013" s="27" t="s">
        <v>424</v>
      </c>
      <c r="C2013" s="5" t="s">
        <v>1329</v>
      </c>
      <c r="D2013" s="3" t="s">
        <v>454</v>
      </c>
      <c r="E2013" s="3">
        <v>2170</v>
      </c>
      <c r="F2013" s="28">
        <v>44</v>
      </c>
      <c r="G2013" s="10">
        <v>40</v>
      </c>
      <c r="H2013" s="3">
        <v>69</v>
      </c>
      <c r="I2013" s="3">
        <v>65</v>
      </c>
      <c r="J2013" t="str">
        <f t="shared" si="31"/>
        <v>http://www.badatelna.eu/reprodukce/?fondId=1073&amp;zaznamId=1108956&amp;reproId=3779636</v>
      </c>
      <c r="K2013">
        <f>IF(LEN(TRIM(E2013))=0,"",VLOOKUP(E2013,Sheet2!$B$1:$E$19,2,FALSE))</f>
        <v>1073</v>
      </c>
      <c r="L2013">
        <f>IF(LEN(TRIM(E2013))=0,"",VLOOKUP(E2013,Sheet2!$B$1:$E$19,3,FALSE))</f>
        <v>1108956</v>
      </c>
      <c r="M2013">
        <f>IF(LEN(TRIM(E2013))=0,"",VLOOKUP(E2013,Sheet2!$B$1:$E$19,4,FALSE))+(F2013-1)</f>
        <v>3779636</v>
      </c>
    </row>
    <row r="2014" spans="1:17" s="1" customFormat="1" ht="15" customHeight="1" x14ac:dyDescent="0.25">
      <c r="A2014" s="28" t="s">
        <v>592</v>
      </c>
      <c r="B2014" s="28" t="s">
        <v>424</v>
      </c>
      <c r="C2014" s="6" t="s">
        <v>1665</v>
      </c>
      <c r="D2014" s="1" t="s">
        <v>454</v>
      </c>
      <c r="E2014" s="1">
        <v>2172</v>
      </c>
      <c r="F2014" s="28">
        <v>100</v>
      </c>
      <c r="G2014" s="9">
        <v>99</v>
      </c>
      <c r="H2014" s="1">
        <v>104</v>
      </c>
      <c r="I2014" s="1">
        <v>103</v>
      </c>
      <c r="J2014" t="str">
        <f t="shared" si="31"/>
        <v>http://www.badatelna.eu/reprodukce/?fondId=1073&amp;zaznamId=1108958&amp;reproId=3779841</v>
      </c>
      <c r="K2014">
        <f>IF(LEN(TRIM(E2014))=0,"",VLOOKUP(E2014,Sheet2!$B$1:$E$19,2,FALSE))</f>
        <v>1073</v>
      </c>
      <c r="L2014">
        <f>IF(LEN(TRIM(E2014))=0,"",VLOOKUP(E2014,Sheet2!$B$1:$E$19,3,FALSE))</f>
        <v>1108958</v>
      </c>
      <c r="M2014">
        <f>IF(LEN(TRIM(E2014))=0,"",VLOOKUP(E2014,Sheet2!$B$1:$E$19,4,FALSE))+(F2014-1)</f>
        <v>3779841</v>
      </c>
    </row>
    <row r="2015" spans="1:17" s="1" customFormat="1" ht="15" customHeight="1" x14ac:dyDescent="0.25">
      <c r="A2015" s="28" t="s">
        <v>988</v>
      </c>
      <c r="B2015" s="28" t="s">
        <v>989</v>
      </c>
      <c r="C2015" s="6" t="s">
        <v>1967</v>
      </c>
      <c r="D2015" s="1" t="s">
        <v>454</v>
      </c>
      <c r="E2015" s="1">
        <v>2172</v>
      </c>
      <c r="F2015" s="28">
        <v>237</v>
      </c>
      <c r="G2015" s="9">
        <v>217</v>
      </c>
      <c r="H2015" s="1" t="s">
        <v>3073</v>
      </c>
      <c r="I2015" s="1" t="s">
        <v>3073</v>
      </c>
      <c r="J2015" t="str">
        <f t="shared" si="31"/>
        <v>http://www.badatelna.eu/reprodukce/?fondId=1073&amp;zaznamId=1108958&amp;reproId=3779978</v>
      </c>
      <c r="K2015">
        <f>IF(LEN(TRIM(E2015))=0,"",VLOOKUP(E2015,Sheet2!$B$1:$E$19,2,FALSE))</f>
        <v>1073</v>
      </c>
      <c r="L2015">
        <f>IF(LEN(TRIM(E2015))=0,"",VLOOKUP(E2015,Sheet2!$B$1:$E$19,3,FALSE))</f>
        <v>1108958</v>
      </c>
      <c r="M2015">
        <f>IF(LEN(TRIM(E2015))=0,"",VLOOKUP(E2015,Sheet2!$B$1:$E$19,4,FALSE))+(F2015-1)</f>
        <v>3779978</v>
      </c>
    </row>
    <row r="2016" spans="1:17" s="1" customFormat="1" ht="15" customHeight="1" x14ac:dyDescent="0.25">
      <c r="A2016" s="28" t="s">
        <v>190</v>
      </c>
      <c r="B2016" s="28" t="s">
        <v>465</v>
      </c>
      <c r="C2016" s="1">
        <v>1862</v>
      </c>
      <c r="D2016" s="1" t="s">
        <v>2919</v>
      </c>
      <c r="E2016" s="1">
        <v>999</v>
      </c>
      <c r="F2016" s="28">
        <v>82</v>
      </c>
      <c r="G2016" s="1">
        <v>3</v>
      </c>
      <c r="H2016" s="1">
        <v>107</v>
      </c>
      <c r="I2016" s="1">
        <v>167</v>
      </c>
      <c r="J2016" t="str">
        <f t="shared" si="31"/>
        <v>http://www.badatelna.eu/reprodukce/?fondId=241&amp;zaznamId=1133739&amp;reproId=3885811</v>
      </c>
      <c r="K2016">
        <f>IF(LEN(TRIM(E2016))=0,"",VLOOKUP(E2016,Sheet2!$B$1:$E$19,2,FALSE))</f>
        <v>241</v>
      </c>
      <c r="L2016">
        <f>IF(LEN(TRIM(E2016))=0,"",VLOOKUP(E2016,Sheet2!$B$1:$E$19,3,FALSE))</f>
        <v>1133739</v>
      </c>
      <c r="M2016">
        <f>IF(LEN(TRIM(E2016))=0,"",VLOOKUP(E2016,Sheet2!$B$1:$E$19,4,FALSE))+(F2016-1)</f>
        <v>3885811</v>
      </c>
      <c r="N2016"/>
      <c r="O2016"/>
      <c r="P2016"/>
      <c r="Q2016"/>
    </row>
    <row r="2017" spans="1:17" s="1" customFormat="1" ht="15" customHeight="1" x14ac:dyDescent="0.25">
      <c r="A2017" s="27" t="s">
        <v>190</v>
      </c>
      <c r="B2017" s="27" t="s">
        <v>465</v>
      </c>
      <c r="C2017" s="5" t="s">
        <v>1339</v>
      </c>
      <c r="D2017" s="3" t="s">
        <v>454</v>
      </c>
      <c r="E2017" s="3">
        <v>2170</v>
      </c>
      <c r="F2017" s="28">
        <v>6</v>
      </c>
      <c r="G2017" s="10">
        <v>2</v>
      </c>
      <c r="H2017" s="3">
        <v>69</v>
      </c>
      <c r="I2017" s="3">
        <v>65</v>
      </c>
      <c r="J2017" t="str">
        <f t="shared" si="31"/>
        <v>http://www.badatelna.eu/reprodukce/?fondId=1073&amp;zaznamId=1108956&amp;reproId=3779598</v>
      </c>
      <c r="K2017">
        <f>IF(LEN(TRIM(E2017))=0,"",VLOOKUP(E2017,Sheet2!$B$1:$E$19,2,FALSE))</f>
        <v>1073</v>
      </c>
      <c r="L2017">
        <f>IF(LEN(TRIM(E2017))=0,"",VLOOKUP(E2017,Sheet2!$B$1:$E$19,3,FALSE))</f>
        <v>1108956</v>
      </c>
      <c r="M2017">
        <f>IF(LEN(TRIM(E2017))=0,"",VLOOKUP(E2017,Sheet2!$B$1:$E$19,4,FALSE))+(F2017-1)</f>
        <v>3779598</v>
      </c>
      <c r="N2017"/>
      <c r="O2017"/>
      <c r="P2017"/>
      <c r="Q2017"/>
    </row>
    <row r="2018" spans="1:17" s="1" customFormat="1" ht="15" customHeight="1" x14ac:dyDescent="0.25">
      <c r="A2018" s="28" t="s">
        <v>190</v>
      </c>
      <c r="B2018" s="28" t="s">
        <v>420</v>
      </c>
      <c r="C2018" s="6" t="s">
        <v>1624</v>
      </c>
      <c r="D2018" s="1" t="s">
        <v>454</v>
      </c>
      <c r="E2018" s="1">
        <v>2172</v>
      </c>
      <c r="F2018" s="28">
        <v>87</v>
      </c>
      <c r="G2018" s="9">
        <v>86</v>
      </c>
      <c r="H2018" s="1">
        <v>90</v>
      </c>
      <c r="I2018" s="1">
        <v>89</v>
      </c>
      <c r="J2018" t="str">
        <f t="shared" si="31"/>
        <v>http://www.badatelna.eu/reprodukce/?fondId=1073&amp;zaznamId=1108958&amp;reproId=3779828</v>
      </c>
      <c r="K2018">
        <f>IF(LEN(TRIM(E2018))=0,"",VLOOKUP(E2018,Sheet2!$B$1:$E$19,2,FALSE))</f>
        <v>1073</v>
      </c>
      <c r="L2018">
        <f>IF(LEN(TRIM(E2018))=0,"",VLOOKUP(E2018,Sheet2!$B$1:$E$19,3,FALSE))</f>
        <v>1108958</v>
      </c>
      <c r="M2018">
        <f>IF(LEN(TRIM(E2018))=0,"",VLOOKUP(E2018,Sheet2!$B$1:$E$19,4,FALSE))+(F2018-1)</f>
        <v>3779828</v>
      </c>
      <c r="N2018"/>
      <c r="O2018"/>
      <c r="P2018"/>
      <c r="Q2018"/>
    </row>
    <row r="2019" spans="1:17" s="1" customFormat="1" ht="15" customHeight="1" x14ac:dyDescent="0.25">
      <c r="A2019" s="27" t="s">
        <v>190</v>
      </c>
      <c r="B2019" s="27" t="s">
        <v>594</v>
      </c>
      <c r="C2019" s="5" t="s">
        <v>1332</v>
      </c>
      <c r="D2019" s="3" t="s">
        <v>454</v>
      </c>
      <c r="E2019" s="3">
        <v>2170</v>
      </c>
      <c r="F2019" s="28">
        <v>30</v>
      </c>
      <c r="G2019" s="10">
        <v>26</v>
      </c>
      <c r="H2019" s="3">
        <v>69</v>
      </c>
      <c r="I2019" s="3">
        <v>65</v>
      </c>
      <c r="J2019" t="str">
        <f t="shared" si="31"/>
        <v>http://www.badatelna.eu/reprodukce/?fondId=1073&amp;zaznamId=1108956&amp;reproId=3779622</v>
      </c>
      <c r="K2019">
        <f>IF(LEN(TRIM(E2019))=0,"",VLOOKUP(E2019,Sheet2!$B$1:$E$19,2,FALSE))</f>
        <v>1073</v>
      </c>
      <c r="L2019">
        <f>IF(LEN(TRIM(E2019))=0,"",VLOOKUP(E2019,Sheet2!$B$1:$E$19,3,FALSE))</f>
        <v>1108956</v>
      </c>
      <c r="M2019">
        <f>IF(LEN(TRIM(E2019))=0,"",VLOOKUP(E2019,Sheet2!$B$1:$E$19,4,FALSE))+(F2019-1)</f>
        <v>3779622</v>
      </c>
    </row>
    <row r="2020" spans="1:17" s="1" customFormat="1" ht="15" customHeight="1" x14ac:dyDescent="0.25">
      <c r="A2020" s="28" t="s">
        <v>190</v>
      </c>
      <c r="B2020" s="28" t="s">
        <v>155</v>
      </c>
      <c r="C2020" s="1">
        <v>1891</v>
      </c>
      <c r="D2020" s="1" t="s">
        <v>454</v>
      </c>
      <c r="E2020" s="1">
        <v>2172</v>
      </c>
      <c r="F2020" s="28">
        <v>82</v>
      </c>
      <c r="G2020" s="9">
        <v>81</v>
      </c>
      <c r="H2020" s="1">
        <v>83</v>
      </c>
      <c r="I2020" s="1">
        <v>82</v>
      </c>
      <c r="J2020" t="str">
        <f t="shared" si="31"/>
        <v>http://www.badatelna.eu/reprodukce/?fondId=1073&amp;zaznamId=1108958&amp;reproId=3779823</v>
      </c>
      <c r="K2020">
        <f>IF(LEN(TRIM(E2020))=0,"",VLOOKUP(E2020,Sheet2!$B$1:$E$19,2,FALSE))</f>
        <v>1073</v>
      </c>
      <c r="L2020">
        <f>IF(LEN(TRIM(E2020))=0,"",VLOOKUP(E2020,Sheet2!$B$1:$E$19,3,FALSE))</f>
        <v>1108958</v>
      </c>
      <c r="M2020">
        <f>IF(LEN(TRIM(E2020))=0,"",VLOOKUP(E2020,Sheet2!$B$1:$E$19,4,FALSE))+(F2020-1)</f>
        <v>3779823</v>
      </c>
    </row>
    <row r="2021" spans="1:17" s="1" customFormat="1" ht="15" customHeight="1" x14ac:dyDescent="0.25">
      <c r="A2021" s="27" t="s">
        <v>190</v>
      </c>
      <c r="B2021" s="27" t="s">
        <v>498</v>
      </c>
      <c r="C2021" s="5" t="s">
        <v>1338</v>
      </c>
      <c r="D2021" s="3" t="s">
        <v>454</v>
      </c>
      <c r="E2021" s="3">
        <v>2170</v>
      </c>
      <c r="F2021" s="28">
        <v>49</v>
      </c>
      <c r="G2021" s="10">
        <v>45</v>
      </c>
      <c r="H2021" s="3">
        <v>69</v>
      </c>
      <c r="I2021" s="3">
        <v>65</v>
      </c>
      <c r="J2021" t="str">
        <f t="shared" si="31"/>
        <v>http://www.badatelna.eu/reprodukce/?fondId=1073&amp;zaznamId=1108956&amp;reproId=3779641</v>
      </c>
      <c r="K2021">
        <f>IF(LEN(TRIM(E2021))=0,"",VLOOKUP(E2021,Sheet2!$B$1:$E$19,2,FALSE))</f>
        <v>1073</v>
      </c>
      <c r="L2021">
        <f>IF(LEN(TRIM(E2021))=0,"",VLOOKUP(E2021,Sheet2!$B$1:$E$19,3,FALSE))</f>
        <v>1108956</v>
      </c>
      <c r="M2021">
        <f>IF(LEN(TRIM(E2021))=0,"",VLOOKUP(E2021,Sheet2!$B$1:$E$19,4,FALSE))+(F2021-1)</f>
        <v>3779641</v>
      </c>
    </row>
    <row r="2022" spans="1:17" s="1" customFormat="1" ht="15" customHeight="1" x14ac:dyDescent="0.25">
      <c r="A2022" s="27" t="s">
        <v>190</v>
      </c>
      <c r="B2022" s="27" t="s">
        <v>551</v>
      </c>
      <c r="C2022" s="5" t="s">
        <v>1335</v>
      </c>
      <c r="D2022" s="3" t="s">
        <v>454</v>
      </c>
      <c r="E2022" s="3">
        <v>2170</v>
      </c>
      <c r="F2022" s="28">
        <v>44</v>
      </c>
      <c r="G2022" s="10">
        <v>40</v>
      </c>
      <c r="H2022" s="3">
        <v>69</v>
      </c>
      <c r="I2022" s="3">
        <v>65</v>
      </c>
      <c r="J2022" t="str">
        <f t="shared" si="31"/>
        <v>http://www.badatelna.eu/reprodukce/?fondId=1073&amp;zaznamId=1108956&amp;reproId=3779636</v>
      </c>
      <c r="K2022">
        <f>IF(LEN(TRIM(E2022))=0,"",VLOOKUP(E2022,Sheet2!$B$1:$E$19,2,FALSE))</f>
        <v>1073</v>
      </c>
      <c r="L2022">
        <f>IF(LEN(TRIM(E2022))=0,"",VLOOKUP(E2022,Sheet2!$B$1:$E$19,3,FALSE))</f>
        <v>1108956</v>
      </c>
      <c r="M2022">
        <f>IF(LEN(TRIM(E2022))=0,"",VLOOKUP(E2022,Sheet2!$B$1:$E$19,4,FALSE))+(F2022-1)</f>
        <v>3779636</v>
      </c>
      <c r="N2022"/>
      <c r="O2022"/>
      <c r="P2022"/>
      <c r="Q2022"/>
    </row>
    <row r="2023" spans="1:17" s="1" customFormat="1" ht="15" customHeight="1" x14ac:dyDescent="0.25">
      <c r="A2023" s="28" t="s">
        <v>190</v>
      </c>
      <c r="B2023" s="28" t="s">
        <v>179</v>
      </c>
      <c r="C2023" s="1">
        <v>1886</v>
      </c>
      <c r="D2023" s="1" t="s">
        <v>454</v>
      </c>
      <c r="E2023" s="1">
        <v>2172</v>
      </c>
      <c r="F2023" s="28">
        <v>53</v>
      </c>
      <c r="G2023" s="9">
        <v>54</v>
      </c>
      <c r="H2023" s="1">
        <v>55</v>
      </c>
      <c r="I2023" s="1">
        <v>56</v>
      </c>
      <c r="J2023" t="str">
        <f t="shared" si="31"/>
        <v>http://www.badatelna.eu/reprodukce/?fondId=1073&amp;zaznamId=1108958&amp;reproId=3779794</v>
      </c>
      <c r="K2023">
        <f>IF(LEN(TRIM(E2023))=0,"",VLOOKUP(E2023,Sheet2!$B$1:$E$19,2,FALSE))</f>
        <v>1073</v>
      </c>
      <c r="L2023">
        <f>IF(LEN(TRIM(E2023))=0,"",VLOOKUP(E2023,Sheet2!$B$1:$E$19,3,FALSE))</f>
        <v>1108958</v>
      </c>
      <c r="M2023">
        <f>IF(LEN(TRIM(E2023))=0,"",VLOOKUP(E2023,Sheet2!$B$1:$E$19,4,FALSE))+(F2023-1)</f>
        <v>3779794</v>
      </c>
    </row>
    <row r="2024" spans="1:17" s="1" customFormat="1" ht="15" customHeight="1" x14ac:dyDescent="0.25">
      <c r="A2024" s="27" t="s">
        <v>190</v>
      </c>
      <c r="B2024" s="27" t="s">
        <v>522</v>
      </c>
      <c r="C2024" s="5" t="s">
        <v>1337</v>
      </c>
      <c r="D2024" s="3" t="s">
        <v>454</v>
      </c>
      <c r="E2024" s="3">
        <v>2170</v>
      </c>
      <c r="F2024" s="28">
        <v>47</v>
      </c>
      <c r="G2024" s="10">
        <v>43</v>
      </c>
      <c r="H2024" s="3">
        <v>69</v>
      </c>
      <c r="I2024" s="3">
        <v>65</v>
      </c>
      <c r="J2024" t="str">
        <f t="shared" si="31"/>
        <v>http://www.badatelna.eu/reprodukce/?fondId=1073&amp;zaznamId=1108956&amp;reproId=3779639</v>
      </c>
      <c r="K2024">
        <f>IF(LEN(TRIM(E2024))=0,"",VLOOKUP(E2024,Sheet2!$B$1:$E$19,2,FALSE))</f>
        <v>1073</v>
      </c>
      <c r="L2024">
        <f>IF(LEN(TRIM(E2024))=0,"",VLOOKUP(E2024,Sheet2!$B$1:$E$19,3,FALSE))</f>
        <v>1108956</v>
      </c>
      <c r="M2024">
        <f>IF(LEN(TRIM(E2024))=0,"",VLOOKUP(E2024,Sheet2!$B$1:$E$19,4,FALSE))+(F2024-1)</f>
        <v>3779639</v>
      </c>
    </row>
    <row r="2025" spans="1:17" s="1" customFormat="1" ht="15" customHeight="1" x14ac:dyDescent="0.25">
      <c r="A2025" s="28" t="s">
        <v>190</v>
      </c>
      <c r="B2025" s="28" t="s">
        <v>541</v>
      </c>
      <c r="C2025" s="6" t="s">
        <v>1928</v>
      </c>
      <c r="D2025" s="1" t="s">
        <v>454</v>
      </c>
      <c r="E2025" s="1">
        <v>2172</v>
      </c>
      <c r="F2025" s="28">
        <v>216</v>
      </c>
      <c r="G2025" s="9">
        <v>200</v>
      </c>
      <c r="H2025" s="1" t="s">
        <v>3073</v>
      </c>
      <c r="I2025" s="1" t="s">
        <v>3073</v>
      </c>
      <c r="J2025" t="str">
        <f t="shared" si="31"/>
        <v>http://www.badatelna.eu/reprodukce/?fondId=1073&amp;zaznamId=1108958&amp;reproId=3779957</v>
      </c>
      <c r="K2025">
        <f>IF(LEN(TRIM(E2025))=0,"",VLOOKUP(E2025,Sheet2!$B$1:$E$19,2,FALSE))</f>
        <v>1073</v>
      </c>
      <c r="L2025">
        <f>IF(LEN(TRIM(E2025))=0,"",VLOOKUP(E2025,Sheet2!$B$1:$E$19,3,FALSE))</f>
        <v>1108958</v>
      </c>
      <c r="M2025">
        <f>IF(LEN(TRIM(E2025))=0,"",VLOOKUP(E2025,Sheet2!$B$1:$E$19,4,FALSE))+(F2025-1)</f>
        <v>3779957</v>
      </c>
      <c r="N2025"/>
      <c r="O2025"/>
      <c r="P2025"/>
      <c r="Q2025"/>
    </row>
    <row r="2026" spans="1:17" s="1" customFormat="1" ht="15" customHeight="1" x14ac:dyDescent="0.25">
      <c r="A2026" s="29" t="s">
        <v>190</v>
      </c>
      <c r="B2026" s="28" t="s">
        <v>19</v>
      </c>
      <c r="C2026" s="6" t="s">
        <v>2600</v>
      </c>
      <c r="D2026" s="1" t="s">
        <v>454</v>
      </c>
      <c r="E2026" s="1">
        <v>2173</v>
      </c>
      <c r="F2026" s="28">
        <v>217</v>
      </c>
      <c r="G2026" s="9">
        <v>43</v>
      </c>
      <c r="H2026" s="1" t="s">
        <v>3073</v>
      </c>
      <c r="I2026" s="1" t="s">
        <v>3073</v>
      </c>
      <c r="J2026" t="str">
        <f t="shared" si="31"/>
        <v>http://www.badatelna.eu/reprodukce/?fondId=1073&amp;zaznamId=1108959&amp;reproId=3780210</v>
      </c>
      <c r="K2026">
        <f>IF(LEN(TRIM(E2026))=0,"",VLOOKUP(E2026,Sheet2!$B$1:$E$19,2,FALSE))</f>
        <v>1073</v>
      </c>
      <c r="L2026">
        <f>IF(LEN(TRIM(E2026))=0,"",VLOOKUP(E2026,Sheet2!$B$1:$E$19,3,FALSE))</f>
        <v>1108959</v>
      </c>
      <c r="M2026">
        <f>IF(LEN(TRIM(E2026))=0,"",VLOOKUP(E2026,Sheet2!$B$1:$E$19,4,FALSE))+(F2026-1)</f>
        <v>3780210</v>
      </c>
    </row>
    <row r="2027" spans="1:17" s="1" customFormat="1" ht="15" customHeight="1" x14ac:dyDescent="0.25">
      <c r="A2027" s="28" t="s">
        <v>190</v>
      </c>
      <c r="B2027" s="28" t="s">
        <v>25</v>
      </c>
      <c r="C2027" s="1">
        <v>1849</v>
      </c>
      <c r="D2027" s="1" t="s">
        <v>2919</v>
      </c>
      <c r="E2027" s="1">
        <v>998</v>
      </c>
      <c r="F2027" s="28">
        <v>26</v>
      </c>
      <c r="G2027" s="1">
        <v>24</v>
      </c>
      <c r="H2027" s="1">
        <v>77</v>
      </c>
      <c r="I2027" s="1">
        <v>75</v>
      </c>
      <c r="J2027" t="str">
        <f t="shared" si="31"/>
        <v>http://www.badatelna.eu/reprodukce/?fondId=241&amp;zaznamId=1133738&amp;reproId=3885672</v>
      </c>
      <c r="K2027">
        <f>IF(LEN(TRIM(E2027))=0,"",VLOOKUP(E2027,Sheet2!$B$1:$E$19,2,FALSE))</f>
        <v>241</v>
      </c>
      <c r="L2027">
        <f>IF(LEN(TRIM(E2027))=0,"",VLOOKUP(E2027,Sheet2!$B$1:$E$19,3,FALSE))</f>
        <v>1133738</v>
      </c>
      <c r="M2027">
        <f>IF(LEN(TRIM(E2027))=0,"",VLOOKUP(E2027,Sheet2!$B$1:$E$19,4,FALSE))+(F2027-1)</f>
        <v>3885672</v>
      </c>
    </row>
    <row r="2028" spans="1:17" s="1" customFormat="1" ht="15" customHeight="1" x14ac:dyDescent="0.25">
      <c r="A2028" s="28" t="s">
        <v>190</v>
      </c>
      <c r="B2028" s="28" t="s">
        <v>10</v>
      </c>
      <c r="C2028" s="1">
        <v>1863</v>
      </c>
      <c r="D2028" s="1" t="s">
        <v>2919</v>
      </c>
      <c r="E2028" s="1">
        <v>999</v>
      </c>
      <c r="F2028" s="28">
        <v>84</v>
      </c>
      <c r="G2028" s="1">
        <v>5</v>
      </c>
      <c r="H2028" s="1">
        <v>107</v>
      </c>
      <c r="I2028" s="1">
        <v>167</v>
      </c>
      <c r="J2028" t="str">
        <f t="shared" si="31"/>
        <v>http://www.badatelna.eu/reprodukce/?fondId=241&amp;zaznamId=1133739&amp;reproId=3885813</v>
      </c>
      <c r="K2028">
        <f>IF(LEN(TRIM(E2028))=0,"",VLOOKUP(E2028,Sheet2!$B$1:$E$19,2,FALSE))</f>
        <v>241</v>
      </c>
      <c r="L2028">
        <f>IF(LEN(TRIM(E2028))=0,"",VLOOKUP(E2028,Sheet2!$B$1:$E$19,3,FALSE))</f>
        <v>1133739</v>
      </c>
      <c r="M2028">
        <f>IF(LEN(TRIM(E2028))=0,"",VLOOKUP(E2028,Sheet2!$B$1:$E$19,4,FALSE))+(F2028-1)</f>
        <v>3885813</v>
      </c>
    </row>
    <row r="2029" spans="1:17" s="1" customFormat="1" ht="15" customHeight="1" x14ac:dyDescent="0.25">
      <c r="A2029" s="28" t="s">
        <v>190</v>
      </c>
      <c r="B2029" s="28" t="s">
        <v>10</v>
      </c>
      <c r="C2029" s="6" t="s">
        <v>2433</v>
      </c>
      <c r="D2029" s="1" t="s">
        <v>454</v>
      </c>
      <c r="E2029" s="1">
        <v>2173</v>
      </c>
      <c r="F2029" s="28">
        <v>203</v>
      </c>
      <c r="G2029" s="1">
        <v>16</v>
      </c>
      <c r="H2029" s="1" t="s">
        <v>3073</v>
      </c>
      <c r="I2029" s="1" t="s">
        <v>3073</v>
      </c>
      <c r="J2029" t="str">
        <f t="shared" si="31"/>
        <v>http://www.badatelna.eu/reprodukce/?fondId=1073&amp;zaznamId=1108959&amp;reproId=3780196</v>
      </c>
      <c r="K2029">
        <f>IF(LEN(TRIM(E2029))=0,"",VLOOKUP(E2029,Sheet2!$B$1:$E$19,2,FALSE))</f>
        <v>1073</v>
      </c>
      <c r="L2029">
        <f>IF(LEN(TRIM(E2029))=0,"",VLOOKUP(E2029,Sheet2!$B$1:$E$19,3,FALSE))</f>
        <v>1108959</v>
      </c>
      <c r="M2029">
        <f>IF(LEN(TRIM(E2029))=0,"",VLOOKUP(E2029,Sheet2!$B$1:$E$19,4,FALSE))+(F2029-1)</f>
        <v>3780196</v>
      </c>
    </row>
    <row r="2030" spans="1:17" s="1" customFormat="1" ht="15" customHeight="1" x14ac:dyDescent="0.25">
      <c r="A2030" s="27" t="s">
        <v>190</v>
      </c>
      <c r="B2030" s="27" t="s">
        <v>10</v>
      </c>
      <c r="C2030" s="5" t="s">
        <v>1336</v>
      </c>
      <c r="D2030" s="3" t="s">
        <v>454</v>
      </c>
      <c r="E2030" s="3">
        <v>2170</v>
      </c>
      <c r="F2030" s="28">
        <v>9</v>
      </c>
      <c r="G2030" s="10">
        <v>5</v>
      </c>
      <c r="H2030" s="3">
        <v>69</v>
      </c>
      <c r="I2030" s="3">
        <v>65</v>
      </c>
      <c r="J2030" t="str">
        <f t="shared" si="31"/>
        <v>http://www.badatelna.eu/reprodukce/?fondId=1073&amp;zaznamId=1108956&amp;reproId=3779601</v>
      </c>
      <c r="K2030">
        <f>IF(LEN(TRIM(E2030))=0,"",VLOOKUP(E2030,Sheet2!$B$1:$E$19,2,FALSE))</f>
        <v>1073</v>
      </c>
      <c r="L2030">
        <f>IF(LEN(TRIM(E2030))=0,"",VLOOKUP(E2030,Sheet2!$B$1:$E$19,3,FALSE))</f>
        <v>1108956</v>
      </c>
      <c r="M2030">
        <f>IF(LEN(TRIM(E2030))=0,"",VLOOKUP(E2030,Sheet2!$B$1:$E$19,4,FALSE))+(F2030-1)</f>
        <v>3779601</v>
      </c>
    </row>
    <row r="2031" spans="1:17" s="1" customFormat="1" ht="15" customHeight="1" x14ac:dyDescent="0.25">
      <c r="A2031" s="28" t="s">
        <v>190</v>
      </c>
      <c r="B2031" s="28" t="s">
        <v>490</v>
      </c>
      <c r="C2031" s="6" t="s">
        <v>1872</v>
      </c>
      <c r="D2031" s="1" t="s">
        <v>454</v>
      </c>
      <c r="E2031" s="1">
        <v>2172</v>
      </c>
      <c r="F2031" s="28">
        <v>190</v>
      </c>
      <c r="G2031" s="9">
        <v>180</v>
      </c>
      <c r="H2031" s="1" t="s">
        <v>3073</v>
      </c>
      <c r="I2031" s="1" t="s">
        <v>3073</v>
      </c>
      <c r="J2031" t="str">
        <f t="shared" si="31"/>
        <v>http://www.badatelna.eu/reprodukce/?fondId=1073&amp;zaznamId=1108958&amp;reproId=3779931</v>
      </c>
      <c r="K2031">
        <f>IF(LEN(TRIM(E2031))=0,"",VLOOKUP(E2031,Sheet2!$B$1:$E$19,2,FALSE))</f>
        <v>1073</v>
      </c>
      <c r="L2031">
        <f>IF(LEN(TRIM(E2031))=0,"",VLOOKUP(E2031,Sheet2!$B$1:$E$19,3,FALSE))</f>
        <v>1108958</v>
      </c>
      <c r="M2031">
        <f>IF(LEN(TRIM(E2031))=0,"",VLOOKUP(E2031,Sheet2!$B$1:$E$19,4,FALSE))+(F2031-1)</f>
        <v>3779931</v>
      </c>
    </row>
    <row r="2032" spans="1:17" s="1" customFormat="1" ht="15" customHeight="1" x14ac:dyDescent="0.25">
      <c r="A2032" s="27" t="s">
        <v>190</v>
      </c>
      <c r="B2032" s="30" t="s">
        <v>3100</v>
      </c>
      <c r="C2032" s="5" t="s">
        <v>1333</v>
      </c>
      <c r="D2032" s="3" t="s">
        <v>454</v>
      </c>
      <c r="E2032" s="3">
        <v>2170</v>
      </c>
      <c r="F2032" s="28">
        <v>53</v>
      </c>
      <c r="G2032" s="10">
        <v>49</v>
      </c>
      <c r="H2032" s="3">
        <v>69</v>
      </c>
      <c r="I2032" s="3">
        <v>65</v>
      </c>
      <c r="J2032" t="str">
        <f t="shared" si="31"/>
        <v>http://www.badatelna.eu/reprodukce/?fondId=1073&amp;zaznamId=1108956&amp;reproId=3779645</v>
      </c>
      <c r="K2032">
        <f>IF(LEN(TRIM(E2032))=0,"",VLOOKUP(E2032,Sheet2!$B$1:$E$19,2,FALSE))</f>
        <v>1073</v>
      </c>
      <c r="L2032">
        <f>IF(LEN(TRIM(E2032))=0,"",VLOOKUP(E2032,Sheet2!$B$1:$E$19,3,FALSE))</f>
        <v>1108956</v>
      </c>
      <c r="M2032">
        <f>IF(LEN(TRIM(E2032))=0,"",VLOOKUP(E2032,Sheet2!$B$1:$E$19,4,FALSE))+(F2032-1)</f>
        <v>3779645</v>
      </c>
    </row>
    <row r="2033" spans="1:17" s="1" customFormat="1" ht="15" customHeight="1" x14ac:dyDescent="0.25">
      <c r="A2033" s="28" t="s">
        <v>190</v>
      </c>
      <c r="B2033" s="28" t="s">
        <v>285</v>
      </c>
      <c r="C2033" s="6" t="s">
        <v>2120</v>
      </c>
      <c r="D2033" s="1" t="s">
        <v>454</v>
      </c>
      <c r="E2033" s="1">
        <v>2173</v>
      </c>
      <c r="F2033" s="28">
        <v>181</v>
      </c>
      <c r="G2033" s="9">
        <v>8</v>
      </c>
      <c r="H2033" s="1">
        <v>191</v>
      </c>
      <c r="I2033" s="1">
        <v>425</v>
      </c>
      <c r="J2033" t="str">
        <f t="shared" si="31"/>
        <v>http://www.badatelna.eu/reprodukce/?fondId=1073&amp;zaznamId=1108959&amp;reproId=3780174</v>
      </c>
      <c r="K2033">
        <f>IF(LEN(TRIM(E2033))=0,"",VLOOKUP(E2033,Sheet2!$B$1:$E$19,2,FALSE))</f>
        <v>1073</v>
      </c>
      <c r="L2033">
        <f>IF(LEN(TRIM(E2033))=0,"",VLOOKUP(E2033,Sheet2!$B$1:$E$19,3,FALSE))</f>
        <v>1108959</v>
      </c>
      <c r="M2033">
        <f>IF(LEN(TRIM(E2033))=0,"",VLOOKUP(E2033,Sheet2!$B$1:$E$19,4,FALSE))+(F2033-1)</f>
        <v>3780174</v>
      </c>
    </row>
    <row r="2034" spans="1:17" s="1" customFormat="1" ht="15" customHeight="1" x14ac:dyDescent="0.25">
      <c r="A2034" s="27" t="s">
        <v>190</v>
      </c>
      <c r="B2034" s="27" t="s">
        <v>314</v>
      </c>
      <c r="C2034" s="5" t="s">
        <v>1340</v>
      </c>
      <c r="D2034" s="3" t="s">
        <v>454</v>
      </c>
      <c r="E2034" s="3">
        <v>2170</v>
      </c>
      <c r="F2034" s="28">
        <v>59</v>
      </c>
      <c r="G2034" s="10">
        <v>55</v>
      </c>
      <c r="H2034" s="3">
        <v>69</v>
      </c>
      <c r="I2034" s="3">
        <v>65</v>
      </c>
      <c r="J2034" t="str">
        <f t="shared" si="31"/>
        <v>http://www.badatelna.eu/reprodukce/?fondId=1073&amp;zaznamId=1108956&amp;reproId=3779651</v>
      </c>
      <c r="K2034">
        <f>IF(LEN(TRIM(E2034))=0,"",VLOOKUP(E2034,Sheet2!$B$1:$E$19,2,FALSE))</f>
        <v>1073</v>
      </c>
      <c r="L2034">
        <f>IF(LEN(TRIM(E2034))=0,"",VLOOKUP(E2034,Sheet2!$B$1:$E$19,3,FALSE))</f>
        <v>1108956</v>
      </c>
      <c r="M2034">
        <f>IF(LEN(TRIM(E2034))=0,"",VLOOKUP(E2034,Sheet2!$B$1:$E$19,4,FALSE))+(F2034-1)</f>
        <v>3779651</v>
      </c>
    </row>
    <row r="2035" spans="1:17" s="1" customFormat="1" ht="15" customHeight="1" x14ac:dyDescent="0.25">
      <c r="A2035" s="28" t="s">
        <v>190</v>
      </c>
      <c r="B2035" s="28" t="s">
        <v>306</v>
      </c>
      <c r="C2035" s="15">
        <v>6275</v>
      </c>
      <c r="D2035" s="1" t="s">
        <v>454</v>
      </c>
      <c r="E2035" s="1">
        <v>2172</v>
      </c>
      <c r="F2035" s="28">
        <v>193</v>
      </c>
      <c r="G2035" s="9">
        <v>183</v>
      </c>
      <c r="H2035" s="1" t="s">
        <v>3073</v>
      </c>
      <c r="I2035" s="1" t="s">
        <v>3073</v>
      </c>
      <c r="J2035" t="str">
        <f t="shared" si="31"/>
        <v>http://www.badatelna.eu/reprodukce/?fondId=1073&amp;zaznamId=1108958&amp;reproId=3779934</v>
      </c>
      <c r="K2035">
        <f>IF(LEN(TRIM(E2035))=0,"",VLOOKUP(E2035,Sheet2!$B$1:$E$19,2,FALSE))</f>
        <v>1073</v>
      </c>
      <c r="L2035">
        <f>IF(LEN(TRIM(E2035))=0,"",VLOOKUP(E2035,Sheet2!$B$1:$E$19,3,FALSE))</f>
        <v>1108958</v>
      </c>
      <c r="M2035">
        <f>IF(LEN(TRIM(E2035))=0,"",VLOOKUP(E2035,Sheet2!$B$1:$E$19,4,FALSE))+(F2035-1)</f>
        <v>3779934</v>
      </c>
    </row>
    <row r="2036" spans="1:17" s="1" customFormat="1" ht="15" customHeight="1" x14ac:dyDescent="0.25">
      <c r="A2036" s="27" t="s">
        <v>190</v>
      </c>
      <c r="B2036" s="27" t="s">
        <v>306</v>
      </c>
      <c r="C2036" s="5" t="s">
        <v>1334</v>
      </c>
      <c r="D2036" s="3" t="s">
        <v>454</v>
      </c>
      <c r="E2036" s="3">
        <v>2170</v>
      </c>
      <c r="F2036" s="28">
        <v>43</v>
      </c>
      <c r="G2036" s="10">
        <v>39</v>
      </c>
      <c r="H2036" s="3">
        <v>69</v>
      </c>
      <c r="I2036" s="3">
        <v>65</v>
      </c>
      <c r="J2036" t="str">
        <f t="shared" si="31"/>
        <v>http://www.badatelna.eu/reprodukce/?fondId=1073&amp;zaznamId=1108956&amp;reproId=3779635</v>
      </c>
      <c r="K2036">
        <f>IF(LEN(TRIM(E2036))=0,"",VLOOKUP(E2036,Sheet2!$B$1:$E$19,2,FALSE))</f>
        <v>1073</v>
      </c>
      <c r="L2036">
        <f>IF(LEN(TRIM(E2036))=0,"",VLOOKUP(E2036,Sheet2!$B$1:$E$19,3,FALSE))</f>
        <v>1108956</v>
      </c>
      <c r="M2036">
        <f>IF(LEN(TRIM(E2036))=0,"",VLOOKUP(E2036,Sheet2!$B$1:$E$19,4,FALSE))+(F2036-1)</f>
        <v>3779635</v>
      </c>
    </row>
    <row r="2037" spans="1:17" s="1" customFormat="1" ht="15" customHeight="1" x14ac:dyDescent="0.25">
      <c r="A2037" s="28" t="s">
        <v>190</v>
      </c>
      <c r="B2037" s="28" t="s">
        <v>254</v>
      </c>
      <c r="C2037" s="6" t="s">
        <v>2150</v>
      </c>
      <c r="D2037" s="1" t="s">
        <v>454</v>
      </c>
      <c r="E2037" s="1">
        <v>2173</v>
      </c>
      <c r="F2037" s="28">
        <v>181</v>
      </c>
      <c r="G2037" s="9">
        <v>9</v>
      </c>
      <c r="H2037" s="1">
        <v>191</v>
      </c>
      <c r="I2037" s="1">
        <v>425</v>
      </c>
      <c r="J2037" t="str">
        <f t="shared" si="31"/>
        <v>http://www.badatelna.eu/reprodukce/?fondId=1073&amp;zaznamId=1108959&amp;reproId=3780174</v>
      </c>
      <c r="K2037">
        <f>IF(LEN(TRIM(E2037))=0,"",VLOOKUP(E2037,Sheet2!$B$1:$E$19,2,FALSE))</f>
        <v>1073</v>
      </c>
      <c r="L2037">
        <f>IF(LEN(TRIM(E2037))=0,"",VLOOKUP(E2037,Sheet2!$B$1:$E$19,3,FALSE))</f>
        <v>1108959</v>
      </c>
      <c r="M2037">
        <f>IF(LEN(TRIM(E2037))=0,"",VLOOKUP(E2037,Sheet2!$B$1:$E$19,4,FALSE))+(F2037-1)</f>
        <v>3780174</v>
      </c>
    </row>
    <row r="2038" spans="1:17" s="1" customFormat="1" ht="15" customHeight="1" x14ac:dyDescent="0.25">
      <c r="A2038" s="28" t="s">
        <v>190</v>
      </c>
      <c r="B2038" s="28" t="s">
        <v>1</v>
      </c>
      <c r="C2038" s="1">
        <v>1855</v>
      </c>
      <c r="D2038" s="1" t="s">
        <v>2919</v>
      </c>
      <c r="E2038" s="1">
        <v>998</v>
      </c>
      <c r="F2038" s="28">
        <v>44</v>
      </c>
      <c r="G2038" s="1">
        <v>42</v>
      </c>
      <c r="H2038" s="1">
        <v>77</v>
      </c>
      <c r="I2038" s="1">
        <v>75</v>
      </c>
      <c r="J2038" t="str">
        <f t="shared" si="31"/>
        <v>http://www.badatelna.eu/reprodukce/?fondId=241&amp;zaznamId=1133738&amp;reproId=3885690</v>
      </c>
      <c r="K2038">
        <f>IF(LEN(TRIM(E2038))=0,"",VLOOKUP(E2038,Sheet2!$B$1:$E$19,2,FALSE))</f>
        <v>241</v>
      </c>
      <c r="L2038">
        <f>IF(LEN(TRIM(E2038))=0,"",VLOOKUP(E2038,Sheet2!$B$1:$E$19,3,FALSE))</f>
        <v>1133738</v>
      </c>
      <c r="M2038">
        <f>IF(LEN(TRIM(E2038))=0,"",VLOOKUP(E2038,Sheet2!$B$1:$E$19,4,FALSE))+(F2038-1)</f>
        <v>3885690</v>
      </c>
    </row>
    <row r="2039" spans="1:17" s="1" customFormat="1" ht="15" customHeight="1" x14ac:dyDescent="0.25">
      <c r="A2039" s="28" t="s">
        <v>190</v>
      </c>
      <c r="B2039" s="28" t="s">
        <v>247</v>
      </c>
      <c r="C2039" s="6" t="s">
        <v>1625</v>
      </c>
      <c r="D2039" s="1" t="s">
        <v>454</v>
      </c>
      <c r="E2039" s="1">
        <v>2172</v>
      </c>
      <c r="F2039" s="28">
        <v>88</v>
      </c>
      <c r="G2039" s="9">
        <v>87</v>
      </c>
      <c r="H2039" s="1">
        <v>90</v>
      </c>
      <c r="I2039" s="1">
        <v>89</v>
      </c>
      <c r="J2039" t="str">
        <f t="shared" si="31"/>
        <v>http://www.badatelna.eu/reprodukce/?fondId=1073&amp;zaznamId=1108958&amp;reproId=3779829</v>
      </c>
      <c r="K2039">
        <f>IF(LEN(TRIM(E2039))=0,"",VLOOKUP(E2039,Sheet2!$B$1:$E$19,2,FALSE))</f>
        <v>1073</v>
      </c>
      <c r="L2039">
        <f>IF(LEN(TRIM(E2039))=0,"",VLOOKUP(E2039,Sheet2!$B$1:$E$19,3,FALSE))</f>
        <v>1108958</v>
      </c>
      <c r="M2039">
        <f>IF(LEN(TRIM(E2039))=0,"",VLOOKUP(E2039,Sheet2!$B$1:$E$19,4,FALSE))+(F2039-1)</f>
        <v>3779829</v>
      </c>
    </row>
    <row r="2040" spans="1:17" s="1" customFormat="1" ht="15" customHeight="1" x14ac:dyDescent="0.25">
      <c r="A2040" s="29" t="s">
        <v>2918</v>
      </c>
      <c r="B2040" s="28" t="s">
        <v>1</v>
      </c>
      <c r="C2040" s="6" t="s">
        <v>2730</v>
      </c>
      <c r="D2040" s="1" t="s">
        <v>454</v>
      </c>
      <c r="E2040" s="1">
        <v>2173</v>
      </c>
      <c r="F2040" s="28">
        <v>226</v>
      </c>
      <c r="G2040" s="9">
        <v>58</v>
      </c>
      <c r="H2040" s="1" t="s">
        <v>3073</v>
      </c>
      <c r="I2040" s="1" t="s">
        <v>3073</v>
      </c>
      <c r="J2040" t="str">
        <f t="shared" si="31"/>
        <v>http://www.badatelna.eu/reprodukce/?fondId=1073&amp;zaznamId=1108959&amp;reproId=3780219</v>
      </c>
      <c r="K2040">
        <f>IF(LEN(TRIM(E2040))=0,"",VLOOKUP(E2040,Sheet2!$B$1:$E$19,2,FALSE))</f>
        <v>1073</v>
      </c>
      <c r="L2040">
        <f>IF(LEN(TRIM(E2040))=0,"",VLOOKUP(E2040,Sheet2!$B$1:$E$19,3,FALSE))</f>
        <v>1108959</v>
      </c>
      <c r="M2040">
        <f>IF(LEN(TRIM(E2040))=0,"",VLOOKUP(E2040,Sheet2!$B$1:$E$19,4,FALSE))+(F2040-1)</f>
        <v>3780219</v>
      </c>
    </row>
    <row r="2041" spans="1:17" s="1" customFormat="1" ht="15" customHeight="1" x14ac:dyDescent="0.25">
      <c r="A2041" s="27" t="s">
        <v>595</v>
      </c>
      <c r="B2041" s="27" t="s">
        <v>240</v>
      </c>
      <c r="C2041" s="5" t="s">
        <v>1341</v>
      </c>
      <c r="D2041" s="3" t="s">
        <v>454</v>
      </c>
      <c r="E2041" s="3">
        <v>2170</v>
      </c>
      <c r="F2041" s="28">
        <v>28</v>
      </c>
      <c r="G2041" s="10">
        <v>24</v>
      </c>
      <c r="H2041" s="3">
        <v>69</v>
      </c>
      <c r="I2041" s="3">
        <v>65</v>
      </c>
      <c r="J2041" t="str">
        <f t="shared" si="31"/>
        <v>http://www.badatelna.eu/reprodukce/?fondId=1073&amp;zaznamId=1108956&amp;reproId=3779620</v>
      </c>
      <c r="K2041">
        <f>IF(LEN(TRIM(E2041))=0,"",VLOOKUP(E2041,Sheet2!$B$1:$E$19,2,FALSE))</f>
        <v>1073</v>
      </c>
      <c r="L2041">
        <f>IF(LEN(TRIM(E2041))=0,"",VLOOKUP(E2041,Sheet2!$B$1:$E$19,3,FALSE))</f>
        <v>1108956</v>
      </c>
      <c r="M2041">
        <f>IF(LEN(TRIM(E2041))=0,"",VLOOKUP(E2041,Sheet2!$B$1:$E$19,4,FALSE))+(F2041-1)</f>
        <v>3779620</v>
      </c>
      <c r="N2041"/>
      <c r="O2041"/>
      <c r="P2041"/>
      <c r="Q2041"/>
    </row>
    <row r="2042" spans="1:17" s="1" customFormat="1" ht="15" customHeight="1" x14ac:dyDescent="0.25">
      <c r="A2042" s="28" t="s">
        <v>347</v>
      </c>
      <c r="B2042" s="28" t="s">
        <v>16</v>
      </c>
      <c r="C2042" s="6" t="s">
        <v>2152</v>
      </c>
      <c r="D2042" s="1" t="s">
        <v>454</v>
      </c>
      <c r="E2042" s="1">
        <v>2173</v>
      </c>
      <c r="F2042" s="28">
        <v>180</v>
      </c>
      <c r="G2042" s="9">
        <v>7</v>
      </c>
      <c r="H2042" s="1">
        <v>191</v>
      </c>
      <c r="I2042" s="1">
        <v>425</v>
      </c>
      <c r="J2042" t="str">
        <f t="shared" si="31"/>
        <v>http://www.badatelna.eu/reprodukce/?fondId=1073&amp;zaznamId=1108959&amp;reproId=3780173</v>
      </c>
      <c r="K2042">
        <f>IF(LEN(TRIM(E2042))=0,"",VLOOKUP(E2042,Sheet2!$B$1:$E$19,2,FALSE))</f>
        <v>1073</v>
      </c>
      <c r="L2042">
        <f>IF(LEN(TRIM(E2042))=0,"",VLOOKUP(E2042,Sheet2!$B$1:$E$19,3,FALSE))</f>
        <v>1108959</v>
      </c>
      <c r="M2042">
        <f>IF(LEN(TRIM(E2042))=0,"",VLOOKUP(E2042,Sheet2!$B$1:$E$19,4,FALSE))+(F2042-1)</f>
        <v>3780173</v>
      </c>
    </row>
    <row r="2043" spans="1:17" s="1" customFormat="1" ht="15" customHeight="1" x14ac:dyDescent="0.25">
      <c r="A2043" s="28" t="s">
        <v>347</v>
      </c>
      <c r="B2043" s="28" t="s">
        <v>289</v>
      </c>
      <c r="C2043" s="6" t="s">
        <v>2151</v>
      </c>
      <c r="D2043" s="1" t="s">
        <v>454</v>
      </c>
      <c r="E2043" s="1">
        <v>2173</v>
      </c>
      <c r="F2043" s="37">
        <v>181</v>
      </c>
      <c r="G2043" s="9">
        <v>8</v>
      </c>
      <c r="H2043" s="1">
        <v>191</v>
      </c>
      <c r="I2043" s="1">
        <v>425</v>
      </c>
      <c r="J2043" t="str">
        <f t="shared" si="31"/>
        <v>http://www.badatelna.eu/reprodukce/?fondId=1073&amp;zaznamId=1108959&amp;reproId=3780174</v>
      </c>
      <c r="K2043">
        <f>IF(LEN(TRIM(E2043))=0,"",VLOOKUP(E2043,Sheet2!$B$1:$E$19,2,FALSE))</f>
        <v>1073</v>
      </c>
      <c r="L2043">
        <f>IF(LEN(TRIM(E2043))=0,"",VLOOKUP(E2043,Sheet2!$B$1:$E$19,3,FALSE))</f>
        <v>1108959</v>
      </c>
      <c r="M2043">
        <f>IF(LEN(TRIM(E2043))=0,"",VLOOKUP(E2043,Sheet2!$B$1:$E$19,4,FALSE))+(F2043-1)</f>
        <v>3780174</v>
      </c>
    </row>
    <row r="2044" spans="1:17" s="1" customFormat="1" ht="15" customHeight="1" x14ac:dyDescent="0.25">
      <c r="A2044" s="28" t="s">
        <v>990</v>
      </c>
      <c r="B2044" s="28" t="s">
        <v>16</v>
      </c>
      <c r="C2044" s="6" t="s">
        <v>2152</v>
      </c>
      <c r="D2044" s="1" t="s">
        <v>454</v>
      </c>
      <c r="E2044" s="1">
        <v>2173</v>
      </c>
      <c r="F2044" s="28">
        <v>210</v>
      </c>
      <c r="G2044" s="9" t="s">
        <v>2863</v>
      </c>
      <c r="H2044" s="1" t="s">
        <v>3073</v>
      </c>
      <c r="I2044" s="1" t="s">
        <v>3073</v>
      </c>
      <c r="J2044" t="str">
        <f t="shared" si="31"/>
        <v>http://www.badatelna.eu/reprodukce/?fondId=1073&amp;zaznamId=1108959&amp;reproId=3780203</v>
      </c>
      <c r="K2044">
        <f>IF(LEN(TRIM(E2044))=0,"",VLOOKUP(E2044,Sheet2!$B$1:$E$19,2,FALSE))</f>
        <v>1073</v>
      </c>
      <c r="L2044">
        <f>IF(LEN(TRIM(E2044))=0,"",VLOOKUP(E2044,Sheet2!$B$1:$E$19,3,FALSE))</f>
        <v>1108959</v>
      </c>
      <c r="M2044">
        <f>IF(LEN(TRIM(E2044))=0,"",VLOOKUP(E2044,Sheet2!$B$1:$E$19,4,FALSE))+(F2044-1)</f>
        <v>3780203</v>
      </c>
      <c r="N2044"/>
      <c r="O2044"/>
      <c r="P2044"/>
      <c r="Q2044"/>
    </row>
    <row r="2045" spans="1:17" s="1" customFormat="1" ht="15" customHeight="1" x14ac:dyDescent="0.25">
      <c r="A2045" s="28" t="s">
        <v>990</v>
      </c>
      <c r="B2045" s="28" t="s">
        <v>314</v>
      </c>
      <c r="C2045" s="15">
        <v>2527</v>
      </c>
      <c r="D2045" s="1" t="s">
        <v>454</v>
      </c>
      <c r="E2045" s="1">
        <v>2172</v>
      </c>
      <c r="F2045" s="28">
        <v>166</v>
      </c>
      <c r="G2045" s="9">
        <v>159</v>
      </c>
      <c r="H2045" s="1" t="s">
        <v>3073</v>
      </c>
      <c r="I2045" s="1" t="s">
        <v>3073</v>
      </c>
      <c r="J2045" t="str">
        <f t="shared" si="31"/>
        <v>http://www.badatelna.eu/reprodukce/?fondId=1073&amp;zaznamId=1108958&amp;reproId=3779907</v>
      </c>
      <c r="K2045">
        <f>IF(LEN(TRIM(E2045))=0,"",VLOOKUP(E2045,Sheet2!$B$1:$E$19,2,FALSE))</f>
        <v>1073</v>
      </c>
      <c r="L2045">
        <f>IF(LEN(TRIM(E2045))=0,"",VLOOKUP(E2045,Sheet2!$B$1:$E$19,3,FALSE))</f>
        <v>1108958</v>
      </c>
      <c r="M2045">
        <f>IF(LEN(TRIM(E2045))=0,"",VLOOKUP(E2045,Sheet2!$B$1:$E$19,4,FALSE))+(F2045-1)</f>
        <v>3779907</v>
      </c>
      <c r="N2045"/>
      <c r="O2045"/>
      <c r="P2045"/>
      <c r="Q2045"/>
    </row>
    <row r="2046" spans="1:17" s="1" customFormat="1" ht="15" customHeight="1" x14ac:dyDescent="0.25">
      <c r="A2046" s="28" t="s">
        <v>991</v>
      </c>
      <c r="B2046" s="28" t="s">
        <v>589</v>
      </c>
      <c r="C2046" s="6" t="s">
        <v>1797</v>
      </c>
      <c r="D2046" s="1" t="s">
        <v>454</v>
      </c>
      <c r="E2046" s="1">
        <v>2172</v>
      </c>
      <c r="F2046" s="28">
        <v>157</v>
      </c>
      <c r="G2046" s="9">
        <v>151</v>
      </c>
      <c r="H2046" s="1">
        <v>160</v>
      </c>
      <c r="I2046" s="1">
        <v>154</v>
      </c>
      <c r="J2046" t="str">
        <f t="shared" si="31"/>
        <v>http://www.badatelna.eu/reprodukce/?fondId=1073&amp;zaznamId=1108958&amp;reproId=3779898</v>
      </c>
      <c r="K2046">
        <f>IF(LEN(TRIM(E2046))=0,"",VLOOKUP(E2046,Sheet2!$B$1:$E$19,2,FALSE))</f>
        <v>1073</v>
      </c>
      <c r="L2046">
        <f>IF(LEN(TRIM(E2046))=0,"",VLOOKUP(E2046,Sheet2!$B$1:$E$19,3,FALSE))</f>
        <v>1108958</v>
      </c>
      <c r="M2046">
        <f>IF(LEN(TRIM(E2046))=0,"",VLOOKUP(E2046,Sheet2!$B$1:$E$19,4,FALSE))+(F2046-1)</f>
        <v>3779898</v>
      </c>
      <c r="N2046"/>
      <c r="O2046"/>
      <c r="P2046"/>
      <c r="Q2046"/>
    </row>
    <row r="2047" spans="1:17" s="1" customFormat="1" ht="15" customHeight="1" x14ac:dyDescent="0.25">
      <c r="A2047" s="29" t="s">
        <v>991</v>
      </c>
      <c r="B2047" s="28" t="s">
        <v>25</v>
      </c>
      <c r="C2047" s="6" t="s">
        <v>1798</v>
      </c>
      <c r="D2047" s="1" t="s">
        <v>454</v>
      </c>
      <c r="E2047" s="1">
        <v>2172</v>
      </c>
      <c r="F2047" s="28">
        <v>158</v>
      </c>
      <c r="G2047" s="9">
        <v>152</v>
      </c>
      <c r="H2047" s="1">
        <v>160</v>
      </c>
      <c r="I2047" s="1">
        <v>154</v>
      </c>
      <c r="J2047" t="str">
        <f t="shared" si="31"/>
        <v>http://www.badatelna.eu/reprodukce/?fondId=1073&amp;zaznamId=1108958&amp;reproId=3779899</v>
      </c>
      <c r="K2047">
        <f>IF(LEN(TRIM(E2047))=0,"",VLOOKUP(E2047,Sheet2!$B$1:$E$19,2,FALSE))</f>
        <v>1073</v>
      </c>
      <c r="L2047">
        <f>IF(LEN(TRIM(E2047))=0,"",VLOOKUP(E2047,Sheet2!$B$1:$E$19,3,FALSE))</f>
        <v>1108958</v>
      </c>
      <c r="M2047">
        <f>IF(LEN(TRIM(E2047))=0,"",VLOOKUP(E2047,Sheet2!$B$1:$E$19,4,FALSE))+(F2047-1)</f>
        <v>3779899</v>
      </c>
      <c r="N2047"/>
      <c r="O2047"/>
      <c r="P2047"/>
      <c r="Q2047"/>
    </row>
    <row r="2048" spans="1:17" s="1" customFormat="1" ht="15" customHeight="1" x14ac:dyDescent="0.25">
      <c r="A2048" s="28" t="s">
        <v>992</v>
      </c>
      <c r="B2048" s="28" t="s">
        <v>290</v>
      </c>
      <c r="C2048" s="1">
        <v>1889</v>
      </c>
      <c r="D2048" s="1" t="s">
        <v>454</v>
      </c>
      <c r="E2048" s="1">
        <v>2172</v>
      </c>
      <c r="F2048" s="28">
        <v>68</v>
      </c>
      <c r="G2048" s="9" t="s">
        <v>3083</v>
      </c>
      <c r="H2048" s="1">
        <v>71</v>
      </c>
      <c r="I2048" s="1">
        <v>70</v>
      </c>
      <c r="J2048" t="str">
        <f t="shared" si="31"/>
        <v>http://www.badatelna.eu/reprodukce/?fondId=1073&amp;zaznamId=1108958&amp;reproId=3779809</v>
      </c>
      <c r="K2048">
        <f>IF(LEN(TRIM(E2048))=0,"",VLOOKUP(E2048,Sheet2!$B$1:$E$19,2,FALSE))</f>
        <v>1073</v>
      </c>
      <c r="L2048">
        <f>IF(LEN(TRIM(E2048))=0,"",VLOOKUP(E2048,Sheet2!$B$1:$E$19,3,FALSE))</f>
        <v>1108958</v>
      </c>
      <c r="M2048">
        <f>IF(LEN(TRIM(E2048))=0,"",VLOOKUP(E2048,Sheet2!$B$1:$E$19,4,FALSE))+(F2048-1)</f>
        <v>3779809</v>
      </c>
      <c r="N2048"/>
      <c r="O2048"/>
      <c r="P2048"/>
      <c r="Q2048"/>
    </row>
    <row r="2049" spans="1:17" s="1" customFormat="1" ht="15" customHeight="1" x14ac:dyDescent="0.25">
      <c r="A2049" s="28" t="s">
        <v>345</v>
      </c>
      <c r="B2049" s="28" t="s">
        <v>346</v>
      </c>
      <c r="C2049" s="6" t="s">
        <v>2153</v>
      </c>
      <c r="D2049" s="1" t="s">
        <v>454</v>
      </c>
      <c r="E2049" s="1">
        <v>2173</v>
      </c>
      <c r="F2049" s="28">
        <v>178</v>
      </c>
      <c r="G2049" s="9">
        <v>3</v>
      </c>
      <c r="H2049" s="1">
        <v>191</v>
      </c>
      <c r="I2049" s="1">
        <v>425</v>
      </c>
      <c r="J2049" t="str">
        <f t="shared" si="31"/>
        <v>http://www.badatelna.eu/reprodukce/?fondId=1073&amp;zaznamId=1108959&amp;reproId=3780171</v>
      </c>
      <c r="K2049">
        <f>IF(LEN(TRIM(E2049))=0,"",VLOOKUP(E2049,Sheet2!$B$1:$E$19,2,FALSE))</f>
        <v>1073</v>
      </c>
      <c r="L2049">
        <f>IF(LEN(TRIM(E2049))=0,"",VLOOKUP(E2049,Sheet2!$B$1:$E$19,3,FALSE))</f>
        <v>1108959</v>
      </c>
      <c r="M2049">
        <f>IF(LEN(TRIM(E2049))=0,"",VLOOKUP(E2049,Sheet2!$B$1:$E$19,4,FALSE))+(F2049-1)</f>
        <v>3780171</v>
      </c>
    </row>
    <row r="2050" spans="1:17" s="1" customFormat="1" ht="15" customHeight="1" x14ac:dyDescent="0.25">
      <c r="A2050" s="28" t="s">
        <v>345</v>
      </c>
      <c r="B2050" s="28" t="s">
        <v>471</v>
      </c>
      <c r="C2050" s="15" t="s">
        <v>2754</v>
      </c>
      <c r="D2050" s="1" t="s">
        <v>454</v>
      </c>
      <c r="E2050" s="1">
        <v>2172</v>
      </c>
      <c r="F2050" s="37">
        <v>7</v>
      </c>
      <c r="G2050" s="9">
        <v>4</v>
      </c>
      <c r="H2050" s="1">
        <v>9</v>
      </c>
      <c r="I2050" s="1">
        <v>2</v>
      </c>
      <c r="J2050" t="str">
        <f t="shared" si="31"/>
        <v>http://www.badatelna.eu/reprodukce/?fondId=1073&amp;zaznamId=1108958&amp;reproId=3779748</v>
      </c>
      <c r="K2050">
        <f>IF(LEN(TRIM(E2050))=0,"",VLOOKUP(E2050,Sheet2!$B$1:$E$19,2,FALSE))</f>
        <v>1073</v>
      </c>
      <c r="L2050">
        <f>IF(LEN(TRIM(E2050))=0,"",VLOOKUP(E2050,Sheet2!$B$1:$E$19,3,FALSE))</f>
        <v>1108958</v>
      </c>
      <c r="M2050">
        <f>IF(LEN(TRIM(E2050))=0,"",VLOOKUP(E2050,Sheet2!$B$1:$E$19,4,FALSE))+(F2050-1)</f>
        <v>3779748</v>
      </c>
      <c r="N2050"/>
      <c r="O2050"/>
      <c r="P2050"/>
      <c r="Q2050"/>
    </row>
    <row r="2051" spans="1:17" s="1" customFormat="1" ht="15" customHeight="1" x14ac:dyDescent="0.25">
      <c r="A2051" s="28" t="s">
        <v>345</v>
      </c>
      <c r="B2051" s="28" t="s">
        <v>249</v>
      </c>
      <c r="C2051" s="1">
        <v>1863</v>
      </c>
      <c r="D2051" s="1" t="s">
        <v>2919</v>
      </c>
      <c r="E2051" s="1">
        <v>999</v>
      </c>
      <c r="F2051" s="28">
        <v>84</v>
      </c>
      <c r="G2051" s="1">
        <v>5</v>
      </c>
      <c r="H2051" s="1">
        <v>107</v>
      </c>
      <c r="I2051" s="1">
        <v>167</v>
      </c>
      <c r="J2051" t="str">
        <f t="shared" ref="J2051:J2114" si="32">IF(LEN(TRIM(E2051))=0,"","http://www.badatelna.eu/reprodukce/?fondId="&amp;K2051&amp;"&amp;zaznamId="&amp;L2051&amp;"&amp;reproId="&amp;M2051)</f>
        <v>http://www.badatelna.eu/reprodukce/?fondId=241&amp;zaznamId=1133739&amp;reproId=3885813</v>
      </c>
      <c r="K2051">
        <f>IF(LEN(TRIM(E2051))=0,"",VLOOKUP(E2051,Sheet2!$B$1:$E$19,2,FALSE))</f>
        <v>241</v>
      </c>
      <c r="L2051">
        <f>IF(LEN(TRIM(E2051))=0,"",VLOOKUP(E2051,Sheet2!$B$1:$E$19,3,FALSE))</f>
        <v>1133739</v>
      </c>
      <c r="M2051">
        <f>IF(LEN(TRIM(E2051))=0,"",VLOOKUP(E2051,Sheet2!$B$1:$E$19,4,FALSE))+(F2051-1)</f>
        <v>3885813</v>
      </c>
    </row>
    <row r="2052" spans="1:17" s="1" customFormat="1" ht="15" customHeight="1" x14ac:dyDescent="0.25">
      <c r="A2052" s="28" t="s">
        <v>2837</v>
      </c>
      <c r="B2052" s="28" t="s">
        <v>10</v>
      </c>
      <c r="C2052" s="6" t="s">
        <v>2153</v>
      </c>
      <c r="D2052" s="1" t="s">
        <v>454</v>
      </c>
      <c r="E2052" s="1">
        <v>2173</v>
      </c>
      <c r="F2052" s="28">
        <v>209</v>
      </c>
      <c r="G2052" s="9" t="s">
        <v>2757</v>
      </c>
      <c r="H2052" s="1" t="s">
        <v>3073</v>
      </c>
      <c r="I2052" s="1" t="s">
        <v>3073</v>
      </c>
      <c r="J2052" t="str">
        <f t="shared" si="32"/>
        <v>http://www.badatelna.eu/reprodukce/?fondId=1073&amp;zaznamId=1108959&amp;reproId=3780202</v>
      </c>
      <c r="K2052">
        <f>IF(LEN(TRIM(E2052))=0,"",VLOOKUP(E2052,Sheet2!$B$1:$E$19,2,FALSE))</f>
        <v>1073</v>
      </c>
      <c r="L2052">
        <f>IF(LEN(TRIM(E2052))=0,"",VLOOKUP(E2052,Sheet2!$B$1:$E$19,3,FALSE))</f>
        <v>1108959</v>
      </c>
      <c r="M2052">
        <f>IF(LEN(TRIM(E2052))=0,"",VLOOKUP(E2052,Sheet2!$B$1:$E$19,4,FALSE))+(F2052-1)</f>
        <v>3780202</v>
      </c>
    </row>
    <row r="2053" spans="1:17" s="1" customFormat="1" ht="15" customHeight="1" x14ac:dyDescent="0.25">
      <c r="A2053" s="28" t="s">
        <v>993</v>
      </c>
      <c r="B2053" s="28" t="s">
        <v>994</v>
      </c>
      <c r="C2053" s="6" t="s">
        <v>1910</v>
      </c>
      <c r="D2053" s="1" t="s">
        <v>454</v>
      </c>
      <c r="E2053" s="1">
        <v>2172</v>
      </c>
      <c r="F2053" s="28">
        <v>209</v>
      </c>
      <c r="G2053" s="9">
        <v>193</v>
      </c>
      <c r="H2053" s="1" t="s">
        <v>3073</v>
      </c>
      <c r="I2053" s="1" t="s">
        <v>3073</v>
      </c>
      <c r="J2053" t="str">
        <f t="shared" si="32"/>
        <v>http://www.badatelna.eu/reprodukce/?fondId=1073&amp;zaznamId=1108958&amp;reproId=3779950</v>
      </c>
      <c r="K2053">
        <f>IF(LEN(TRIM(E2053))=0,"",VLOOKUP(E2053,Sheet2!$B$1:$E$19,2,FALSE))</f>
        <v>1073</v>
      </c>
      <c r="L2053">
        <f>IF(LEN(TRIM(E2053))=0,"",VLOOKUP(E2053,Sheet2!$B$1:$E$19,3,FALSE))</f>
        <v>1108958</v>
      </c>
      <c r="M2053">
        <f>IF(LEN(TRIM(E2053))=0,"",VLOOKUP(E2053,Sheet2!$B$1:$E$19,4,FALSE))+(F2053-1)</f>
        <v>3779950</v>
      </c>
    </row>
    <row r="2054" spans="1:17" s="1" customFormat="1" ht="15" customHeight="1" x14ac:dyDescent="0.25">
      <c r="A2054" s="28" t="s">
        <v>995</v>
      </c>
      <c r="B2054" s="28" t="s">
        <v>699</v>
      </c>
      <c r="C2054" s="6" t="s">
        <v>1600</v>
      </c>
      <c r="D2054" s="1" t="s">
        <v>454</v>
      </c>
      <c r="E2054" s="1">
        <v>2172</v>
      </c>
      <c r="F2054" s="28">
        <v>66</v>
      </c>
      <c r="G2054" s="9">
        <v>65</v>
      </c>
      <c r="H2054" s="1" t="s">
        <v>3073</v>
      </c>
      <c r="I2054" s="1" t="s">
        <v>3073</v>
      </c>
      <c r="J2054" t="str">
        <f t="shared" si="32"/>
        <v>http://www.badatelna.eu/reprodukce/?fondId=1073&amp;zaznamId=1108958&amp;reproId=3779807</v>
      </c>
      <c r="K2054">
        <f>IF(LEN(TRIM(E2054))=0,"",VLOOKUP(E2054,Sheet2!$B$1:$E$19,2,FALSE))</f>
        <v>1073</v>
      </c>
      <c r="L2054">
        <f>IF(LEN(TRIM(E2054))=0,"",VLOOKUP(E2054,Sheet2!$B$1:$E$19,3,FALSE))</f>
        <v>1108958</v>
      </c>
      <c r="M2054">
        <f>IF(LEN(TRIM(E2054))=0,"",VLOOKUP(E2054,Sheet2!$B$1:$E$19,4,FALSE))+(F2054-1)</f>
        <v>3779807</v>
      </c>
      <c r="N2054"/>
      <c r="O2054"/>
      <c r="P2054"/>
      <c r="Q2054"/>
    </row>
    <row r="2055" spans="1:17" s="1" customFormat="1" ht="15" customHeight="1" x14ac:dyDescent="0.25">
      <c r="A2055" s="28" t="s">
        <v>995</v>
      </c>
      <c r="B2055" s="28" t="s">
        <v>806</v>
      </c>
      <c r="C2055" s="1">
        <v>1882</v>
      </c>
      <c r="D2055" s="1" t="s">
        <v>454</v>
      </c>
      <c r="E2055" s="1">
        <v>2172</v>
      </c>
      <c r="F2055" s="29">
        <v>28</v>
      </c>
      <c r="G2055" s="9" t="s">
        <v>2757</v>
      </c>
      <c r="H2055" s="1">
        <v>31</v>
      </c>
      <c r="I2055" s="1">
        <v>30</v>
      </c>
      <c r="J2055" t="str">
        <f t="shared" si="32"/>
        <v>http://www.badatelna.eu/reprodukce/?fondId=1073&amp;zaznamId=1108958&amp;reproId=3779769</v>
      </c>
      <c r="K2055">
        <f>IF(LEN(TRIM(E2055))=0,"",VLOOKUP(E2055,Sheet2!$B$1:$E$19,2,FALSE))</f>
        <v>1073</v>
      </c>
      <c r="L2055">
        <f>IF(LEN(TRIM(E2055))=0,"",VLOOKUP(E2055,Sheet2!$B$1:$E$19,3,FALSE))</f>
        <v>1108958</v>
      </c>
      <c r="M2055">
        <f>IF(LEN(TRIM(E2055))=0,"",VLOOKUP(E2055,Sheet2!$B$1:$E$19,4,FALSE))+(F2055-1)</f>
        <v>3779769</v>
      </c>
      <c r="N2055"/>
      <c r="O2055"/>
      <c r="P2055"/>
      <c r="Q2055"/>
    </row>
    <row r="2056" spans="1:17" s="1" customFormat="1" ht="15" customHeight="1" x14ac:dyDescent="0.25">
      <c r="A2056" s="28" t="s">
        <v>342</v>
      </c>
      <c r="B2056" s="28" t="s">
        <v>29</v>
      </c>
      <c r="C2056" s="6" t="s">
        <v>2904</v>
      </c>
      <c r="D2056" s="1" t="s">
        <v>454</v>
      </c>
      <c r="E2056" s="1">
        <v>2173</v>
      </c>
      <c r="F2056" s="28">
        <v>212</v>
      </c>
      <c r="G2056" s="9" t="s">
        <v>2761</v>
      </c>
      <c r="H2056" s="1" t="s">
        <v>3073</v>
      </c>
      <c r="I2056" s="1" t="s">
        <v>3073</v>
      </c>
      <c r="J2056" t="str">
        <f t="shared" si="32"/>
        <v>http://www.badatelna.eu/reprodukce/?fondId=1073&amp;zaznamId=1108959&amp;reproId=3780205</v>
      </c>
      <c r="K2056">
        <f>IF(LEN(TRIM(E2056))=0,"",VLOOKUP(E2056,Sheet2!$B$1:$E$19,2,FALSE))</f>
        <v>1073</v>
      </c>
      <c r="L2056">
        <f>IF(LEN(TRIM(E2056))=0,"",VLOOKUP(E2056,Sheet2!$B$1:$E$19,3,FALSE))</f>
        <v>1108959</v>
      </c>
      <c r="M2056">
        <f>IF(LEN(TRIM(E2056))=0,"",VLOOKUP(E2056,Sheet2!$B$1:$E$19,4,FALSE))+(F2056-1)</f>
        <v>3780205</v>
      </c>
    </row>
    <row r="2057" spans="1:17" s="1" customFormat="1" ht="15" customHeight="1" x14ac:dyDescent="0.25">
      <c r="A2057" s="28" t="s">
        <v>342</v>
      </c>
      <c r="B2057" s="28" t="s">
        <v>351</v>
      </c>
      <c r="C2057" s="6" t="s">
        <v>2154</v>
      </c>
      <c r="D2057" s="1" t="s">
        <v>454</v>
      </c>
      <c r="E2057" s="1">
        <v>2173</v>
      </c>
      <c r="F2057" s="28">
        <v>181</v>
      </c>
      <c r="G2057" s="9">
        <v>9</v>
      </c>
      <c r="H2057" s="1">
        <v>191</v>
      </c>
      <c r="I2057" s="1">
        <v>425</v>
      </c>
      <c r="J2057" t="str">
        <f t="shared" si="32"/>
        <v>http://www.badatelna.eu/reprodukce/?fondId=1073&amp;zaznamId=1108959&amp;reproId=3780174</v>
      </c>
      <c r="K2057">
        <f>IF(LEN(TRIM(E2057))=0,"",VLOOKUP(E2057,Sheet2!$B$1:$E$19,2,FALSE))</f>
        <v>1073</v>
      </c>
      <c r="L2057">
        <f>IF(LEN(TRIM(E2057))=0,"",VLOOKUP(E2057,Sheet2!$B$1:$E$19,3,FALSE))</f>
        <v>1108959</v>
      </c>
      <c r="M2057">
        <f>IF(LEN(TRIM(E2057))=0,"",VLOOKUP(E2057,Sheet2!$B$1:$E$19,4,FALSE))+(F2057-1)</f>
        <v>3780174</v>
      </c>
    </row>
    <row r="2058" spans="1:17" s="1" customFormat="1" ht="15" customHeight="1" x14ac:dyDescent="0.25">
      <c r="A2058" s="28" t="s">
        <v>342</v>
      </c>
      <c r="B2058" s="28" t="s">
        <v>84</v>
      </c>
      <c r="C2058" s="6" t="s">
        <v>1898</v>
      </c>
      <c r="D2058" s="1" t="s">
        <v>454</v>
      </c>
      <c r="E2058" s="1">
        <v>2172</v>
      </c>
      <c r="F2058" s="28">
        <v>201</v>
      </c>
      <c r="G2058" s="9">
        <v>188</v>
      </c>
      <c r="H2058" s="1" t="s">
        <v>3073</v>
      </c>
      <c r="I2058" s="1" t="s">
        <v>3073</v>
      </c>
      <c r="J2058" t="str">
        <f t="shared" si="32"/>
        <v>http://www.badatelna.eu/reprodukce/?fondId=1073&amp;zaznamId=1108958&amp;reproId=3779942</v>
      </c>
      <c r="K2058">
        <f>IF(LEN(TRIM(E2058))=0,"",VLOOKUP(E2058,Sheet2!$B$1:$E$19,2,FALSE))</f>
        <v>1073</v>
      </c>
      <c r="L2058">
        <f>IF(LEN(TRIM(E2058))=0,"",VLOOKUP(E2058,Sheet2!$B$1:$E$19,3,FALSE))</f>
        <v>1108958</v>
      </c>
      <c r="M2058">
        <f>IF(LEN(TRIM(E2058))=0,"",VLOOKUP(E2058,Sheet2!$B$1:$E$19,4,FALSE))+(F2058-1)</f>
        <v>3779942</v>
      </c>
      <c r="N2058"/>
      <c r="O2058"/>
      <c r="P2058"/>
      <c r="Q2058"/>
    </row>
    <row r="2059" spans="1:17" s="1" customFormat="1" ht="15" customHeight="1" x14ac:dyDescent="0.25">
      <c r="A2059" s="28" t="s">
        <v>342</v>
      </c>
      <c r="B2059" s="28" t="s">
        <v>276</v>
      </c>
      <c r="C2059" s="6" t="s">
        <v>2841</v>
      </c>
      <c r="D2059" s="1" t="s">
        <v>454</v>
      </c>
      <c r="E2059" s="1">
        <v>2173</v>
      </c>
      <c r="F2059" s="28">
        <v>209</v>
      </c>
      <c r="G2059" s="9" t="s">
        <v>2757</v>
      </c>
      <c r="H2059" s="1" t="s">
        <v>3073</v>
      </c>
      <c r="I2059" s="1" t="s">
        <v>3073</v>
      </c>
      <c r="J2059" t="str">
        <f t="shared" si="32"/>
        <v>http://www.badatelna.eu/reprodukce/?fondId=1073&amp;zaznamId=1108959&amp;reproId=3780202</v>
      </c>
      <c r="K2059">
        <f>IF(LEN(TRIM(E2059))=0,"",VLOOKUP(E2059,Sheet2!$B$1:$E$19,2,FALSE))</f>
        <v>1073</v>
      </c>
      <c r="L2059">
        <f>IF(LEN(TRIM(E2059))=0,"",VLOOKUP(E2059,Sheet2!$B$1:$E$19,3,FALSE))</f>
        <v>1108959</v>
      </c>
      <c r="M2059">
        <f>IF(LEN(TRIM(E2059))=0,"",VLOOKUP(E2059,Sheet2!$B$1:$E$19,4,FALSE))+(F2059-1)</f>
        <v>3780202</v>
      </c>
    </row>
    <row r="2060" spans="1:17" s="1" customFormat="1" ht="15" customHeight="1" x14ac:dyDescent="0.25">
      <c r="A2060" s="29" t="s">
        <v>342</v>
      </c>
      <c r="B2060" s="28" t="s">
        <v>80</v>
      </c>
      <c r="C2060" s="6" t="s">
        <v>2330</v>
      </c>
      <c r="D2060" s="1" t="s">
        <v>454</v>
      </c>
      <c r="E2060" s="1">
        <v>2173</v>
      </c>
      <c r="F2060" s="31">
        <v>199</v>
      </c>
      <c r="G2060" s="9">
        <v>8</v>
      </c>
      <c r="H2060" s="1" t="s">
        <v>3073</v>
      </c>
      <c r="I2060" s="1" t="s">
        <v>3073</v>
      </c>
      <c r="J2060" t="str">
        <f t="shared" si="32"/>
        <v>http://www.badatelna.eu/reprodukce/?fondId=1073&amp;zaznamId=1108959&amp;reproId=3780192</v>
      </c>
      <c r="K2060">
        <f>IF(LEN(TRIM(E2060))=0,"",VLOOKUP(E2060,Sheet2!$B$1:$E$19,2,FALSE))</f>
        <v>1073</v>
      </c>
      <c r="L2060">
        <f>IF(LEN(TRIM(E2060))=0,"",VLOOKUP(E2060,Sheet2!$B$1:$E$19,3,FALSE))</f>
        <v>1108959</v>
      </c>
      <c r="M2060">
        <f>IF(LEN(TRIM(E2060))=0,"",VLOOKUP(E2060,Sheet2!$B$1:$E$19,4,FALSE))+(F2060-1)</f>
        <v>3780192</v>
      </c>
    </row>
    <row r="2061" spans="1:17" s="1" customFormat="1" ht="15" customHeight="1" x14ac:dyDescent="0.25">
      <c r="A2061" s="28" t="s">
        <v>342</v>
      </c>
      <c r="B2061" s="28" t="s">
        <v>158</v>
      </c>
      <c r="C2061" s="6" t="s">
        <v>3147</v>
      </c>
      <c r="D2061" s="1" t="s">
        <v>454</v>
      </c>
      <c r="E2061" s="1">
        <v>2173</v>
      </c>
      <c r="F2061" s="28">
        <v>181</v>
      </c>
      <c r="G2061" s="9">
        <v>8</v>
      </c>
      <c r="H2061" s="1">
        <v>191</v>
      </c>
      <c r="I2061" s="1">
        <v>425</v>
      </c>
      <c r="J2061" t="str">
        <f t="shared" si="32"/>
        <v>http://www.badatelna.eu/reprodukce/?fondId=1073&amp;zaznamId=1108959&amp;reproId=3780174</v>
      </c>
      <c r="K2061">
        <f>IF(LEN(TRIM(E2061))=0,"",VLOOKUP(E2061,Sheet2!$B$1:$E$19,2,FALSE))</f>
        <v>1073</v>
      </c>
      <c r="L2061">
        <f>IF(LEN(TRIM(E2061))=0,"",VLOOKUP(E2061,Sheet2!$B$1:$E$19,3,FALSE))</f>
        <v>1108959</v>
      </c>
      <c r="M2061">
        <f>IF(LEN(TRIM(E2061))=0,"",VLOOKUP(E2061,Sheet2!$B$1:$E$19,4,FALSE))+(F2061-1)</f>
        <v>3780174</v>
      </c>
      <c r="N2061"/>
      <c r="O2061"/>
      <c r="P2061"/>
      <c r="Q2061"/>
    </row>
    <row r="2062" spans="1:17" s="1" customFormat="1" ht="15" customHeight="1" x14ac:dyDescent="0.25">
      <c r="A2062" s="28" t="s">
        <v>342</v>
      </c>
      <c r="B2062" s="28" t="s">
        <v>424</v>
      </c>
      <c r="C2062" s="1">
        <v>1886</v>
      </c>
      <c r="D2062" s="1" t="s">
        <v>454</v>
      </c>
      <c r="E2062" s="1">
        <v>2172</v>
      </c>
      <c r="F2062" s="28">
        <v>53</v>
      </c>
      <c r="G2062" s="9">
        <v>54</v>
      </c>
      <c r="H2062" s="1">
        <v>55</v>
      </c>
      <c r="I2062" s="1">
        <v>56</v>
      </c>
      <c r="J2062" t="str">
        <f t="shared" si="32"/>
        <v>http://www.badatelna.eu/reprodukce/?fondId=1073&amp;zaznamId=1108958&amp;reproId=3779794</v>
      </c>
      <c r="K2062">
        <f>IF(LEN(TRIM(E2062))=0,"",VLOOKUP(E2062,Sheet2!$B$1:$E$19,2,FALSE))</f>
        <v>1073</v>
      </c>
      <c r="L2062">
        <f>IF(LEN(TRIM(E2062))=0,"",VLOOKUP(E2062,Sheet2!$B$1:$E$19,3,FALSE))</f>
        <v>1108958</v>
      </c>
      <c r="M2062">
        <f>IF(LEN(TRIM(E2062))=0,"",VLOOKUP(E2062,Sheet2!$B$1:$E$19,4,FALSE))+(F2062-1)</f>
        <v>3779794</v>
      </c>
      <c r="N2062"/>
      <c r="O2062"/>
      <c r="P2062"/>
      <c r="Q2062"/>
    </row>
    <row r="2063" spans="1:17" s="1" customFormat="1" ht="15" customHeight="1" x14ac:dyDescent="0.25">
      <c r="A2063" s="28" t="s">
        <v>342</v>
      </c>
      <c r="B2063" s="28" t="s">
        <v>343</v>
      </c>
      <c r="C2063" s="6" t="s">
        <v>2155</v>
      </c>
      <c r="D2063" s="1" t="s">
        <v>454</v>
      </c>
      <c r="E2063" s="1">
        <v>2173</v>
      </c>
      <c r="F2063" s="28">
        <v>177</v>
      </c>
      <c r="G2063" s="9">
        <v>1</v>
      </c>
      <c r="H2063" s="1">
        <v>191</v>
      </c>
      <c r="I2063" s="1">
        <v>425</v>
      </c>
      <c r="J2063" t="str">
        <f t="shared" si="32"/>
        <v>http://www.badatelna.eu/reprodukce/?fondId=1073&amp;zaznamId=1108959&amp;reproId=3780170</v>
      </c>
      <c r="K2063">
        <f>IF(LEN(TRIM(E2063))=0,"",VLOOKUP(E2063,Sheet2!$B$1:$E$19,2,FALSE))</f>
        <v>1073</v>
      </c>
      <c r="L2063">
        <f>IF(LEN(TRIM(E2063))=0,"",VLOOKUP(E2063,Sheet2!$B$1:$E$19,3,FALSE))</f>
        <v>1108959</v>
      </c>
      <c r="M2063">
        <f>IF(LEN(TRIM(E2063))=0,"",VLOOKUP(E2063,Sheet2!$B$1:$E$19,4,FALSE))+(F2063-1)</f>
        <v>3780170</v>
      </c>
    </row>
    <row r="2064" spans="1:17" s="1" customFormat="1" ht="15" customHeight="1" x14ac:dyDescent="0.25">
      <c r="A2064" s="28" t="s">
        <v>996</v>
      </c>
      <c r="B2064" s="28" t="s">
        <v>198</v>
      </c>
      <c r="C2064" s="6">
        <v>1923</v>
      </c>
      <c r="D2064" s="1" t="s">
        <v>454</v>
      </c>
      <c r="E2064" s="1">
        <v>2172</v>
      </c>
      <c r="F2064" s="28">
        <v>163</v>
      </c>
      <c r="G2064" s="9">
        <v>157</v>
      </c>
      <c r="H2064" s="1">
        <v>164</v>
      </c>
      <c r="I2064" s="1">
        <v>158</v>
      </c>
      <c r="J2064" t="str">
        <f t="shared" si="32"/>
        <v>http://www.badatelna.eu/reprodukce/?fondId=1073&amp;zaznamId=1108958&amp;reproId=3779904</v>
      </c>
      <c r="K2064">
        <f>IF(LEN(TRIM(E2064))=0,"",VLOOKUP(E2064,Sheet2!$B$1:$E$19,2,FALSE))</f>
        <v>1073</v>
      </c>
      <c r="L2064">
        <f>IF(LEN(TRIM(E2064))=0,"",VLOOKUP(E2064,Sheet2!$B$1:$E$19,3,FALSE))</f>
        <v>1108958</v>
      </c>
      <c r="M2064">
        <f>IF(LEN(TRIM(E2064))=0,"",VLOOKUP(E2064,Sheet2!$B$1:$E$19,4,FALSE))+(F2064-1)</f>
        <v>3779904</v>
      </c>
      <c r="N2064"/>
      <c r="O2064"/>
      <c r="P2064"/>
      <c r="Q2064"/>
    </row>
    <row r="2065" spans="1:17" s="1" customFormat="1" ht="15" customHeight="1" x14ac:dyDescent="0.25">
      <c r="A2065" s="27" t="s">
        <v>596</v>
      </c>
      <c r="B2065" s="27" t="s">
        <v>597</v>
      </c>
      <c r="C2065" s="5" t="s">
        <v>1342</v>
      </c>
      <c r="D2065" s="3" t="s">
        <v>454</v>
      </c>
      <c r="E2065" s="3">
        <v>2170</v>
      </c>
      <c r="F2065" s="28">
        <v>53</v>
      </c>
      <c r="G2065" s="10">
        <v>49</v>
      </c>
      <c r="H2065" s="3">
        <v>69</v>
      </c>
      <c r="I2065" s="3">
        <v>65</v>
      </c>
      <c r="J2065" t="str">
        <f t="shared" si="32"/>
        <v>http://www.badatelna.eu/reprodukce/?fondId=1073&amp;zaznamId=1108956&amp;reproId=3779645</v>
      </c>
      <c r="K2065">
        <f>IF(LEN(TRIM(E2065))=0,"",VLOOKUP(E2065,Sheet2!$B$1:$E$19,2,FALSE))</f>
        <v>1073</v>
      </c>
      <c r="L2065">
        <f>IF(LEN(TRIM(E2065))=0,"",VLOOKUP(E2065,Sheet2!$B$1:$E$19,3,FALSE))</f>
        <v>1108956</v>
      </c>
      <c r="M2065">
        <f>IF(LEN(TRIM(E2065))=0,"",VLOOKUP(E2065,Sheet2!$B$1:$E$19,4,FALSE))+(F2065-1)</f>
        <v>3779645</v>
      </c>
      <c r="N2065"/>
      <c r="O2065"/>
      <c r="P2065"/>
      <c r="Q2065"/>
    </row>
    <row r="2066" spans="1:17" s="1" customFormat="1" ht="15" customHeight="1" x14ac:dyDescent="0.25">
      <c r="A2066" s="28" t="s">
        <v>997</v>
      </c>
      <c r="B2066" s="28" t="s">
        <v>998</v>
      </c>
      <c r="C2066" s="15">
        <v>6190</v>
      </c>
      <c r="D2066" s="1" t="s">
        <v>454</v>
      </c>
      <c r="E2066" s="1">
        <v>2172</v>
      </c>
      <c r="F2066" s="28">
        <v>189</v>
      </c>
      <c r="G2066" s="9">
        <v>179</v>
      </c>
      <c r="H2066" s="1" t="s">
        <v>3073</v>
      </c>
      <c r="I2066" s="1" t="s">
        <v>3073</v>
      </c>
      <c r="J2066" t="str">
        <f t="shared" si="32"/>
        <v>http://www.badatelna.eu/reprodukce/?fondId=1073&amp;zaznamId=1108958&amp;reproId=3779930</v>
      </c>
      <c r="K2066">
        <f>IF(LEN(TRIM(E2066))=0,"",VLOOKUP(E2066,Sheet2!$B$1:$E$19,2,FALSE))</f>
        <v>1073</v>
      </c>
      <c r="L2066">
        <f>IF(LEN(TRIM(E2066))=0,"",VLOOKUP(E2066,Sheet2!$B$1:$E$19,3,FALSE))</f>
        <v>1108958</v>
      </c>
      <c r="M2066">
        <f>IF(LEN(TRIM(E2066))=0,"",VLOOKUP(E2066,Sheet2!$B$1:$E$19,4,FALSE))+(F2066-1)</f>
        <v>3779930</v>
      </c>
    </row>
    <row r="2067" spans="1:17" s="1" customFormat="1" ht="15" customHeight="1" x14ac:dyDescent="0.25">
      <c r="A2067" s="27" t="s">
        <v>43</v>
      </c>
      <c r="B2067" s="27" t="s">
        <v>538</v>
      </c>
      <c r="C2067" s="5" t="s">
        <v>1344</v>
      </c>
      <c r="D2067" s="3" t="s">
        <v>454</v>
      </c>
      <c r="E2067" s="3">
        <v>2170</v>
      </c>
      <c r="F2067" s="28">
        <v>41</v>
      </c>
      <c r="G2067" s="10">
        <v>37</v>
      </c>
      <c r="H2067" s="3">
        <v>69</v>
      </c>
      <c r="I2067" s="3">
        <v>65</v>
      </c>
      <c r="J2067" t="str">
        <f t="shared" si="32"/>
        <v>http://www.badatelna.eu/reprodukce/?fondId=1073&amp;zaznamId=1108956&amp;reproId=3779633</v>
      </c>
      <c r="K2067">
        <f>IF(LEN(TRIM(E2067))=0,"",VLOOKUP(E2067,Sheet2!$B$1:$E$19,2,FALSE))</f>
        <v>1073</v>
      </c>
      <c r="L2067">
        <f>IF(LEN(TRIM(E2067))=0,"",VLOOKUP(E2067,Sheet2!$B$1:$E$19,3,FALSE))</f>
        <v>1108956</v>
      </c>
      <c r="M2067">
        <f>IF(LEN(TRIM(E2067))=0,"",VLOOKUP(E2067,Sheet2!$B$1:$E$19,4,FALSE))+(F2067-1)</f>
        <v>3779633</v>
      </c>
    </row>
    <row r="2068" spans="1:17" s="1" customFormat="1" ht="15" customHeight="1" x14ac:dyDescent="0.25">
      <c r="A2068" s="28" t="s">
        <v>43</v>
      </c>
      <c r="B2068" s="28" t="s">
        <v>56</v>
      </c>
      <c r="C2068" s="1">
        <v>1849</v>
      </c>
      <c r="D2068" s="1" t="s">
        <v>2919</v>
      </c>
      <c r="E2068" s="1">
        <v>998</v>
      </c>
      <c r="F2068" s="28">
        <v>25</v>
      </c>
      <c r="G2068" s="1">
        <v>23</v>
      </c>
      <c r="H2068" s="1">
        <v>77</v>
      </c>
      <c r="I2068" s="1">
        <v>75</v>
      </c>
      <c r="J2068" t="str">
        <f t="shared" si="32"/>
        <v>http://www.badatelna.eu/reprodukce/?fondId=241&amp;zaznamId=1133738&amp;reproId=3885671</v>
      </c>
      <c r="K2068">
        <f>IF(LEN(TRIM(E2068))=0,"",VLOOKUP(E2068,Sheet2!$B$1:$E$19,2,FALSE))</f>
        <v>241</v>
      </c>
      <c r="L2068">
        <f>IF(LEN(TRIM(E2068))=0,"",VLOOKUP(E2068,Sheet2!$B$1:$E$19,3,FALSE))</f>
        <v>1133738</v>
      </c>
      <c r="M2068">
        <f>IF(LEN(TRIM(E2068))=0,"",VLOOKUP(E2068,Sheet2!$B$1:$E$19,4,FALSE))+(F2068-1)</f>
        <v>3885671</v>
      </c>
      <c r="N2068"/>
      <c r="O2068"/>
      <c r="P2068"/>
      <c r="Q2068"/>
    </row>
    <row r="2069" spans="1:17" s="1" customFormat="1" ht="15" customHeight="1" x14ac:dyDescent="0.25">
      <c r="A2069" s="28" t="s">
        <v>43</v>
      </c>
      <c r="B2069" s="28" t="s">
        <v>19</v>
      </c>
      <c r="C2069" s="6" t="s">
        <v>2458</v>
      </c>
      <c r="D2069" s="1" t="s">
        <v>454</v>
      </c>
      <c r="E2069" s="1">
        <v>2173</v>
      </c>
      <c r="F2069" s="28">
        <v>204</v>
      </c>
      <c r="G2069" s="1">
        <v>18</v>
      </c>
      <c r="H2069" s="1" t="s">
        <v>3073</v>
      </c>
      <c r="I2069" s="1" t="s">
        <v>3073</v>
      </c>
      <c r="J2069" t="str">
        <f t="shared" si="32"/>
        <v>http://www.badatelna.eu/reprodukce/?fondId=1073&amp;zaznamId=1108959&amp;reproId=3780197</v>
      </c>
      <c r="K2069">
        <f>IF(LEN(TRIM(E2069))=0,"",VLOOKUP(E2069,Sheet2!$B$1:$E$19,2,FALSE))</f>
        <v>1073</v>
      </c>
      <c r="L2069">
        <f>IF(LEN(TRIM(E2069))=0,"",VLOOKUP(E2069,Sheet2!$B$1:$E$19,3,FALSE))</f>
        <v>1108959</v>
      </c>
      <c r="M2069">
        <f>IF(LEN(TRIM(E2069))=0,"",VLOOKUP(E2069,Sheet2!$B$1:$E$19,4,FALSE))+(F2069-1)</f>
        <v>3780197</v>
      </c>
    </row>
    <row r="2070" spans="1:17" s="1" customFormat="1" ht="15" customHeight="1" x14ac:dyDescent="0.25">
      <c r="A2070" s="28" t="s">
        <v>43</v>
      </c>
      <c r="B2070" s="29" t="s">
        <v>10</v>
      </c>
      <c r="C2070" s="6" t="s">
        <v>2566</v>
      </c>
      <c r="D2070" s="1" t="s">
        <v>454</v>
      </c>
      <c r="E2070" s="1">
        <v>2173</v>
      </c>
      <c r="F2070" s="28">
        <v>208</v>
      </c>
      <c r="G2070" s="1">
        <v>26</v>
      </c>
      <c r="H2070" s="1" t="s">
        <v>3073</v>
      </c>
      <c r="I2070" s="1" t="s">
        <v>3073</v>
      </c>
      <c r="J2070" t="str">
        <f t="shared" si="32"/>
        <v>http://www.badatelna.eu/reprodukce/?fondId=1073&amp;zaznamId=1108959&amp;reproId=3780201</v>
      </c>
      <c r="K2070">
        <f>IF(LEN(TRIM(E2070))=0,"",VLOOKUP(E2070,Sheet2!$B$1:$E$19,2,FALSE))</f>
        <v>1073</v>
      </c>
      <c r="L2070">
        <f>IF(LEN(TRIM(E2070))=0,"",VLOOKUP(E2070,Sheet2!$B$1:$E$19,3,FALSE))</f>
        <v>1108959</v>
      </c>
      <c r="M2070">
        <f>IF(LEN(TRIM(E2070))=0,"",VLOOKUP(E2070,Sheet2!$B$1:$E$19,4,FALSE))+(F2070-1)</f>
        <v>3780201</v>
      </c>
      <c r="N2070"/>
      <c r="O2070"/>
      <c r="P2070"/>
      <c r="Q2070"/>
    </row>
    <row r="2071" spans="1:17" s="1" customFormat="1" ht="15" customHeight="1" x14ac:dyDescent="0.25">
      <c r="A2071" s="27" t="s">
        <v>43</v>
      </c>
      <c r="B2071" s="27" t="s">
        <v>16</v>
      </c>
      <c r="C2071" s="5" t="s">
        <v>1345</v>
      </c>
      <c r="D2071" s="3" t="s">
        <v>454</v>
      </c>
      <c r="E2071" s="3">
        <v>2170</v>
      </c>
      <c r="F2071" s="28">
        <v>44</v>
      </c>
      <c r="G2071" s="10">
        <v>40</v>
      </c>
      <c r="H2071" s="3">
        <v>69</v>
      </c>
      <c r="I2071" s="3">
        <v>65</v>
      </c>
      <c r="J2071" t="str">
        <f t="shared" si="32"/>
        <v>http://www.badatelna.eu/reprodukce/?fondId=1073&amp;zaznamId=1108956&amp;reproId=3779636</v>
      </c>
      <c r="K2071">
        <f>IF(LEN(TRIM(E2071))=0,"",VLOOKUP(E2071,Sheet2!$B$1:$E$19,2,FALSE))</f>
        <v>1073</v>
      </c>
      <c r="L2071">
        <f>IF(LEN(TRIM(E2071))=0,"",VLOOKUP(E2071,Sheet2!$B$1:$E$19,3,FALSE))</f>
        <v>1108956</v>
      </c>
      <c r="M2071">
        <f>IF(LEN(TRIM(E2071))=0,"",VLOOKUP(E2071,Sheet2!$B$1:$E$19,4,FALSE))+(F2071-1)</f>
        <v>3779636</v>
      </c>
    </row>
    <row r="2072" spans="1:17" s="1" customFormat="1" ht="15" customHeight="1" x14ac:dyDescent="0.25">
      <c r="A2072" s="28" t="s">
        <v>43</v>
      </c>
      <c r="B2072" s="28" t="s">
        <v>263</v>
      </c>
      <c r="C2072" s="1">
        <v>1882</v>
      </c>
      <c r="D2072" s="1" t="s">
        <v>454</v>
      </c>
      <c r="E2072" s="1">
        <v>2172</v>
      </c>
      <c r="F2072" s="29">
        <v>29</v>
      </c>
      <c r="G2072" s="9" t="s">
        <v>2758</v>
      </c>
      <c r="H2072" s="1">
        <v>31</v>
      </c>
      <c r="I2072" s="1">
        <v>30</v>
      </c>
      <c r="J2072" t="str">
        <f t="shared" si="32"/>
        <v>http://www.badatelna.eu/reprodukce/?fondId=1073&amp;zaznamId=1108958&amp;reproId=3779770</v>
      </c>
      <c r="K2072">
        <f>IF(LEN(TRIM(E2072))=0,"",VLOOKUP(E2072,Sheet2!$B$1:$E$19,2,FALSE))</f>
        <v>1073</v>
      </c>
      <c r="L2072">
        <f>IF(LEN(TRIM(E2072))=0,"",VLOOKUP(E2072,Sheet2!$B$1:$E$19,3,FALSE))</f>
        <v>1108958</v>
      </c>
      <c r="M2072">
        <f>IF(LEN(TRIM(E2072))=0,"",VLOOKUP(E2072,Sheet2!$B$1:$E$19,4,FALSE))+(F2072-1)</f>
        <v>3779770</v>
      </c>
    </row>
    <row r="2073" spans="1:17" s="1" customFormat="1" ht="15" customHeight="1" x14ac:dyDescent="0.25">
      <c r="A2073" s="28" t="s">
        <v>43</v>
      </c>
      <c r="B2073" s="28" t="s">
        <v>359</v>
      </c>
      <c r="C2073" s="15">
        <v>855</v>
      </c>
      <c r="D2073" s="1" t="s">
        <v>454</v>
      </c>
      <c r="E2073" s="1">
        <v>2172</v>
      </c>
      <c r="F2073" s="28">
        <v>148</v>
      </c>
      <c r="G2073" s="9">
        <v>144</v>
      </c>
      <c r="H2073" s="1">
        <v>149</v>
      </c>
      <c r="I2073" s="1">
        <v>145</v>
      </c>
      <c r="J2073" t="str">
        <f t="shared" si="32"/>
        <v>http://www.badatelna.eu/reprodukce/?fondId=1073&amp;zaznamId=1108958&amp;reproId=3779889</v>
      </c>
      <c r="K2073">
        <f>IF(LEN(TRIM(E2073))=0,"",VLOOKUP(E2073,Sheet2!$B$1:$E$19,2,FALSE))</f>
        <v>1073</v>
      </c>
      <c r="L2073">
        <f>IF(LEN(TRIM(E2073))=0,"",VLOOKUP(E2073,Sheet2!$B$1:$E$19,3,FALSE))</f>
        <v>1108958</v>
      </c>
      <c r="M2073">
        <f>IF(LEN(TRIM(E2073))=0,"",VLOOKUP(E2073,Sheet2!$B$1:$E$19,4,FALSE))+(F2073-1)</f>
        <v>3779889</v>
      </c>
    </row>
    <row r="2074" spans="1:17" s="1" customFormat="1" ht="15" customHeight="1" x14ac:dyDescent="0.25">
      <c r="A2074" s="28" t="s">
        <v>43</v>
      </c>
      <c r="B2074" s="28" t="s">
        <v>571</v>
      </c>
      <c r="C2074" s="6" t="s">
        <v>1683</v>
      </c>
      <c r="D2074" s="1" t="s">
        <v>454</v>
      </c>
      <c r="E2074" s="1">
        <v>2172</v>
      </c>
      <c r="F2074" s="28">
        <v>108</v>
      </c>
      <c r="G2074" s="9">
        <v>107</v>
      </c>
      <c r="H2074" s="1">
        <v>110</v>
      </c>
      <c r="I2074" s="1">
        <v>109</v>
      </c>
      <c r="J2074" t="str">
        <f t="shared" si="32"/>
        <v>http://www.badatelna.eu/reprodukce/?fondId=1073&amp;zaznamId=1108958&amp;reproId=3779849</v>
      </c>
      <c r="K2074">
        <f>IF(LEN(TRIM(E2074))=0,"",VLOOKUP(E2074,Sheet2!$B$1:$E$19,2,FALSE))</f>
        <v>1073</v>
      </c>
      <c r="L2074">
        <f>IF(LEN(TRIM(E2074))=0,"",VLOOKUP(E2074,Sheet2!$B$1:$E$19,3,FALSE))</f>
        <v>1108958</v>
      </c>
      <c r="M2074">
        <f>IF(LEN(TRIM(E2074))=0,"",VLOOKUP(E2074,Sheet2!$B$1:$E$19,4,FALSE))+(F2074-1)</f>
        <v>3779849</v>
      </c>
      <c r="N2074"/>
      <c r="O2074"/>
      <c r="P2074"/>
      <c r="Q2074"/>
    </row>
    <row r="2075" spans="1:17" s="1" customFormat="1" ht="15" customHeight="1" x14ac:dyDescent="0.25">
      <c r="A2075" s="28" t="s">
        <v>43</v>
      </c>
      <c r="B2075" s="28" t="s">
        <v>999</v>
      </c>
      <c r="C2075" s="6" t="s">
        <v>1745</v>
      </c>
      <c r="D2075" s="1" t="s">
        <v>454</v>
      </c>
      <c r="E2075" s="1">
        <v>2172</v>
      </c>
      <c r="F2075" s="28">
        <v>127</v>
      </c>
      <c r="G2075" s="9" t="s">
        <v>2780</v>
      </c>
      <c r="H2075" s="1">
        <v>133</v>
      </c>
      <c r="I2075" s="1">
        <v>132</v>
      </c>
      <c r="J2075" t="str">
        <f t="shared" si="32"/>
        <v>http://www.badatelna.eu/reprodukce/?fondId=1073&amp;zaznamId=1108958&amp;reproId=3779868</v>
      </c>
      <c r="K2075">
        <f>IF(LEN(TRIM(E2075))=0,"",VLOOKUP(E2075,Sheet2!$B$1:$E$19,2,FALSE))</f>
        <v>1073</v>
      </c>
      <c r="L2075">
        <f>IF(LEN(TRIM(E2075))=0,"",VLOOKUP(E2075,Sheet2!$B$1:$E$19,3,FALSE))</f>
        <v>1108958</v>
      </c>
      <c r="M2075">
        <f>IF(LEN(TRIM(E2075))=0,"",VLOOKUP(E2075,Sheet2!$B$1:$E$19,4,FALSE))+(F2075-1)</f>
        <v>3779868</v>
      </c>
      <c r="N2075"/>
      <c r="O2075"/>
      <c r="P2075"/>
      <c r="Q2075"/>
    </row>
    <row r="2076" spans="1:17" s="1" customFormat="1" ht="15" customHeight="1" x14ac:dyDescent="0.25">
      <c r="A2076" s="28" t="s">
        <v>43</v>
      </c>
      <c r="B2076" s="28" t="s">
        <v>864</v>
      </c>
      <c r="C2076" s="1">
        <v>1883</v>
      </c>
      <c r="D2076" s="1" t="s">
        <v>454</v>
      </c>
      <c r="E2076" s="1">
        <v>2172</v>
      </c>
      <c r="F2076" s="28">
        <v>33</v>
      </c>
      <c r="G2076" s="9">
        <v>32</v>
      </c>
      <c r="H2076" s="1">
        <v>37</v>
      </c>
      <c r="I2076" s="1">
        <v>36</v>
      </c>
      <c r="J2076" t="str">
        <f t="shared" si="32"/>
        <v>http://www.badatelna.eu/reprodukce/?fondId=1073&amp;zaznamId=1108958&amp;reproId=3779774</v>
      </c>
      <c r="K2076">
        <f>IF(LEN(TRIM(E2076))=0,"",VLOOKUP(E2076,Sheet2!$B$1:$E$19,2,FALSE))</f>
        <v>1073</v>
      </c>
      <c r="L2076">
        <f>IF(LEN(TRIM(E2076))=0,"",VLOOKUP(E2076,Sheet2!$B$1:$E$19,3,FALSE))</f>
        <v>1108958</v>
      </c>
      <c r="M2076">
        <f>IF(LEN(TRIM(E2076))=0,"",VLOOKUP(E2076,Sheet2!$B$1:$E$19,4,FALSE))+(F2076-1)</f>
        <v>3779774</v>
      </c>
      <c r="N2076"/>
      <c r="O2076"/>
      <c r="P2076"/>
      <c r="Q2076"/>
    </row>
    <row r="2077" spans="1:17" s="1" customFormat="1" ht="15" customHeight="1" x14ac:dyDescent="0.25">
      <c r="A2077" s="28" t="s">
        <v>43</v>
      </c>
      <c r="B2077" s="28" t="s">
        <v>135</v>
      </c>
      <c r="C2077" s="1">
        <v>1883</v>
      </c>
      <c r="D2077" s="1" t="s">
        <v>454</v>
      </c>
      <c r="E2077" s="1">
        <v>2172</v>
      </c>
      <c r="F2077" s="28">
        <v>35</v>
      </c>
      <c r="G2077" s="9">
        <v>34</v>
      </c>
      <c r="H2077" s="1">
        <v>37</v>
      </c>
      <c r="I2077" s="1">
        <v>36</v>
      </c>
      <c r="J2077" t="str">
        <f t="shared" si="32"/>
        <v>http://www.badatelna.eu/reprodukce/?fondId=1073&amp;zaznamId=1108958&amp;reproId=3779776</v>
      </c>
      <c r="K2077">
        <f>IF(LEN(TRIM(E2077))=0,"",VLOOKUP(E2077,Sheet2!$B$1:$E$19,2,FALSE))</f>
        <v>1073</v>
      </c>
      <c r="L2077">
        <f>IF(LEN(TRIM(E2077))=0,"",VLOOKUP(E2077,Sheet2!$B$1:$E$19,3,FALSE))</f>
        <v>1108958</v>
      </c>
      <c r="M2077">
        <f>IF(LEN(TRIM(E2077))=0,"",VLOOKUP(E2077,Sheet2!$B$1:$E$19,4,FALSE))+(F2077-1)</f>
        <v>3779776</v>
      </c>
      <c r="N2077"/>
      <c r="O2077"/>
      <c r="P2077"/>
      <c r="Q2077"/>
    </row>
    <row r="2078" spans="1:17" s="1" customFormat="1" ht="15" customHeight="1" x14ac:dyDescent="0.25">
      <c r="A2078" s="28" t="s">
        <v>43</v>
      </c>
      <c r="B2078" s="28" t="s">
        <v>731</v>
      </c>
      <c r="C2078" s="1">
        <v>1849</v>
      </c>
      <c r="D2078" s="1" t="s">
        <v>2919</v>
      </c>
      <c r="E2078" s="1">
        <v>998</v>
      </c>
      <c r="F2078" s="28">
        <v>21</v>
      </c>
      <c r="G2078" s="1">
        <v>19</v>
      </c>
      <c r="H2078" s="1">
        <v>77</v>
      </c>
      <c r="I2078" s="1">
        <v>75</v>
      </c>
      <c r="J2078" t="str">
        <f t="shared" si="32"/>
        <v>http://www.badatelna.eu/reprodukce/?fondId=241&amp;zaznamId=1133738&amp;reproId=3885667</v>
      </c>
      <c r="K2078">
        <f>IF(LEN(TRIM(E2078))=0,"",VLOOKUP(E2078,Sheet2!$B$1:$E$19,2,FALSE))</f>
        <v>241</v>
      </c>
      <c r="L2078">
        <f>IF(LEN(TRIM(E2078))=0,"",VLOOKUP(E2078,Sheet2!$B$1:$E$19,3,FALSE))</f>
        <v>1133738</v>
      </c>
      <c r="M2078">
        <f>IF(LEN(TRIM(E2078))=0,"",VLOOKUP(E2078,Sheet2!$B$1:$E$19,4,FALSE))+(F2078-1)</f>
        <v>3885667</v>
      </c>
    </row>
    <row r="2079" spans="1:17" s="1" customFormat="1" ht="15" customHeight="1" x14ac:dyDescent="0.25">
      <c r="A2079" s="28" t="s">
        <v>43</v>
      </c>
      <c r="B2079" s="28" t="s">
        <v>44</v>
      </c>
      <c r="C2079" s="1">
        <v>1851</v>
      </c>
      <c r="D2079" s="1" t="s">
        <v>2919</v>
      </c>
      <c r="E2079" s="1">
        <v>998</v>
      </c>
      <c r="F2079" s="28">
        <v>31</v>
      </c>
      <c r="G2079" s="1">
        <v>29</v>
      </c>
      <c r="H2079" s="1">
        <v>77</v>
      </c>
      <c r="I2079" s="1">
        <v>75</v>
      </c>
      <c r="J2079" t="str">
        <f t="shared" si="32"/>
        <v>http://www.badatelna.eu/reprodukce/?fondId=241&amp;zaznamId=1133738&amp;reproId=3885677</v>
      </c>
      <c r="K2079">
        <f>IF(LEN(TRIM(E2079))=0,"",VLOOKUP(E2079,Sheet2!$B$1:$E$19,2,FALSE))</f>
        <v>241</v>
      </c>
      <c r="L2079">
        <f>IF(LEN(TRIM(E2079))=0,"",VLOOKUP(E2079,Sheet2!$B$1:$E$19,3,FALSE))</f>
        <v>1133738</v>
      </c>
      <c r="M2079">
        <f>IF(LEN(TRIM(E2079))=0,"",VLOOKUP(E2079,Sheet2!$B$1:$E$19,4,FALSE))+(F2079-1)</f>
        <v>3885677</v>
      </c>
      <c r="N2079"/>
      <c r="O2079"/>
      <c r="P2079"/>
      <c r="Q2079"/>
    </row>
    <row r="2080" spans="1:17" s="1" customFormat="1" ht="15" customHeight="1" x14ac:dyDescent="0.25">
      <c r="A2080" s="31" t="s">
        <v>43</v>
      </c>
      <c r="B2080" s="31" t="s">
        <v>44</v>
      </c>
      <c r="C2080" s="7" t="s">
        <v>2234</v>
      </c>
      <c r="D2080" s="1" t="s">
        <v>454</v>
      </c>
      <c r="E2080" s="1">
        <v>2173</v>
      </c>
      <c r="F2080" s="28">
        <v>196</v>
      </c>
      <c r="G2080" s="9">
        <v>2</v>
      </c>
      <c r="H2080" s="1" t="s">
        <v>3073</v>
      </c>
      <c r="I2080" s="1" t="s">
        <v>3073</v>
      </c>
      <c r="J2080" t="str">
        <f t="shared" si="32"/>
        <v>http://www.badatelna.eu/reprodukce/?fondId=1073&amp;zaznamId=1108959&amp;reproId=3780189</v>
      </c>
      <c r="K2080">
        <f>IF(LEN(TRIM(E2080))=0,"",VLOOKUP(E2080,Sheet2!$B$1:$E$19,2,FALSE))</f>
        <v>1073</v>
      </c>
      <c r="L2080">
        <f>IF(LEN(TRIM(E2080))=0,"",VLOOKUP(E2080,Sheet2!$B$1:$E$19,3,FALSE))</f>
        <v>1108959</v>
      </c>
      <c r="M2080">
        <f>IF(LEN(TRIM(E2080))=0,"",VLOOKUP(E2080,Sheet2!$B$1:$E$19,4,FALSE))+(F2080-1)</f>
        <v>3780189</v>
      </c>
      <c r="N2080"/>
      <c r="O2080"/>
      <c r="P2080"/>
      <c r="Q2080"/>
    </row>
    <row r="2081" spans="1:17" s="1" customFormat="1" ht="15" customHeight="1" x14ac:dyDescent="0.25">
      <c r="A2081" s="27" t="s">
        <v>43</v>
      </c>
      <c r="B2081" s="27" t="s">
        <v>407</v>
      </c>
      <c r="C2081" s="5" t="s">
        <v>1343</v>
      </c>
      <c r="D2081" s="3" t="s">
        <v>454</v>
      </c>
      <c r="E2081" s="3">
        <v>2170</v>
      </c>
      <c r="F2081" s="28">
        <v>41</v>
      </c>
      <c r="G2081" s="10">
        <v>37</v>
      </c>
      <c r="H2081" s="3">
        <v>69</v>
      </c>
      <c r="I2081" s="3">
        <v>65</v>
      </c>
      <c r="J2081" t="str">
        <f t="shared" si="32"/>
        <v>http://www.badatelna.eu/reprodukce/?fondId=1073&amp;zaznamId=1108956&amp;reproId=3779633</v>
      </c>
      <c r="K2081">
        <f>IF(LEN(TRIM(E2081))=0,"",VLOOKUP(E2081,Sheet2!$B$1:$E$19,2,FALSE))</f>
        <v>1073</v>
      </c>
      <c r="L2081">
        <f>IF(LEN(TRIM(E2081))=0,"",VLOOKUP(E2081,Sheet2!$B$1:$E$19,3,FALSE))</f>
        <v>1108956</v>
      </c>
      <c r="M2081">
        <f>IF(LEN(TRIM(E2081))=0,"",VLOOKUP(E2081,Sheet2!$B$1:$E$19,4,FALSE))+(F2081-1)</f>
        <v>3779633</v>
      </c>
    </row>
    <row r="2082" spans="1:17" s="1" customFormat="1" ht="15" customHeight="1" x14ac:dyDescent="0.25">
      <c r="A2082" s="28" t="s">
        <v>1000</v>
      </c>
      <c r="B2082" s="28" t="s">
        <v>652</v>
      </c>
      <c r="C2082" s="6" t="s">
        <v>1862</v>
      </c>
      <c r="D2082" s="1" t="s">
        <v>454</v>
      </c>
      <c r="E2082" s="1">
        <v>2172</v>
      </c>
      <c r="F2082" s="28">
        <v>187</v>
      </c>
      <c r="G2082" s="9">
        <v>177</v>
      </c>
      <c r="H2082" s="1" t="s">
        <v>3073</v>
      </c>
      <c r="I2082" s="1" t="s">
        <v>3073</v>
      </c>
      <c r="J2082" t="str">
        <f t="shared" si="32"/>
        <v>http://www.badatelna.eu/reprodukce/?fondId=1073&amp;zaznamId=1108958&amp;reproId=3779928</v>
      </c>
      <c r="K2082">
        <f>IF(LEN(TRIM(E2082))=0,"",VLOOKUP(E2082,Sheet2!$B$1:$E$19,2,FALSE))</f>
        <v>1073</v>
      </c>
      <c r="L2082">
        <f>IF(LEN(TRIM(E2082))=0,"",VLOOKUP(E2082,Sheet2!$B$1:$E$19,3,FALSE))</f>
        <v>1108958</v>
      </c>
      <c r="M2082">
        <f>IF(LEN(TRIM(E2082))=0,"",VLOOKUP(E2082,Sheet2!$B$1:$E$19,4,FALSE))+(F2082-1)</f>
        <v>3779928</v>
      </c>
      <c r="N2082"/>
      <c r="O2082"/>
      <c r="P2082"/>
      <c r="Q2082"/>
    </row>
    <row r="2083" spans="1:17" s="1" customFormat="1" ht="15" customHeight="1" x14ac:dyDescent="0.25">
      <c r="A2083" s="27" t="s">
        <v>160</v>
      </c>
      <c r="B2083" s="27" t="s">
        <v>476</v>
      </c>
      <c r="C2083" s="5" t="s">
        <v>1350</v>
      </c>
      <c r="D2083" s="3" t="s">
        <v>454</v>
      </c>
      <c r="E2083" s="3">
        <v>2170</v>
      </c>
      <c r="F2083" s="28">
        <v>39</v>
      </c>
      <c r="G2083" s="10">
        <v>35</v>
      </c>
      <c r="H2083" s="3">
        <v>69</v>
      </c>
      <c r="I2083" s="3">
        <v>65</v>
      </c>
      <c r="J2083" t="str">
        <f t="shared" si="32"/>
        <v>http://www.badatelna.eu/reprodukce/?fondId=1073&amp;zaznamId=1108956&amp;reproId=3779631</v>
      </c>
      <c r="K2083">
        <f>IF(LEN(TRIM(E2083))=0,"",VLOOKUP(E2083,Sheet2!$B$1:$E$19,2,FALSE))</f>
        <v>1073</v>
      </c>
      <c r="L2083">
        <f>IF(LEN(TRIM(E2083))=0,"",VLOOKUP(E2083,Sheet2!$B$1:$E$19,3,FALSE))</f>
        <v>1108956</v>
      </c>
      <c r="M2083">
        <f>IF(LEN(TRIM(E2083))=0,"",VLOOKUP(E2083,Sheet2!$B$1:$E$19,4,FALSE))+(F2083-1)</f>
        <v>3779631</v>
      </c>
      <c r="N2083"/>
      <c r="O2083"/>
      <c r="P2083"/>
      <c r="Q2083"/>
    </row>
    <row r="2084" spans="1:17" s="1" customFormat="1" ht="15" customHeight="1" x14ac:dyDescent="0.25">
      <c r="A2084" s="27" t="s">
        <v>160</v>
      </c>
      <c r="B2084" s="27" t="s">
        <v>290</v>
      </c>
      <c r="C2084" s="5" t="s">
        <v>1347</v>
      </c>
      <c r="D2084" s="3" t="s">
        <v>454</v>
      </c>
      <c r="E2084" s="3">
        <v>2170</v>
      </c>
      <c r="F2084" s="28">
        <v>33</v>
      </c>
      <c r="G2084" s="10">
        <v>29</v>
      </c>
      <c r="H2084" s="3">
        <v>69</v>
      </c>
      <c r="I2084" s="3">
        <v>65</v>
      </c>
      <c r="J2084" t="str">
        <f t="shared" si="32"/>
        <v>http://www.badatelna.eu/reprodukce/?fondId=1073&amp;zaznamId=1108956&amp;reproId=3779625</v>
      </c>
      <c r="K2084">
        <f>IF(LEN(TRIM(E2084))=0,"",VLOOKUP(E2084,Sheet2!$B$1:$E$19,2,FALSE))</f>
        <v>1073</v>
      </c>
      <c r="L2084">
        <f>IF(LEN(TRIM(E2084))=0,"",VLOOKUP(E2084,Sheet2!$B$1:$E$19,3,FALSE))</f>
        <v>1108956</v>
      </c>
      <c r="M2084">
        <f>IF(LEN(TRIM(E2084))=0,"",VLOOKUP(E2084,Sheet2!$B$1:$E$19,4,FALSE))+(F2084-1)</f>
        <v>3779625</v>
      </c>
    </row>
    <row r="2085" spans="1:17" s="1" customFormat="1" ht="15" customHeight="1" x14ac:dyDescent="0.25">
      <c r="A2085" s="28" t="s">
        <v>160</v>
      </c>
      <c r="B2085" s="28" t="s">
        <v>668</v>
      </c>
      <c r="C2085" s="6" t="s">
        <v>1646</v>
      </c>
      <c r="D2085" s="1" t="s">
        <v>454</v>
      </c>
      <c r="E2085" s="1">
        <v>2172</v>
      </c>
      <c r="F2085" s="28">
        <v>94</v>
      </c>
      <c r="G2085" s="9">
        <v>93</v>
      </c>
      <c r="H2085" s="1">
        <v>97</v>
      </c>
      <c r="I2085" s="1">
        <v>96</v>
      </c>
      <c r="J2085" t="str">
        <f t="shared" si="32"/>
        <v>http://www.badatelna.eu/reprodukce/?fondId=1073&amp;zaznamId=1108958&amp;reproId=3779835</v>
      </c>
      <c r="K2085">
        <f>IF(LEN(TRIM(E2085))=0,"",VLOOKUP(E2085,Sheet2!$B$1:$E$19,2,FALSE))</f>
        <v>1073</v>
      </c>
      <c r="L2085">
        <f>IF(LEN(TRIM(E2085))=0,"",VLOOKUP(E2085,Sheet2!$B$1:$E$19,3,FALSE))</f>
        <v>1108958</v>
      </c>
      <c r="M2085">
        <f>IF(LEN(TRIM(E2085))=0,"",VLOOKUP(E2085,Sheet2!$B$1:$E$19,4,FALSE))+(F2085-1)</f>
        <v>3779835</v>
      </c>
    </row>
    <row r="2086" spans="1:17" s="1" customFormat="1" ht="15" customHeight="1" x14ac:dyDescent="0.25">
      <c r="A2086" s="28" t="s">
        <v>160</v>
      </c>
      <c r="B2086" s="28" t="s">
        <v>622</v>
      </c>
      <c r="C2086" s="1">
        <v>1848</v>
      </c>
      <c r="D2086" s="1" t="s">
        <v>2919</v>
      </c>
      <c r="E2086" s="1">
        <v>998</v>
      </c>
      <c r="F2086" s="28">
        <v>16</v>
      </c>
      <c r="G2086" s="1">
        <v>14</v>
      </c>
      <c r="H2086" s="1">
        <v>77</v>
      </c>
      <c r="I2086" s="1">
        <v>75</v>
      </c>
      <c r="J2086" t="str">
        <f t="shared" si="32"/>
        <v>http://www.badatelna.eu/reprodukce/?fondId=241&amp;zaznamId=1133738&amp;reproId=3885662</v>
      </c>
      <c r="K2086">
        <f>IF(LEN(TRIM(E2086))=0,"",VLOOKUP(E2086,Sheet2!$B$1:$E$19,2,FALSE))</f>
        <v>241</v>
      </c>
      <c r="L2086">
        <f>IF(LEN(TRIM(E2086))=0,"",VLOOKUP(E2086,Sheet2!$B$1:$E$19,3,FALSE))</f>
        <v>1133738</v>
      </c>
      <c r="M2086">
        <f>IF(LEN(TRIM(E2086))=0,"",VLOOKUP(E2086,Sheet2!$B$1:$E$19,4,FALSE))+(F2086-1)</f>
        <v>3885662</v>
      </c>
      <c r="N2086"/>
      <c r="O2086"/>
      <c r="P2086"/>
      <c r="Q2086"/>
    </row>
    <row r="2087" spans="1:17" s="1" customFormat="1" ht="15" customHeight="1" x14ac:dyDescent="0.25">
      <c r="A2087" s="28" t="s">
        <v>160</v>
      </c>
      <c r="B2087" s="28" t="s">
        <v>280</v>
      </c>
      <c r="C2087" s="1">
        <v>1847</v>
      </c>
      <c r="D2087" s="1" t="s">
        <v>2919</v>
      </c>
      <c r="E2087" s="1">
        <v>998</v>
      </c>
      <c r="F2087" s="28">
        <v>7</v>
      </c>
      <c r="G2087" s="1">
        <v>5</v>
      </c>
      <c r="H2087" s="1">
        <v>77</v>
      </c>
      <c r="I2087" s="1">
        <v>75</v>
      </c>
      <c r="J2087" t="str">
        <f t="shared" si="32"/>
        <v>http://www.badatelna.eu/reprodukce/?fondId=241&amp;zaznamId=1133738&amp;reproId=3885653</v>
      </c>
      <c r="K2087">
        <f>IF(LEN(TRIM(E2087))=0,"",VLOOKUP(E2087,Sheet2!$B$1:$E$19,2,FALSE))</f>
        <v>241</v>
      </c>
      <c r="L2087">
        <f>IF(LEN(TRIM(E2087))=0,"",VLOOKUP(E2087,Sheet2!$B$1:$E$19,3,FALSE))</f>
        <v>1133738</v>
      </c>
      <c r="M2087">
        <f>IF(LEN(TRIM(E2087))=0,"",VLOOKUP(E2087,Sheet2!$B$1:$E$19,4,FALSE))+(F2087-1)</f>
        <v>3885653</v>
      </c>
    </row>
    <row r="2088" spans="1:17" s="1" customFormat="1" ht="15" customHeight="1" x14ac:dyDescent="0.25">
      <c r="A2088" s="28" t="s">
        <v>160</v>
      </c>
      <c r="B2088" s="28" t="s">
        <v>280</v>
      </c>
      <c r="C2088" s="1">
        <v>1848</v>
      </c>
      <c r="D2088" s="1" t="s">
        <v>2919</v>
      </c>
      <c r="E2088" s="1">
        <v>998</v>
      </c>
      <c r="F2088" s="28">
        <v>16</v>
      </c>
      <c r="G2088" s="1">
        <v>14</v>
      </c>
      <c r="H2088" s="1">
        <v>77</v>
      </c>
      <c r="I2088" s="1">
        <v>75</v>
      </c>
      <c r="J2088" t="str">
        <f t="shared" si="32"/>
        <v>http://www.badatelna.eu/reprodukce/?fondId=241&amp;zaznamId=1133738&amp;reproId=3885662</v>
      </c>
      <c r="K2088">
        <f>IF(LEN(TRIM(E2088))=0,"",VLOOKUP(E2088,Sheet2!$B$1:$E$19,2,FALSE))</f>
        <v>241</v>
      </c>
      <c r="L2088">
        <f>IF(LEN(TRIM(E2088))=0,"",VLOOKUP(E2088,Sheet2!$B$1:$E$19,3,FALSE))</f>
        <v>1133738</v>
      </c>
      <c r="M2088">
        <f>IF(LEN(TRIM(E2088))=0,"",VLOOKUP(E2088,Sheet2!$B$1:$E$19,4,FALSE))+(F2088-1)</f>
        <v>3885662</v>
      </c>
      <c r="N2088"/>
      <c r="O2088"/>
      <c r="P2088"/>
      <c r="Q2088"/>
    </row>
    <row r="2089" spans="1:17" s="1" customFormat="1" ht="15" customHeight="1" x14ac:dyDescent="0.25">
      <c r="A2089" s="29" t="s">
        <v>160</v>
      </c>
      <c r="B2089" s="29" t="s">
        <v>56</v>
      </c>
      <c r="C2089" s="6" t="s">
        <v>2408</v>
      </c>
      <c r="D2089" s="1" t="s">
        <v>454</v>
      </c>
      <c r="E2089" s="1">
        <v>2173</v>
      </c>
      <c r="F2089" s="28">
        <v>202</v>
      </c>
      <c r="G2089" s="9">
        <v>13</v>
      </c>
      <c r="H2089" s="1" t="s">
        <v>3073</v>
      </c>
      <c r="I2089" s="1" t="s">
        <v>3073</v>
      </c>
      <c r="J2089" t="str">
        <f t="shared" si="32"/>
        <v>http://www.badatelna.eu/reprodukce/?fondId=1073&amp;zaznamId=1108959&amp;reproId=3780195</v>
      </c>
      <c r="K2089">
        <f>IF(LEN(TRIM(E2089))=0,"",VLOOKUP(E2089,Sheet2!$B$1:$E$19,2,FALSE))</f>
        <v>1073</v>
      </c>
      <c r="L2089">
        <f>IF(LEN(TRIM(E2089))=0,"",VLOOKUP(E2089,Sheet2!$B$1:$E$19,3,FALSE))</f>
        <v>1108959</v>
      </c>
      <c r="M2089">
        <f>IF(LEN(TRIM(E2089))=0,"",VLOOKUP(E2089,Sheet2!$B$1:$E$19,4,FALSE))+(F2089-1)</f>
        <v>3780195</v>
      </c>
    </row>
    <row r="2090" spans="1:17" s="1" customFormat="1" ht="15" customHeight="1" x14ac:dyDescent="0.25">
      <c r="A2090" s="27" t="s">
        <v>160</v>
      </c>
      <c r="B2090" s="27" t="s">
        <v>274</v>
      </c>
      <c r="C2090" s="5" t="s">
        <v>1346</v>
      </c>
      <c r="D2090" s="3" t="s">
        <v>454</v>
      </c>
      <c r="E2090" s="3">
        <v>2170</v>
      </c>
      <c r="F2090" s="28">
        <v>53</v>
      </c>
      <c r="G2090" s="10">
        <v>49</v>
      </c>
      <c r="H2090" s="3">
        <v>69</v>
      </c>
      <c r="I2090" s="3">
        <v>65</v>
      </c>
      <c r="J2090" t="str">
        <f t="shared" si="32"/>
        <v>http://www.badatelna.eu/reprodukce/?fondId=1073&amp;zaznamId=1108956&amp;reproId=3779645</v>
      </c>
      <c r="K2090">
        <f>IF(LEN(TRIM(E2090))=0,"",VLOOKUP(E2090,Sheet2!$B$1:$E$19,2,FALSE))</f>
        <v>1073</v>
      </c>
      <c r="L2090">
        <f>IF(LEN(TRIM(E2090))=0,"",VLOOKUP(E2090,Sheet2!$B$1:$E$19,3,FALSE))</f>
        <v>1108956</v>
      </c>
      <c r="M2090">
        <f>IF(LEN(TRIM(E2090))=0,"",VLOOKUP(E2090,Sheet2!$B$1:$E$19,4,FALSE))+(F2090-1)</f>
        <v>3779645</v>
      </c>
    </row>
    <row r="2091" spans="1:17" s="1" customFormat="1" ht="15" customHeight="1" x14ac:dyDescent="0.25">
      <c r="A2091" s="27" t="s">
        <v>160</v>
      </c>
      <c r="B2091" s="27" t="s">
        <v>179</v>
      </c>
      <c r="C2091" s="5" t="s">
        <v>1349</v>
      </c>
      <c r="D2091" s="3" t="s">
        <v>454</v>
      </c>
      <c r="E2091" s="3">
        <v>2170</v>
      </c>
      <c r="F2091" s="28">
        <v>24</v>
      </c>
      <c r="G2091" s="10">
        <v>20</v>
      </c>
      <c r="H2091" s="3">
        <v>69</v>
      </c>
      <c r="I2091" s="3">
        <v>65</v>
      </c>
      <c r="J2091" t="str">
        <f t="shared" si="32"/>
        <v>http://www.badatelna.eu/reprodukce/?fondId=1073&amp;zaznamId=1108956&amp;reproId=3779616</v>
      </c>
      <c r="K2091">
        <f>IF(LEN(TRIM(E2091))=0,"",VLOOKUP(E2091,Sheet2!$B$1:$E$19,2,FALSE))</f>
        <v>1073</v>
      </c>
      <c r="L2091">
        <f>IF(LEN(TRIM(E2091))=0,"",VLOOKUP(E2091,Sheet2!$B$1:$E$19,3,FALSE))</f>
        <v>1108956</v>
      </c>
      <c r="M2091">
        <f>IF(LEN(TRIM(E2091))=0,"",VLOOKUP(E2091,Sheet2!$B$1:$E$19,4,FALSE))+(F2091-1)</f>
        <v>3779616</v>
      </c>
    </row>
    <row r="2092" spans="1:17" s="1" customFormat="1" ht="15" customHeight="1" x14ac:dyDescent="0.25">
      <c r="A2092" s="28" t="s">
        <v>160</v>
      </c>
      <c r="B2092" s="28" t="s">
        <v>434</v>
      </c>
      <c r="C2092" s="1">
        <v>1849</v>
      </c>
      <c r="D2092" s="1" t="s">
        <v>2919</v>
      </c>
      <c r="E2092" s="1">
        <v>998</v>
      </c>
      <c r="F2092" s="28">
        <v>21</v>
      </c>
      <c r="G2092" s="1">
        <v>19</v>
      </c>
      <c r="H2092" s="1">
        <v>77</v>
      </c>
      <c r="I2092" s="1">
        <v>75</v>
      </c>
      <c r="J2092" t="str">
        <f t="shared" si="32"/>
        <v>http://www.badatelna.eu/reprodukce/?fondId=241&amp;zaznamId=1133738&amp;reproId=3885667</v>
      </c>
      <c r="K2092">
        <f>IF(LEN(TRIM(E2092))=0,"",VLOOKUP(E2092,Sheet2!$B$1:$E$19,2,FALSE))</f>
        <v>241</v>
      </c>
      <c r="L2092">
        <f>IF(LEN(TRIM(E2092))=0,"",VLOOKUP(E2092,Sheet2!$B$1:$E$19,3,FALSE))</f>
        <v>1133738</v>
      </c>
      <c r="M2092">
        <f>IF(LEN(TRIM(E2092))=0,"",VLOOKUP(E2092,Sheet2!$B$1:$E$19,4,FALSE))+(F2092-1)</f>
        <v>3885667</v>
      </c>
    </row>
    <row r="2093" spans="1:17" s="1" customFormat="1" ht="15" customHeight="1" x14ac:dyDescent="0.25">
      <c r="A2093" s="28" t="s">
        <v>160</v>
      </c>
      <c r="B2093" s="28" t="s">
        <v>240</v>
      </c>
      <c r="C2093" s="1">
        <v>1859</v>
      </c>
      <c r="D2093" s="1" t="s">
        <v>2919</v>
      </c>
      <c r="E2093" s="1">
        <v>998</v>
      </c>
      <c r="F2093" s="28">
        <v>56</v>
      </c>
      <c r="G2093" s="1" t="s">
        <v>2941</v>
      </c>
      <c r="H2093" s="1">
        <v>77</v>
      </c>
      <c r="I2093" s="1">
        <v>75</v>
      </c>
      <c r="J2093" t="str">
        <f t="shared" si="32"/>
        <v>http://www.badatelna.eu/reprodukce/?fondId=241&amp;zaznamId=1133738&amp;reproId=3885702</v>
      </c>
      <c r="K2093">
        <f>IF(LEN(TRIM(E2093))=0,"",VLOOKUP(E2093,Sheet2!$B$1:$E$19,2,FALSE))</f>
        <v>241</v>
      </c>
      <c r="L2093">
        <f>IF(LEN(TRIM(E2093))=0,"",VLOOKUP(E2093,Sheet2!$B$1:$E$19,3,FALSE))</f>
        <v>1133738</v>
      </c>
      <c r="M2093">
        <f>IF(LEN(TRIM(E2093))=0,"",VLOOKUP(E2093,Sheet2!$B$1:$E$19,4,FALSE))+(F2093-1)</f>
        <v>3885702</v>
      </c>
      <c r="N2093"/>
      <c r="O2093"/>
      <c r="P2093"/>
      <c r="Q2093"/>
    </row>
    <row r="2094" spans="1:17" s="1" customFormat="1" ht="15" customHeight="1" x14ac:dyDescent="0.25">
      <c r="A2094" s="28" t="s">
        <v>160</v>
      </c>
      <c r="B2094" s="28" t="s">
        <v>19</v>
      </c>
      <c r="C2094" s="1">
        <v>1858</v>
      </c>
      <c r="D2094" s="1" t="s">
        <v>2919</v>
      </c>
      <c r="E2094" s="1">
        <v>998</v>
      </c>
      <c r="F2094" s="28">
        <v>56</v>
      </c>
      <c r="G2094" s="1" t="s">
        <v>2941</v>
      </c>
      <c r="H2094" s="1">
        <v>77</v>
      </c>
      <c r="I2094" s="1">
        <v>75</v>
      </c>
      <c r="J2094" t="str">
        <f t="shared" si="32"/>
        <v>http://www.badatelna.eu/reprodukce/?fondId=241&amp;zaznamId=1133738&amp;reproId=3885702</v>
      </c>
      <c r="K2094">
        <f>IF(LEN(TRIM(E2094))=0,"",VLOOKUP(E2094,Sheet2!$B$1:$E$19,2,FALSE))</f>
        <v>241</v>
      </c>
      <c r="L2094">
        <f>IF(LEN(TRIM(E2094))=0,"",VLOOKUP(E2094,Sheet2!$B$1:$E$19,3,FALSE))</f>
        <v>1133738</v>
      </c>
      <c r="M2094">
        <f>IF(LEN(TRIM(E2094))=0,"",VLOOKUP(E2094,Sheet2!$B$1:$E$19,4,FALSE))+(F2094-1)</f>
        <v>3885702</v>
      </c>
    </row>
    <row r="2095" spans="1:17" s="1" customFormat="1" ht="15" customHeight="1" x14ac:dyDescent="0.25">
      <c r="A2095" s="28" t="s">
        <v>160</v>
      </c>
      <c r="B2095" s="28" t="s">
        <v>60</v>
      </c>
      <c r="C2095" s="6" t="s">
        <v>2648</v>
      </c>
      <c r="D2095" s="1" t="s">
        <v>454</v>
      </c>
      <c r="E2095" s="1">
        <v>2173</v>
      </c>
      <c r="F2095" s="28">
        <v>221</v>
      </c>
      <c r="G2095" s="9">
        <v>49</v>
      </c>
      <c r="H2095" s="1" t="s">
        <v>3073</v>
      </c>
      <c r="I2095" s="1" t="s">
        <v>3073</v>
      </c>
      <c r="J2095" t="str">
        <f t="shared" si="32"/>
        <v>http://www.badatelna.eu/reprodukce/?fondId=1073&amp;zaznamId=1108959&amp;reproId=3780214</v>
      </c>
      <c r="K2095">
        <f>IF(LEN(TRIM(E2095))=0,"",VLOOKUP(E2095,Sheet2!$B$1:$E$19,2,FALSE))</f>
        <v>1073</v>
      </c>
      <c r="L2095">
        <f>IF(LEN(TRIM(E2095))=0,"",VLOOKUP(E2095,Sheet2!$B$1:$E$19,3,FALSE))</f>
        <v>1108959</v>
      </c>
      <c r="M2095">
        <f>IF(LEN(TRIM(E2095))=0,"",VLOOKUP(E2095,Sheet2!$B$1:$E$19,4,FALSE))+(F2095-1)</f>
        <v>3780214</v>
      </c>
    </row>
    <row r="2096" spans="1:17" s="1" customFormat="1" ht="15" customHeight="1" x14ac:dyDescent="0.25">
      <c r="A2096" s="28" t="s">
        <v>160</v>
      </c>
      <c r="B2096" s="28" t="s">
        <v>344</v>
      </c>
      <c r="C2096" s="6" t="s">
        <v>2156</v>
      </c>
      <c r="D2096" s="1" t="s">
        <v>454</v>
      </c>
      <c r="E2096" s="1">
        <v>2173</v>
      </c>
      <c r="F2096" s="28">
        <v>178</v>
      </c>
      <c r="G2096" s="9">
        <v>2</v>
      </c>
      <c r="H2096" s="1">
        <v>191</v>
      </c>
      <c r="I2096" s="1">
        <v>425</v>
      </c>
      <c r="J2096" t="str">
        <f t="shared" si="32"/>
        <v>http://www.badatelna.eu/reprodukce/?fondId=1073&amp;zaznamId=1108959&amp;reproId=3780171</v>
      </c>
      <c r="K2096">
        <f>IF(LEN(TRIM(E2096))=0,"",VLOOKUP(E2096,Sheet2!$B$1:$E$19,2,FALSE))</f>
        <v>1073</v>
      </c>
      <c r="L2096">
        <f>IF(LEN(TRIM(E2096))=0,"",VLOOKUP(E2096,Sheet2!$B$1:$E$19,3,FALSE))</f>
        <v>1108959</v>
      </c>
      <c r="M2096">
        <f>IF(LEN(TRIM(E2096))=0,"",VLOOKUP(E2096,Sheet2!$B$1:$E$19,4,FALSE))+(F2096-1)</f>
        <v>3780171</v>
      </c>
    </row>
    <row r="2097" spans="1:17" s="1" customFormat="1" ht="15" customHeight="1" x14ac:dyDescent="0.25">
      <c r="A2097" s="28" t="s">
        <v>160</v>
      </c>
      <c r="B2097" s="28" t="s">
        <v>25</v>
      </c>
      <c r="C2097" s="1">
        <v>1854</v>
      </c>
      <c r="D2097" s="1" t="s">
        <v>2919</v>
      </c>
      <c r="E2097" s="1">
        <v>998</v>
      </c>
      <c r="F2097" s="28">
        <v>43</v>
      </c>
      <c r="G2097" s="1">
        <v>41</v>
      </c>
      <c r="H2097" s="1">
        <v>77</v>
      </c>
      <c r="I2097" s="1">
        <v>75</v>
      </c>
      <c r="J2097" t="str">
        <f t="shared" si="32"/>
        <v>http://www.badatelna.eu/reprodukce/?fondId=241&amp;zaznamId=1133738&amp;reproId=3885689</v>
      </c>
      <c r="K2097">
        <f>IF(LEN(TRIM(E2097))=0,"",VLOOKUP(E2097,Sheet2!$B$1:$E$19,2,FALSE))</f>
        <v>241</v>
      </c>
      <c r="L2097">
        <f>IF(LEN(TRIM(E2097))=0,"",VLOOKUP(E2097,Sheet2!$B$1:$E$19,3,FALSE))</f>
        <v>1133738</v>
      </c>
      <c r="M2097">
        <f>IF(LEN(TRIM(E2097))=0,"",VLOOKUP(E2097,Sheet2!$B$1:$E$19,4,FALSE))+(F2097-1)</f>
        <v>3885689</v>
      </c>
      <c r="N2097"/>
      <c r="O2097"/>
      <c r="P2097"/>
      <c r="Q2097"/>
    </row>
    <row r="2098" spans="1:17" s="1" customFormat="1" ht="15" customHeight="1" x14ac:dyDescent="0.25">
      <c r="A2098" s="28" t="s">
        <v>160</v>
      </c>
      <c r="B2098" s="29" t="s">
        <v>511</v>
      </c>
      <c r="C2098" s="1">
        <v>1849</v>
      </c>
      <c r="D2098" s="1" t="s">
        <v>2919</v>
      </c>
      <c r="E2098" s="1">
        <v>998</v>
      </c>
      <c r="F2098" s="28">
        <v>27</v>
      </c>
      <c r="G2098" s="1">
        <v>25</v>
      </c>
      <c r="H2098" s="1">
        <v>77</v>
      </c>
      <c r="I2098" s="1">
        <v>75</v>
      </c>
      <c r="J2098" t="str">
        <f t="shared" si="32"/>
        <v>http://www.badatelna.eu/reprodukce/?fondId=241&amp;zaznamId=1133738&amp;reproId=3885673</v>
      </c>
      <c r="K2098">
        <f>IF(LEN(TRIM(E2098))=0,"",VLOOKUP(E2098,Sheet2!$B$1:$E$19,2,FALSE))</f>
        <v>241</v>
      </c>
      <c r="L2098">
        <f>IF(LEN(TRIM(E2098))=0,"",VLOOKUP(E2098,Sheet2!$B$1:$E$19,3,FALSE))</f>
        <v>1133738</v>
      </c>
      <c r="M2098">
        <f>IF(LEN(TRIM(E2098))=0,"",VLOOKUP(E2098,Sheet2!$B$1:$E$19,4,FALSE))+(F2098-1)</f>
        <v>3885673</v>
      </c>
      <c r="N2098"/>
      <c r="O2098"/>
      <c r="P2098"/>
      <c r="Q2098"/>
    </row>
    <row r="2099" spans="1:17" s="1" customFormat="1" ht="15" customHeight="1" x14ac:dyDescent="0.25">
      <c r="A2099" s="28" t="s">
        <v>160</v>
      </c>
      <c r="B2099" s="28" t="s">
        <v>571</v>
      </c>
      <c r="C2099" s="1">
        <v>1854</v>
      </c>
      <c r="D2099" s="1" t="s">
        <v>2919</v>
      </c>
      <c r="E2099" s="1">
        <v>998</v>
      </c>
      <c r="F2099" s="28">
        <v>43</v>
      </c>
      <c r="G2099" s="1">
        <v>41</v>
      </c>
      <c r="H2099" s="1">
        <v>77</v>
      </c>
      <c r="I2099" s="1">
        <v>75</v>
      </c>
      <c r="J2099" t="str">
        <f t="shared" si="32"/>
        <v>http://www.badatelna.eu/reprodukce/?fondId=241&amp;zaznamId=1133738&amp;reproId=3885689</v>
      </c>
      <c r="K2099">
        <f>IF(LEN(TRIM(E2099))=0,"",VLOOKUP(E2099,Sheet2!$B$1:$E$19,2,FALSE))</f>
        <v>241</v>
      </c>
      <c r="L2099">
        <f>IF(LEN(TRIM(E2099))=0,"",VLOOKUP(E2099,Sheet2!$B$1:$E$19,3,FALSE))</f>
        <v>1133738</v>
      </c>
      <c r="M2099">
        <f>IF(LEN(TRIM(E2099))=0,"",VLOOKUP(E2099,Sheet2!$B$1:$E$19,4,FALSE))+(F2099-1)</f>
        <v>3885689</v>
      </c>
      <c r="N2099"/>
      <c r="O2099"/>
      <c r="P2099"/>
      <c r="Q2099"/>
    </row>
    <row r="2100" spans="1:17" s="1" customFormat="1" ht="15" customHeight="1" x14ac:dyDescent="0.25">
      <c r="A2100" s="28" t="s">
        <v>160</v>
      </c>
      <c r="B2100" s="29" t="s">
        <v>3001</v>
      </c>
      <c r="C2100" s="1">
        <v>1859</v>
      </c>
      <c r="D2100" s="1" t="s">
        <v>2919</v>
      </c>
      <c r="E2100" s="1">
        <v>998</v>
      </c>
      <c r="F2100" s="28">
        <v>56</v>
      </c>
      <c r="G2100" s="1" t="s">
        <v>2941</v>
      </c>
      <c r="H2100" s="1">
        <v>77</v>
      </c>
      <c r="I2100" s="1">
        <v>75</v>
      </c>
      <c r="J2100" t="str">
        <f t="shared" si="32"/>
        <v>http://www.badatelna.eu/reprodukce/?fondId=241&amp;zaznamId=1133738&amp;reproId=3885702</v>
      </c>
      <c r="K2100">
        <f>IF(LEN(TRIM(E2100))=0,"",VLOOKUP(E2100,Sheet2!$B$1:$E$19,2,FALSE))</f>
        <v>241</v>
      </c>
      <c r="L2100">
        <f>IF(LEN(TRIM(E2100))=0,"",VLOOKUP(E2100,Sheet2!$B$1:$E$19,3,FALSE))</f>
        <v>1133738</v>
      </c>
      <c r="M2100">
        <f>IF(LEN(TRIM(E2100))=0,"",VLOOKUP(E2100,Sheet2!$B$1:$E$19,4,FALSE))+(F2100-1)</f>
        <v>3885702</v>
      </c>
      <c r="N2100"/>
      <c r="O2100"/>
      <c r="P2100"/>
      <c r="Q2100"/>
    </row>
    <row r="2101" spans="1:17" s="1" customFormat="1" ht="15" customHeight="1" x14ac:dyDescent="0.25">
      <c r="A2101" s="28" t="s">
        <v>160</v>
      </c>
      <c r="B2101" s="29" t="s">
        <v>285</v>
      </c>
      <c r="C2101" s="1">
        <v>1853</v>
      </c>
      <c r="D2101" s="1" t="s">
        <v>2919</v>
      </c>
      <c r="E2101" s="1">
        <v>998</v>
      </c>
      <c r="F2101" s="28">
        <v>37</v>
      </c>
      <c r="G2101" s="1">
        <v>35</v>
      </c>
      <c r="H2101" s="1">
        <v>77</v>
      </c>
      <c r="I2101" s="1">
        <v>75</v>
      </c>
      <c r="J2101" t="str">
        <f t="shared" si="32"/>
        <v>http://www.badatelna.eu/reprodukce/?fondId=241&amp;zaznamId=1133738&amp;reproId=3885683</v>
      </c>
      <c r="K2101">
        <f>IF(LEN(TRIM(E2101))=0,"",VLOOKUP(E2101,Sheet2!$B$1:$E$19,2,FALSE))</f>
        <v>241</v>
      </c>
      <c r="L2101">
        <f>IF(LEN(TRIM(E2101))=0,"",VLOOKUP(E2101,Sheet2!$B$1:$E$19,3,FALSE))</f>
        <v>1133738</v>
      </c>
      <c r="M2101">
        <f>IF(LEN(TRIM(E2101))=0,"",VLOOKUP(E2101,Sheet2!$B$1:$E$19,4,FALSE))+(F2101-1)</f>
        <v>3885683</v>
      </c>
    </row>
    <row r="2102" spans="1:17" s="1" customFormat="1" ht="15" customHeight="1" x14ac:dyDescent="0.25">
      <c r="A2102" s="28" t="s">
        <v>160</v>
      </c>
      <c r="B2102" s="28" t="s">
        <v>44</v>
      </c>
      <c r="C2102" s="1">
        <v>1852</v>
      </c>
      <c r="D2102" s="1" t="s">
        <v>2919</v>
      </c>
      <c r="E2102" s="1">
        <v>998</v>
      </c>
      <c r="F2102" s="28">
        <v>34</v>
      </c>
      <c r="G2102" s="1">
        <v>32</v>
      </c>
      <c r="H2102" s="1">
        <v>77</v>
      </c>
      <c r="I2102" s="1">
        <v>75</v>
      </c>
      <c r="J2102" t="str">
        <f t="shared" si="32"/>
        <v>http://www.badatelna.eu/reprodukce/?fondId=241&amp;zaznamId=1133738&amp;reproId=3885680</v>
      </c>
      <c r="K2102">
        <f>IF(LEN(TRIM(E2102))=0,"",VLOOKUP(E2102,Sheet2!$B$1:$E$19,2,FALSE))</f>
        <v>241</v>
      </c>
      <c r="L2102">
        <f>IF(LEN(TRIM(E2102))=0,"",VLOOKUP(E2102,Sheet2!$B$1:$E$19,3,FALSE))</f>
        <v>1133738</v>
      </c>
      <c r="M2102">
        <f>IF(LEN(TRIM(E2102))=0,"",VLOOKUP(E2102,Sheet2!$B$1:$E$19,4,FALSE))+(F2102-1)</f>
        <v>3885680</v>
      </c>
    </row>
    <row r="2103" spans="1:17" s="1" customFormat="1" ht="15" customHeight="1" x14ac:dyDescent="0.25">
      <c r="A2103" s="28" t="s">
        <v>160</v>
      </c>
      <c r="B2103" s="28" t="s">
        <v>201</v>
      </c>
      <c r="C2103" s="6" t="s">
        <v>2459</v>
      </c>
      <c r="D2103" s="1" t="s">
        <v>454</v>
      </c>
      <c r="E2103" s="1">
        <v>2173</v>
      </c>
      <c r="F2103" s="28">
        <v>204</v>
      </c>
      <c r="G2103" s="1">
        <v>18</v>
      </c>
      <c r="H2103" s="1" t="s">
        <v>3073</v>
      </c>
      <c r="I2103" s="1" t="s">
        <v>3073</v>
      </c>
      <c r="J2103" t="str">
        <f t="shared" si="32"/>
        <v>http://www.badatelna.eu/reprodukce/?fondId=1073&amp;zaznamId=1108959&amp;reproId=3780197</v>
      </c>
      <c r="K2103">
        <f>IF(LEN(TRIM(E2103))=0,"",VLOOKUP(E2103,Sheet2!$B$1:$E$19,2,FALSE))</f>
        <v>1073</v>
      </c>
      <c r="L2103">
        <f>IF(LEN(TRIM(E2103))=0,"",VLOOKUP(E2103,Sheet2!$B$1:$E$19,3,FALSE))</f>
        <v>1108959</v>
      </c>
      <c r="M2103">
        <f>IF(LEN(TRIM(E2103))=0,"",VLOOKUP(E2103,Sheet2!$B$1:$E$19,4,FALSE))+(F2103-1)</f>
        <v>3780197</v>
      </c>
    </row>
    <row r="2104" spans="1:17" s="1" customFormat="1" ht="15" customHeight="1" x14ac:dyDescent="0.25">
      <c r="A2104" s="27" t="s">
        <v>160</v>
      </c>
      <c r="B2104" s="27" t="s">
        <v>598</v>
      </c>
      <c r="C2104" s="5" t="s">
        <v>1348</v>
      </c>
      <c r="D2104" s="3" t="s">
        <v>454</v>
      </c>
      <c r="E2104" s="3">
        <v>2170</v>
      </c>
      <c r="F2104" s="28">
        <v>23</v>
      </c>
      <c r="G2104" s="10">
        <v>19</v>
      </c>
      <c r="H2104" s="3">
        <v>69</v>
      </c>
      <c r="I2104" s="3">
        <v>65</v>
      </c>
      <c r="J2104" t="str">
        <f t="shared" si="32"/>
        <v>http://www.badatelna.eu/reprodukce/?fondId=1073&amp;zaznamId=1108956&amp;reproId=3779615</v>
      </c>
      <c r="K2104">
        <f>IF(LEN(TRIM(E2104))=0,"",VLOOKUP(E2104,Sheet2!$B$1:$E$19,2,FALSE))</f>
        <v>1073</v>
      </c>
      <c r="L2104">
        <f>IF(LEN(TRIM(E2104))=0,"",VLOOKUP(E2104,Sheet2!$B$1:$E$19,3,FALSE))</f>
        <v>1108956</v>
      </c>
      <c r="M2104">
        <f>IF(LEN(TRIM(E2104))=0,"",VLOOKUP(E2104,Sheet2!$B$1:$E$19,4,FALSE))+(F2104-1)</f>
        <v>3779615</v>
      </c>
    </row>
    <row r="2105" spans="1:17" s="1" customFormat="1" ht="15" customHeight="1" x14ac:dyDescent="0.25">
      <c r="A2105" s="29" t="s">
        <v>2829</v>
      </c>
      <c r="B2105" s="28" t="s">
        <v>33</v>
      </c>
      <c r="C2105" s="6" t="s">
        <v>2520</v>
      </c>
      <c r="D2105" s="1" t="s">
        <v>454</v>
      </c>
      <c r="E2105" s="1">
        <v>2173</v>
      </c>
      <c r="F2105" s="28">
        <v>206</v>
      </c>
      <c r="G2105" s="1">
        <v>22</v>
      </c>
      <c r="H2105" s="1" t="s">
        <v>3073</v>
      </c>
      <c r="I2105" s="1" t="s">
        <v>3073</v>
      </c>
      <c r="J2105" t="str">
        <f t="shared" si="32"/>
        <v>http://www.badatelna.eu/reprodukce/?fondId=1073&amp;zaznamId=1108959&amp;reproId=3780199</v>
      </c>
      <c r="K2105">
        <f>IF(LEN(TRIM(E2105))=0,"",VLOOKUP(E2105,Sheet2!$B$1:$E$19,2,FALSE))</f>
        <v>1073</v>
      </c>
      <c r="L2105">
        <f>IF(LEN(TRIM(E2105))=0,"",VLOOKUP(E2105,Sheet2!$B$1:$E$19,3,FALSE))</f>
        <v>1108959</v>
      </c>
      <c r="M2105">
        <f>IF(LEN(TRIM(E2105))=0,"",VLOOKUP(E2105,Sheet2!$B$1:$E$19,4,FALSE))+(F2105-1)</f>
        <v>3780199</v>
      </c>
    </row>
    <row r="2106" spans="1:17" s="1" customFormat="1" ht="15" customHeight="1" x14ac:dyDescent="0.25">
      <c r="A2106" s="27" t="s">
        <v>416</v>
      </c>
      <c r="B2106" s="27" t="s">
        <v>466</v>
      </c>
      <c r="C2106" s="5" t="s">
        <v>1352</v>
      </c>
      <c r="D2106" s="3" t="s">
        <v>454</v>
      </c>
      <c r="E2106" s="3">
        <v>2170</v>
      </c>
      <c r="F2106" s="28">
        <v>17</v>
      </c>
      <c r="G2106" s="10">
        <v>13</v>
      </c>
      <c r="H2106" s="3">
        <v>69</v>
      </c>
      <c r="I2106" s="3">
        <v>65</v>
      </c>
      <c r="J2106" t="str">
        <f t="shared" si="32"/>
        <v>http://www.badatelna.eu/reprodukce/?fondId=1073&amp;zaznamId=1108956&amp;reproId=3779609</v>
      </c>
      <c r="K2106">
        <f>IF(LEN(TRIM(E2106))=0,"",VLOOKUP(E2106,Sheet2!$B$1:$E$19,2,FALSE))</f>
        <v>1073</v>
      </c>
      <c r="L2106">
        <f>IF(LEN(TRIM(E2106))=0,"",VLOOKUP(E2106,Sheet2!$B$1:$E$19,3,FALSE))</f>
        <v>1108956</v>
      </c>
      <c r="M2106">
        <f>IF(LEN(TRIM(E2106))=0,"",VLOOKUP(E2106,Sheet2!$B$1:$E$19,4,FALSE))+(F2106-1)</f>
        <v>3779609</v>
      </c>
    </row>
    <row r="2107" spans="1:17" s="1" customFormat="1" ht="15" customHeight="1" x14ac:dyDescent="0.25">
      <c r="A2107" s="27" t="s">
        <v>416</v>
      </c>
      <c r="B2107" s="27" t="s">
        <v>599</v>
      </c>
      <c r="C2107" s="5" t="s">
        <v>1351</v>
      </c>
      <c r="D2107" s="3" t="s">
        <v>454</v>
      </c>
      <c r="E2107" s="3">
        <v>2170</v>
      </c>
      <c r="F2107" s="28">
        <v>48</v>
      </c>
      <c r="G2107" s="10">
        <v>44</v>
      </c>
      <c r="H2107" s="3">
        <v>69</v>
      </c>
      <c r="I2107" s="3">
        <v>65</v>
      </c>
      <c r="J2107" t="str">
        <f t="shared" si="32"/>
        <v>http://www.badatelna.eu/reprodukce/?fondId=1073&amp;zaznamId=1108956&amp;reproId=3779640</v>
      </c>
      <c r="K2107">
        <f>IF(LEN(TRIM(E2107))=0,"",VLOOKUP(E2107,Sheet2!$B$1:$E$19,2,FALSE))</f>
        <v>1073</v>
      </c>
      <c r="L2107">
        <f>IF(LEN(TRIM(E2107))=0,"",VLOOKUP(E2107,Sheet2!$B$1:$E$19,3,FALSE))</f>
        <v>1108956</v>
      </c>
      <c r="M2107">
        <f>IF(LEN(TRIM(E2107))=0,"",VLOOKUP(E2107,Sheet2!$B$1:$E$19,4,FALSE))+(F2107-1)</f>
        <v>3779640</v>
      </c>
    </row>
    <row r="2108" spans="1:17" s="1" customFormat="1" ht="15" customHeight="1" x14ac:dyDescent="0.25">
      <c r="A2108" s="27" t="s">
        <v>416</v>
      </c>
      <c r="B2108" s="27" t="s">
        <v>600</v>
      </c>
      <c r="C2108" s="5" t="s">
        <v>1353</v>
      </c>
      <c r="D2108" s="3" t="s">
        <v>454</v>
      </c>
      <c r="E2108" s="3">
        <v>2170</v>
      </c>
      <c r="F2108" s="31">
        <v>8</v>
      </c>
      <c r="G2108" s="10">
        <v>4</v>
      </c>
      <c r="H2108" s="3">
        <v>69</v>
      </c>
      <c r="I2108" s="3">
        <v>65</v>
      </c>
      <c r="J2108" t="str">
        <f t="shared" si="32"/>
        <v>http://www.badatelna.eu/reprodukce/?fondId=1073&amp;zaznamId=1108956&amp;reproId=3779600</v>
      </c>
      <c r="K2108">
        <f>IF(LEN(TRIM(E2108))=0,"",VLOOKUP(E2108,Sheet2!$B$1:$E$19,2,FALSE))</f>
        <v>1073</v>
      </c>
      <c r="L2108">
        <f>IF(LEN(TRIM(E2108))=0,"",VLOOKUP(E2108,Sheet2!$B$1:$E$19,3,FALSE))</f>
        <v>1108956</v>
      </c>
      <c r="M2108">
        <f>IF(LEN(TRIM(E2108))=0,"",VLOOKUP(E2108,Sheet2!$B$1:$E$19,4,FALSE))+(F2108-1)</f>
        <v>3779600</v>
      </c>
    </row>
    <row r="2109" spans="1:17" s="1" customFormat="1" ht="15" customHeight="1" x14ac:dyDescent="0.25">
      <c r="A2109" s="27" t="s">
        <v>416</v>
      </c>
      <c r="B2109" s="27" t="s">
        <v>601</v>
      </c>
      <c r="C2109" s="5" t="s">
        <v>1354</v>
      </c>
      <c r="D2109" s="3" t="s">
        <v>454</v>
      </c>
      <c r="E2109" s="3">
        <v>2170</v>
      </c>
      <c r="F2109" s="31">
        <v>26</v>
      </c>
      <c r="G2109" s="10">
        <v>22</v>
      </c>
      <c r="H2109" s="3">
        <v>69</v>
      </c>
      <c r="I2109" s="3">
        <v>65</v>
      </c>
      <c r="J2109" t="str">
        <f t="shared" si="32"/>
        <v>http://www.badatelna.eu/reprodukce/?fondId=1073&amp;zaznamId=1108956&amp;reproId=3779618</v>
      </c>
      <c r="K2109">
        <f>IF(LEN(TRIM(E2109))=0,"",VLOOKUP(E2109,Sheet2!$B$1:$E$19,2,FALSE))</f>
        <v>1073</v>
      </c>
      <c r="L2109">
        <f>IF(LEN(TRIM(E2109))=0,"",VLOOKUP(E2109,Sheet2!$B$1:$E$19,3,FALSE))</f>
        <v>1108956</v>
      </c>
      <c r="M2109">
        <f>IF(LEN(TRIM(E2109))=0,"",VLOOKUP(E2109,Sheet2!$B$1:$E$19,4,FALSE))+(F2109-1)</f>
        <v>3779618</v>
      </c>
      <c r="N2109"/>
      <c r="O2109"/>
      <c r="P2109"/>
      <c r="Q2109"/>
    </row>
    <row r="2110" spans="1:17" s="1" customFormat="1" ht="15" customHeight="1" x14ac:dyDescent="0.25">
      <c r="A2110" s="28" t="s">
        <v>416</v>
      </c>
      <c r="B2110" s="28" t="s">
        <v>91</v>
      </c>
      <c r="C2110" s="6" t="s">
        <v>2653</v>
      </c>
      <c r="D2110" s="1" t="s">
        <v>454</v>
      </c>
      <c r="E2110" s="1">
        <v>2173</v>
      </c>
      <c r="F2110" s="28">
        <v>223</v>
      </c>
      <c r="G2110" s="9">
        <v>51</v>
      </c>
      <c r="H2110" s="1" t="s">
        <v>3073</v>
      </c>
      <c r="I2110" s="1" t="s">
        <v>3073</v>
      </c>
      <c r="J2110" t="str">
        <f t="shared" si="32"/>
        <v>http://www.badatelna.eu/reprodukce/?fondId=1073&amp;zaznamId=1108959&amp;reproId=3780216</v>
      </c>
      <c r="K2110">
        <f>IF(LEN(TRIM(E2110))=0,"",VLOOKUP(E2110,Sheet2!$B$1:$E$19,2,FALSE))</f>
        <v>1073</v>
      </c>
      <c r="L2110">
        <f>IF(LEN(TRIM(E2110))=0,"",VLOOKUP(E2110,Sheet2!$B$1:$E$19,3,FALSE))</f>
        <v>1108959</v>
      </c>
      <c r="M2110">
        <f>IF(LEN(TRIM(E2110))=0,"",VLOOKUP(E2110,Sheet2!$B$1:$E$19,4,FALSE))+(F2110-1)</f>
        <v>3780216</v>
      </c>
      <c r="N2110"/>
      <c r="O2110"/>
      <c r="P2110"/>
      <c r="Q2110"/>
    </row>
    <row r="2111" spans="1:17" s="1" customFormat="1" ht="15" customHeight="1" x14ac:dyDescent="0.25">
      <c r="A2111" s="28" t="s">
        <v>416</v>
      </c>
      <c r="B2111" s="28" t="s">
        <v>91</v>
      </c>
      <c r="C2111" s="6" t="s">
        <v>2865</v>
      </c>
      <c r="D2111" s="1" t="s">
        <v>454</v>
      </c>
      <c r="E2111" s="1">
        <v>2173</v>
      </c>
      <c r="F2111" s="28">
        <v>210</v>
      </c>
      <c r="G2111" s="9" t="s">
        <v>2863</v>
      </c>
      <c r="H2111" s="1" t="s">
        <v>3073</v>
      </c>
      <c r="I2111" s="1" t="s">
        <v>3073</v>
      </c>
      <c r="J2111" t="str">
        <f t="shared" si="32"/>
        <v>http://www.badatelna.eu/reprodukce/?fondId=1073&amp;zaznamId=1108959&amp;reproId=3780203</v>
      </c>
      <c r="K2111">
        <f>IF(LEN(TRIM(E2111))=0,"",VLOOKUP(E2111,Sheet2!$B$1:$E$19,2,FALSE))</f>
        <v>1073</v>
      </c>
      <c r="L2111">
        <f>IF(LEN(TRIM(E2111))=0,"",VLOOKUP(E2111,Sheet2!$B$1:$E$19,3,FALSE))</f>
        <v>1108959</v>
      </c>
      <c r="M2111">
        <f>IF(LEN(TRIM(E2111))=0,"",VLOOKUP(E2111,Sheet2!$B$1:$E$19,4,FALSE))+(F2111-1)</f>
        <v>3780203</v>
      </c>
      <c r="N2111"/>
      <c r="O2111"/>
      <c r="P2111"/>
      <c r="Q2111"/>
    </row>
    <row r="2112" spans="1:17" s="1" customFormat="1" ht="15" customHeight="1" x14ac:dyDescent="0.25">
      <c r="A2112" s="28" t="s">
        <v>37</v>
      </c>
      <c r="B2112" s="28" t="s">
        <v>290</v>
      </c>
      <c r="C2112" s="6" t="s">
        <v>2157</v>
      </c>
      <c r="D2112" s="1" t="s">
        <v>454</v>
      </c>
      <c r="E2112" s="1">
        <v>2173</v>
      </c>
      <c r="F2112" s="28">
        <v>179</v>
      </c>
      <c r="G2112" s="9">
        <v>4</v>
      </c>
      <c r="H2112" s="1">
        <v>191</v>
      </c>
      <c r="I2112" s="1">
        <v>425</v>
      </c>
      <c r="J2112" t="str">
        <f t="shared" si="32"/>
        <v>http://www.badatelna.eu/reprodukce/?fondId=1073&amp;zaznamId=1108959&amp;reproId=3780172</v>
      </c>
      <c r="K2112">
        <f>IF(LEN(TRIM(E2112))=0,"",VLOOKUP(E2112,Sheet2!$B$1:$E$19,2,FALSE))</f>
        <v>1073</v>
      </c>
      <c r="L2112">
        <f>IF(LEN(TRIM(E2112))=0,"",VLOOKUP(E2112,Sheet2!$B$1:$E$19,3,FALSE))</f>
        <v>1108959</v>
      </c>
      <c r="M2112">
        <f>IF(LEN(TRIM(E2112))=0,"",VLOOKUP(E2112,Sheet2!$B$1:$E$19,4,FALSE))+(F2112-1)</f>
        <v>3780172</v>
      </c>
    </row>
    <row r="2113" spans="1:17" s="1" customFormat="1" ht="15" customHeight="1" x14ac:dyDescent="0.25">
      <c r="A2113" s="28" t="s">
        <v>37</v>
      </c>
      <c r="B2113" s="28" t="s">
        <v>288</v>
      </c>
      <c r="C2113" s="6" t="s">
        <v>1647</v>
      </c>
      <c r="D2113" s="1" t="s">
        <v>454</v>
      </c>
      <c r="E2113" s="1">
        <v>2172</v>
      </c>
      <c r="F2113" s="28">
        <v>93</v>
      </c>
      <c r="G2113" s="9">
        <v>92</v>
      </c>
      <c r="H2113" s="1">
        <v>97</v>
      </c>
      <c r="I2113" s="1">
        <v>96</v>
      </c>
      <c r="J2113" t="str">
        <f t="shared" si="32"/>
        <v>http://www.badatelna.eu/reprodukce/?fondId=1073&amp;zaznamId=1108958&amp;reproId=3779834</v>
      </c>
      <c r="K2113">
        <f>IF(LEN(TRIM(E2113))=0,"",VLOOKUP(E2113,Sheet2!$B$1:$E$19,2,FALSE))</f>
        <v>1073</v>
      </c>
      <c r="L2113">
        <f>IF(LEN(TRIM(E2113))=0,"",VLOOKUP(E2113,Sheet2!$B$1:$E$19,3,FALSE))</f>
        <v>1108958</v>
      </c>
      <c r="M2113">
        <f>IF(LEN(TRIM(E2113))=0,"",VLOOKUP(E2113,Sheet2!$B$1:$E$19,4,FALSE))+(F2113-1)</f>
        <v>3779834</v>
      </c>
    </row>
    <row r="2114" spans="1:17" s="1" customFormat="1" ht="15" customHeight="1" x14ac:dyDescent="0.25">
      <c r="A2114" s="27" t="s">
        <v>37</v>
      </c>
      <c r="B2114" s="27" t="s">
        <v>602</v>
      </c>
      <c r="C2114" s="5" t="s">
        <v>1355</v>
      </c>
      <c r="D2114" s="3" t="s">
        <v>454</v>
      </c>
      <c r="E2114" s="3">
        <v>2170</v>
      </c>
      <c r="F2114" s="28">
        <v>23</v>
      </c>
      <c r="G2114" s="10">
        <v>19</v>
      </c>
      <c r="H2114" s="3">
        <v>69</v>
      </c>
      <c r="I2114" s="3">
        <v>65</v>
      </c>
      <c r="J2114" t="str">
        <f t="shared" si="32"/>
        <v>http://www.badatelna.eu/reprodukce/?fondId=1073&amp;zaznamId=1108956&amp;reproId=3779615</v>
      </c>
      <c r="K2114">
        <f>IF(LEN(TRIM(E2114))=0,"",VLOOKUP(E2114,Sheet2!$B$1:$E$19,2,FALSE))</f>
        <v>1073</v>
      </c>
      <c r="L2114">
        <f>IF(LEN(TRIM(E2114))=0,"",VLOOKUP(E2114,Sheet2!$B$1:$E$19,3,FALSE))</f>
        <v>1108956</v>
      </c>
      <c r="M2114">
        <f>IF(LEN(TRIM(E2114))=0,"",VLOOKUP(E2114,Sheet2!$B$1:$E$19,4,FALSE))+(F2114-1)</f>
        <v>3779615</v>
      </c>
    </row>
    <row r="2115" spans="1:17" s="1" customFormat="1" ht="15" customHeight="1" x14ac:dyDescent="0.25">
      <c r="A2115" s="28" t="s">
        <v>37</v>
      </c>
      <c r="B2115" s="28" t="s">
        <v>263</v>
      </c>
      <c r="C2115" s="6" t="s">
        <v>1986</v>
      </c>
      <c r="D2115" s="1" t="s">
        <v>454</v>
      </c>
      <c r="E2115" s="1">
        <v>2173</v>
      </c>
      <c r="F2115" s="28">
        <v>179</v>
      </c>
      <c r="G2115" s="9">
        <v>4</v>
      </c>
      <c r="H2115" s="1">
        <v>191</v>
      </c>
      <c r="I2115" s="1">
        <v>425</v>
      </c>
      <c r="J2115" t="str">
        <f t="shared" ref="J2115:J2178" si="33">IF(LEN(TRIM(E2115))=0,"","http://www.badatelna.eu/reprodukce/?fondId="&amp;K2115&amp;"&amp;zaznamId="&amp;L2115&amp;"&amp;reproId="&amp;M2115)</f>
        <v>http://www.badatelna.eu/reprodukce/?fondId=1073&amp;zaznamId=1108959&amp;reproId=3780172</v>
      </c>
      <c r="K2115">
        <f>IF(LEN(TRIM(E2115))=0,"",VLOOKUP(E2115,Sheet2!$B$1:$E$19,2,FALSE))</f>
        <v>1073</v>
      </c>
      <c r="L2115">
        <f>IF(LEN(TRIM(E2115))=0,"",VLOOKUP(E2115,Sheet2!$B$1:$E$19,3,FALSE))</f>
        <v>1108959</v>
      </c>
      <c r="M2115">
        <f>IF(LEN(TRIM(E2115))=0,"",VLOOKUP(E2115,Sheet2!$B$1:$E$19,4,FALSE))+(F2115-1)</f>
        <v>3780172</v>
      </c>
    </row>
    <row r="2116" spans="1:17" s="1" customFormat="1" ht="15" customHeight="1" x14ac:dyDescent="0.25">
      <c r="A2116" s="28" t="s">
        <v>37</v>
      </c>
      <c r="B2116" s="28" t="s">
        <v>263</v>
      </c>
      <c r="C2116" s="6" t="s">
        <v>1538</v>
      </c>
      <c r="D2116" s="1" t="s">
        <v>454</v>
      </c>
      <c r="E2116" s="1">
        <v>2172</v>
      </c>
      <c r="F2116" s="28">
        <v>15</v>
      </c>
      <c r="G2116" s="9">
        <v>14</v>
      </c>
      <c r="H2116" s="1" t="s">
        <v>3073</v>
      </c>
      <c r="I2116" s="1" t="s">
        <v>3073</v>
      </c>
      <c r="J2116" t="str">
        <f t="shared" si="33"/>
        <v>http://www.badatelna.eu/reprodukce/?fondId=1073&amp;zaznamId=1108958&amp;reproId=3779756</v>
      </c>
      <c r="K2116">
        <f>IF(LEN(TRIM(E2116))=0,"",VLOOKUP(E2116,Sheet2!$B$1:$E$19,2,FALSE))</f>
        <v>1073</v>
      </c>
      <c r="L2116">
        <f>IF(LEN(TRIM(E2116))=0,"",VLOOKUP(E2116,Sheet2!$B$1:$E$19,3,FALSE))</f>
        <v>1108958</v>
      </c>
      <c r="M2116">
        <f>IF(LEN(TRIM(E2116))=0,"",VLOOKUP(E2116,Sheet2!$B$1:$E$19,4,FALSE))+(F2116-1)</f>
        <v>3779756</v>
      </c>
    </row>
    <row r="2117" spans="1:17" s="1" customFormat="1" ht="15" customHeight="1" x14ac:dyDescent="0.25">
      <c r="A2117" s="28" t="s">
        <v>37</v>
      </c>
      <c r="B2117" s="29" t="s">
        <v>154</v>
      </c>
      <c r="C2117" s="6" t="s">
        <v>2242</v>
      </c>
      <c r="D2117" s="1" t="s">
        <v>454</v>
      </c>
      <c r="E2117" s="1">
        <v>2173</v>
      </c>
      <c r="F2117" s="28">
        <v>196</v>
      </c>
      <c r="G2117" s="9">
        <v>2</v>
      </c>
      <c r="H2117" s="1" t="s">
        <v>3073</v>
      </c>
      <c r="I2117" s="1" t="s">
        <v>3073</v>
      </c>
      <c r="J2117" t="str">
        <f t="shared" si="33"/>
        <v>http://www.badatelna.eu/reprodukce/?fondId=1073&amp;zaznamId=1108959&amp;reproId=3780189</v>
      </c>
      <c r="K2117">
        <f>IF(LEN(TRIM(E2117))=0,"",VLOOKUP(E2117,Sheet2!$B$1:$E$19,2,FALSE))</f>
        <v>1073</v>
      </c>
      <c r="L2117">
        <f>IF(LEN(TRIM(E2117))=0,"",VLOOKUP(E2117,Sheet2!$B$1:$E$19,3,FALSE))</f>
        <v>1108959</v>
      </c>
      <c r="M2117">
        <f>IF(LEN(TRIM(E2117))=0,"",VLOOKUP(E2117,Sheet2!$B$1:$E$19,4,FALSE))+(F2117-1)</f>
        <v>3780189</v>
      </c>
    </row>
    <row r="2118" spans="1:17" s="1" customFormat="1" ht="15" customHeight="1" x14ac:dyDescent="0.25">
      <c r="A2118" s="29" t="s">
        <v>37</v>
      </c>
      <c r="B2118" s="29" t="s">
        <v>806</v>
      </c>
      <c r="C2118" s="6" t="s">
        <v>2409</v>
      </c>
      <c r="D2118" s="1" t="s">
        <v>454</v>
      </c>
      <c r="E2118" s="1">
        <v>2173</v>
      </c>
      <c r="F2118" s="28">
        <v>202</v>
      </c>
      <c r="G2118" s="9">
        <v>14</v>
      </c>
      <c r="H2118" s="1" t="s">
        <v>3073</v>
      </c>
      <c r="I2118" s="1" t="s">
        <v>3073</v>
      </c>
      <c r="J2118" t="str">
        <f t="shared" si="33"/>
        <v>http://www.badatelna.eu/reprodukce/?fondId=1073&amp;zaznamId=1108959&amp;reproId=3780195</v>
      </c>
      <c r="K2118">
        <f>IF(LEN(TRIM(E2118))=0,"",VLOOKUP(E2118,Sheet2!$B$1:$E$19,2,FALSE))</f>
        <v>1073</v>
      </c>
      <c r="L2118">
        <f>IF(LEN(TRIM(E2118))=0,"",VLOOKUP(E2118,Sheet2!$B$1:$E$19,3,FALSE))</f>
        <v>1108959</v>
      </c>
      <c r="M2118">
        <f>IF(LEN(TRIM(E2118))=0,"",VLOOKUP(E2118,Sheet2!$B$1:$E$19,4,FALSE))+(F2118-1)</f>
        <v>3780195</v>
      </c>
      <c r="N2118"/>
      <c r="O2118"/>
      <c r="P2118"/>
      <c r="Q2118"/>
    </row>
    <row r="2119" spans="1:17" s="1" customFormat="1" ht="15" customHeight="1" x14ac:dyDescent="0.25">
      <c r="A2119" s="28" t="s">
        <v>37</v>
      </c>
      <c r="B2119" s="28" t="s">
        <v>48</v>
      </c>
      <c r="C2119" s="6" t="s">
        <v>2273</v>
      </c>
      <c r="D2119" s="1" t="s">
        <v>454</v>
      </c>
      <c r="E2119" s="1">
        <v>2173</v>
      </c>
      <c r="F2119" s="31">
        <v>197</v>
      </c>
      <c r="G2119" s="12">
        <v>4</v>
      </c>
      <c r="H2119" s="1" t="s">
        <v>3073</v>
      </c>
      <c r="I2119" s="1" t="s">
        <v>3073</v>
      </c>
      <c r="J2119" t="str">
        <f t="shared" si="33"/>
        <v>http://www.badatelna.eu/reprodukce/?fondId=1073&amp;zaznamId=1108959&amp;reproId=3780190</v>
      </c>
      <c r="K2119">
        <f>IF(LEN(TRIM(E2119))=0,"",VLOOKUP(E2119,Sheet2!$B$1:$E$19,2,FALSE))</f>
        <v>1073</v>
      </c>
      <c r="L2119">
        <f>IF(LEN(TRIM(E2119))=0,"",VLOOKUP(E2119,Sheet2!$B$1:$E$19,3,FALSE))</f>
        <v>1108959</v>
      </c>
      <c r="M2119">
        <f>IF(LEN(TRIM(E2119))=0,"",VLOOKUP(E2119,Sheet2!$B$1:$E$19,4,FALSE))+(F2119-1)</f>
        <v>3780190</v>
      </c>
    </row>
    <row r="2120" spans="1:17" s="1" customFormat="1" ht="15" customHeight="1" x14ac:dyDescent="0.25">
      <c r="A2120" s="28" t="s">
        <v>37</v>
      </c>
      <c r="B2120" s="28" t="s">
        <v>48</v>
      </c>
      <c r="C2120" s="6" t="s">
        <v>2601</v>
      </c>
      <c r="D2120" s="1" t="s">
        <v>454</v>
      </c>
      <c r="E2120" s="1">
        <v>2173</v>
      </c>
      <c r="F2120" s="28">
        <v>217</v>
      </c>
      <c r="G2120" s="9">
        <v>44</v>
      </c>
      <c r="H2120" s="1" t="s">
        <v>3073</v>
      </c>
      <c r="I2120" s="1" t="s">
        <v>3073</v>
      </c>
      <c r="J2120" t="str">
        <f t="shared" si="33"/>
        <v>http://www.badatelna.eu/reprodukce/?fondId=1073&amp;zaznamId=1108959&amp;reproId=3780210</v>
      </c>
      <c r="K2120">
        <f>IF(LEN(TRIM(E2120))=0,"",VLOOKUP(E2120,Sheet2!$B$1:$E$19,2,FALSE))</f>
        <v>1073</v>
      </c>
      <c r="L2120">
        <f>IF(LEN(TRIM(E2120))=0,"",VLOOKUP(E2120,Sheet2!$B$1:$E$19,3,FALSE))</f>
        <v>1108959</v>
      </c>
      <c r="M2120">
        <f>IF(LEN(TRIM(E2120))=0,"",VLOOKUP(E2120,Sheet2!$B$1:$E$19,4,FALSE))+(F2120-1)</f>
        <v>3780210</v>
      </c>
    </row>
    <row r="2121" spans="1:17" s="1" customFormat="1" ht="15" customHeight="1" x14ac:dyDescent="0.25">
      <c r="A2121" s="27" t="s">
        <v>37</v>
      </c>
      <c r="B2121" s="27" t="s">
        <v>54</v>
      </c>
      <c r="C2121" s="5" t="s">
        <v>1356</v>
      </c>
      <c r="D2121" s="3" t="s">
        <v>454</v>
      </c>
      <c r="E2121" s="3">
        <v>2170</v>
      </c>
      <c r="F2121" s="28">
        <v>54</v>
      </c>
      <c r="G2121" s="10">
        <v>50</v>
      </c>
      <c r="H2121" s="3">
        <v>69</v>
      </c>
      <c r="I2121" s="3">
        <v>65</v>
      </c>
      <c r="J2121" t="str">
        <f t="shared" si="33"/>
        <v>http://www.badatelna.eu/reprodukce/?fondId=1073&amp;zaznamId=1108956&amp;reproId=3779646</v>
      </c>
      <c r="K2121">
        <f>IF(LEN(TRIM(E2121))=0,"",VLOOKUP(E2121,Sheet2!$B$1:$E$19,2,FALSE))</f>
        <v>1073</v>
      </c>
      <c r="L2121">
        <f>IF(LEN(TRIM(E2121))=0,"",VLOOKUP(E2121,Sheet2!$B$1:$E$19,3,FALSE))</f>
        <v>1108956</v>
      </c>
      <c r="M2121">
        <f>IF(LEN(TRIM(E2121))=0,"",VLOOKUP(E2121,Sheet2!$B$1:$E$19,4,FALSE))+(F2121-1)</f>
        <v>3779646</v>
      </c>
    </row>
    <row r="2122" spans="1:17" s="1" customFormat="1" ht="15" customHeight="1" x14ac:dyDescent="0.25">
      <c r="A2122" s="27" t="s">
        <v>399</v>
      </c>
      <c r="B2122" s="27" t="s">
        <v>314</v>
      </c>
      <c r="C2122" s="5" t="s">
        <v>1357</v>
      </c>
      <c r="D2122" s="3" t="s">
        <v>454</v>
      </c>
      <c r="E2122" s="3">
        <v>2170</v>
      </c>
      <c r="F2122" s="28">
        <v>30</v>
      </c>
      <c r="G2122" s="10">
        <v>26</v>
      </c>
      <c r="H2122" s="3">
        <v>69</v>
      </c>
      <c r="I2122" s="3">
        <v>65</v>
      </c>
      <c r="J2122" t="str">
        <f t="shared" si="33"/>
        <v>http://www.badatelna.eu/reprodukce/?fondId=1073&amp;zaznamId=1108956&amp;reproId=3779622</v>
      </c>
      <c r="K2122">
        <f>IF(LEN(TRIM(E2122))=0,"",VLOOKUP(E2122,Sheet2!$B$1:$E$19,2,FALSE))</f>
        <v>1073</v>
      </c>
      <c r="L2122">
        <f>IF(LEN(TRIM(E2122))=0,"",VLOOKUP(E2122,Sheet2!$B$1:$E$19,3,FALSE))</f>
        <v>1108956</v>
      </c>
      <c r="M2122">
        <f>IF(LEN(TRIM(E2122))=0,"",VLOOKUP(E2122,Sheet2!$B$1:$E$19,4,FALSE))+(F2122-1)</f>
        <v>3779622</v>
      </c>
    </row>
    <row r="2123" spans="1:17" s="1" customFormat="1" ht="15" customHeight="1" x14ac:dyDescent="0.25">
      <c r="A2123" s="28" t="s">
        <v>399</v>
      </c>
      <c r="B2123" s="28" t="s">
        <v>39</v>
      </c>
      <c r="C2123" s="6" t="s">
        <v>2609</v>
      </c>
      <c r="D2123" s="1" t="s">
        <v>454</v>
      </c>
      <c r="E2123" s="1">
        <v>2173</v>
      </c>
      <c r="F2123" s="28">
        <v>218</v>
      </c>
      <c r="G2123" s="9">
        <v>45</v>
      </c>
      <c r="H2123" s="1" t="s">
        <v>3073</v>
      </c>
      <c r="I2123" s="1" t="s">
        <v>3073</v>
      </c>
      <c r="J2123" t="str">
        <f t="shared" si="33"/>
        <v>http://www.badatelna.eu/reprodukce/?fondId=1073&amp;zaznamId=1108959&amp;reproId=3780211</v>
      </c>
      <c r="K2123">
        <f>IF(LEN(TRIM(E2123))=0,"",VLOOKUP(E2123,Sheet2!$B$1:$E$19,2,FALSE))</f>
        <v>1073</v>
      </c>
      <c r="L2123">
        <f>IF(LEN(TRIM(E2123))=0,"",VLOOKUP(E2123,Sheet2!$B$1:$E$19,3,FALSE))</f>
        <v>1108959</v>
      </c>
      <c r="M2123">
        <f>IF(LEN(TRIM(E2123))=0,"",VLOOKUP(E2123,Sheet2!$B$1:$E$19,4,FALSE))+(F2123-1)</f>
        <v>3780211</v>
      </c>
      <c r="N2123"/>
      <c r="O2123"/>
      <c r="P2123"/>
      <c r="Q2123"/>
    </row>
    <row r="2124" spans="1:17" s="1" customFormat="1" ht="15" customHeight="1" x14ac:dyDescent="0.25">
      <c r="A2124" s="28"/>
      <c r="B2124" s="28"/>
      <c r="C2124" s="38" t="s">
        <v>3134</v>
      </c>
      <c r="F2124" s="28"/>
      <c r="G2124" s="9"/>
      <c r="J2124" t="str">
        <f t="shared" si="33"/>
        <v/>
      </c>
      <c r="K2124" t="str">
        <f>IF(LEN(TRIM(E2124))=0,"",VLOOKUP(E2124,Sheet2!$B$1:$E$19,2,FALSE))</f>
        <v/>
      </c>
      <c r="L2124" t="str">
        <f>IF(LEN(TRIM(E2124))=0,"",VLOOKUP(E2124,Sheet2!$B$1:$E$19,3,FALSE))</f>
        <v/>
      </c>
      <c r="M2124" t="e">
        <f>IF(LEN(TRIM(E2124))=0,"",VLOOKUP(E2124,Sheet2!$B$1:$E$19,4,FALSE))+(F2124-1)</f>
        <v>#VALUE!</v>
      </c>
      <c r="N2124"/>
      <c r="O2124"/>
      <c r="P2124"/>
      <c r="Q2124"/>
    </row>
    <row r="2125" spans="1:17" s="1" customFormat="1" ht="15" customHeight="1" x14ac:dyDescent="0.25">
      <c r="A2125" s="28" t="s">
        <v>244</v>
      </c>
      <c r="B2125" s="28" t="s">
        <v>177</v>
      </c>
      <c r="C2125" s="6" t="s">
        <v>2567</v>
      </c>
      <c r="D2125" s="1" t="s">
        <v>454</v>
      </c>
      <c r="E2125" s="1">
        <v>2173</v>
      </c>
      <c r="F2125" s="28">
        <v>208</v>
      </c>
      <c r="G2125" s="1">
        <v>26</v>
      </c>
      <c r="H2125" s="1" t="s">
        <v>3073</v>
      </c>
      <c r="I2125" s="1" t="s">
        <v>3073</v>
      </c>
      <c r="J2125" t="str">
        <f t="shared" si="33"/>
        <v>http://www.badatelna.eu/reprodukce/?fondId=1073&amp;zaznamId=1108959&amp;reproId=3780201</v>
      </c>
      <c r="K2125">
        <f>IF(LEN(TRIM(E2125))=0,"",VLOOKUP(E2125,Sheet2!$B$1:$E$19,2,FALSE))</f>
        <v>1073</v>
      </c>
      <c r="L2125">
        <f>IF(LEN(TRIM(E2125))=0,"",VLOOKUP(E2125,Sheet2!$B$1:$E$19,3,FALSE))</f>
        <v>1108959</v>
      </c>
      <c r="M2125">
        <f>IF(LEN(TRIM(E2125))=0,"",VLOOKUP(E2125,Sheet2!$B$1:$E$19,4,FALSE))+(F2125-1)</f>
        <v>3780201</v>
      </c>
    </row>
    <row r="2126" spans="1:17" s="1" customFormat="1" ht="15" customHeight="1" x14ac:dyDescent="0.25">
      <c r="A2126" s="28" t="s">
        <v>76</v>
      </c>
      <c r="B2126" s="28" t="s">
        <v>75</v>
      </c>
      <c r="C2126" s="6" t="s">
        <v>2274</v>
      </c>
      <c r="D2126" s="1" t="s">
        <v>454</v>
      </c>
      <c r="E2126" s="1">
        <v>2173</v>
      </c>
      <c r="F2126" s="31">
        <v>197</v>
      </c>
      <c r="G2126" s="12">
        <v>4</v>
      </c>
      <c r="H2126" s="1" t="s">
        <v>3073</v>
      </c>
      <c r="I2126" s="1" t="s">
        <v>3073</v>
      </c>
      <c r="J2126" t="str">
        <f t="shared" si="33"/>
        <v>http://www.badatelna.eu/reprodukce/?fondId=1073&amp;zaznamId=1108959&amp;reproId=3780190</v>
      </c>
      <c r="K2126">
        <f>IF(LEN(TRIM(E2126))=0,"",VLOOKUP(E2126,Sheet2!$B$1:$E$19,2,FALSE))</f>
        <v>1073</v>
      </c>
      <c r="L2126">
        <f>IF(LEN(TRIM(E2126))=0,"",VLOOKUP(E2126,Sheet2!$B$1:$E$19,3,FALSE))</f>
        <v>1108959</v>
      </c>
      <c r="M2126">
        <f>IF(LEN(TRIM(E2126))=0,"",VLOOKUP(E2126,Sheet2!$B$1:$E$19,4,FALSE))+(F2126-1)</f>
        <v>3780190</v>
      </c>
      <c r="N2126"/>
      <c r="O2126"/>
      <c r="P2126"/>
      <c r="Q2126"/>
    </row>
    <row r="2127" spans="1:17" s="1" customFormat="1" ht="15" customHeight="1" x14ac:dyDescent="0.25">
      <c r="A2127" s="28" t="s">
        <v>76</v>
      </c>
      <c r="B2127" s="28" t="s">
        <v>19</v>
      </c>
      <c r="C2127" s="1">
        <v>1857</v>
      </c>
      <c r="D2127" s="1" t="s">
        <v>2919</v>
      </c>
      <c r="E2127" s="1">
        <v>998</v>
      </c>
      <c r="F2127" s="28">
        <v>52</v>
      </c>
      <c r="G2127" s="1">
        <v>50</v>
      </c>
      <c r="H2127" s="1">
        <v>77</v>
      </c>
      <c r="I2127" s="1">
        <v>75</v>
      </c>
      <c r="J2127" t="str">
        <f t="shared" si="33"/>
        <v>http://www.badatelna.eu/reprodukce/?fondId=241&amp;zaznamId=1133738&amp;reproId=3885698</v>
      </c>
      <c r="K2127">
        <f>IF(LEN(TRIM(E2127))=0,"",VLOOKUP(E2127,Sheet2!$B$1:$E$19,2,FALSE))</f>
        <v>241</v>
      </c>
      <c r="L2127">
        <f>IF(LEN(TRIM(E2127))=0,"",VLOOKUP(E2127,Sheet2!$B$1:$E$19,3,FALSE))</f>
        <v>1133738</v>
      </c>
      <c r="M2127">
        <f>IF(LEN(TRIM(E2127))=0,"",VLOOKUP(E2127,Sheet2!$B$1:$E$19,4,FALSE))+(F2127-1)</f>
        <v>3885698</v>
      </c>
    </row>
    <row r="2128" spans="1:17" s="1" customFormat="1" ht="15" customHeight="1" x14ac:dyDescent="0.25">
      <c r="A2128" s="28" t="s">
        <v>76</v>
      </c>
      <c r="B2128" s="28" t="s">
        <v>304</v>
      </c>
      <c r="C2128" s="6" t="s">
        <v>2158</v>
      </c>
      <c r="D2128" s="1" t="s">
        <v>454</v>
      </c>
      <c r="E2128" s="1">
        <v>2173</v>
      </c>
      <c r="F2128" s="28">
        <v>178</v>
      </c>
      <c r="G2128" s="9">
        <v>3</v>
      </c>
      <c r="H2128" s="1">
        <v>191</v>
      </c>
      <c r="I2128" s="1">
        <v>425</v>
      </c>
      <c r="J2128" t="str">
        <f t="shared" si="33"/>
        <v>http://www.badatelna.eu/reprodukce/?fondId=1073&amp;zaznamId=1108959&amp;reproId=3780171</v>
      </c>
      <c r="K2128">
        <f>IF(LEN(TRIM(E2128))=0,"",VLOOKUP(E2128,Sheet2!$B$1:$E$19,2,FALSE))</f>
        <v>1073</v>
      </c>
      <c r="L2128">
        <f>IF(LEN(TRIM(E2128))=0,"",VLOOKUP(E2128,Sheet2!$B$1:$E$19,3,FALSE))</f>
        <v>1108959</v>
      </c>
      <c r="M2128">
        <f>IF(LEN(TRIM(E2128))=0,"",VLOOKUP(E2128,Sheet2!$B$1:$E$19,4,FALSE))+(F2128-1)</f>
        <v>3780171</v>
      </c>
      <c r="N2128"/>
      <c r="O2128"/>
      <c r="P2128"/>
      <c r="Q2128"/>
    </row>
    <row r="2129" spans="1:17" s="1" customFormat="1" ht="15" customHeight="1" x14ac:dyDescent="0.25">
      <c r="A2129" s="28" t="s">
        <v>76</v>
      </c>
      <c r="B2129" s="28" t="s">
        <v>1001</v>
      </c>
      <c r="C2129" s="6" t="s">
        <v>1684</v>
      </c>
      <c r="D2129" s="1" t="s">
        <v>454</v>
      </c>
      <c r="E2129" s="1">
        <v>2172</v>
      </c>
      <c r="F2129" s="28">
        <v>107</v>
      </c>
      <c r="G2129" s="9">
        <v>106</v>
      </c>
      <c r="H2129" s="1">
        <v>110</v>
      </c>
      <c r="I2129" s="1">
        <v>109</v>
      </c>
      <c r="J2129" t="str">
        <f t="shared" si="33"/>
        <v>http://www.badatelna.eu/reprodukce/?fondId=1073&amp;zaznamId=1108958&amp;reproId=3779848</v>
      </c>
      <c r="K2129">
        <f>IF(LEN(TRIM(E2129))=0,"",VLOOKUP(E2129,Sheet2!$B$1:$E$19,2,FALSE))</f>
        <v>1073</v>
      </c>
      <c r="L2129">
        <f>IF(LEN(TRIM(E2129))=0,"",VLOOKUP(E2129,Sheet2!$B$1:$E$19,3,FALSE))</f>
        <v>1108958</v>
      </c>
      <c r="M2129">
        <f>IF(LEN(TRIM(E2129))=0,"",VLOOKUP(E2129,Sheet2!$B$1:$E$19,4,FALSE))+(F2129-1)</f>
        <v>3779848</v>
      </c>
    </row>
    <row r="2130" spans="1:17" s="1" customFormat="1" ht="15" customHeight="1" x14ac:dyDescent="0.25">
      <c r="A2130" s="28" t="s">
        <v>76</v>
      </c>
      <c r="B2130" s="28" t="s">
        <v>2999</v>
      </c>
      <c r="C2130" s="1">
        <v>1851</v>
      </c>
      <c r="D2130" s="1" t="s">
        <v>2919</v>
      </c>
      <c r="E2130" s="1">
        <v>998</v>
      </c>
      <c r="F2130" s="28">
        <v>33</v>
      </c>
      <c r="G2130" s="1">
        <v>31</v>
      </c>
      <c r="H2130" s="1">
        <v>77</v>
      </c>
      <c r="I2130" s="1">
        <v>75</v>
      </c>
      <c r="J2130" t="str">
        <f t="shared" si="33"/>
        <v>http://www.badatelna.eu/reprodukce/?fondId=241&amp;zaznamId=1133738&amp;reproId=3885679</v>
      </c>
      <c r="K2130">
        <f>IF(LEN(TRIM(E2130))=0,"",VLOOKUP(E2130,Sheet2!$B$1:$E$19,2,FALSE))</f>
        <v>241</v>
      </c>
      <c r="L2130">
        <f>IF(LEN(TRIM(E2130))=0,"",VLOOKUP(E2130,Sheet2!$B$1:$E$19,3,FALSE))</f>
        <v>1133738</v>
      </c>
      <c r="M2130">
        <f>IF(LEN(TRIM(E2130))=0,"",VLOOKUP(E2130,Sheet2!$B$1:$E$19,4,FALSE))+(F2130-1)</f>
        <v>3885679</v>
      </c>
    </row>
    <row r="2131" spans="1:17" s="1" customFormat="1" ht="15" customHeight="1" x14ac:dyDescent="0.25">
      <c r="A2131" s="28" t="s">
        <v>76</v>
      </c>
      <c r="B2131" s="28" t="s">
        <v>22</v>
      </c>
      <c r="C2131" s="1">
        <v>1862</v>
      </c>
      <c r="D2131" s="1" t="s">
        <v>2919</v>
      </c>
      <c r="E2131" s="1">
        <v>999</v>
      </c>
      <c r="F2131" s="28">
        <v>81</v>
      </c>
      <c r="G2131" s="1">
        <v>2</v>
      </c>
      <c r="H2131" s="1">
        <v>107</v>
      </c>
      <c r="I2131" s="1">
        <v>167</v>
      </c>
      <c r="J2131" t="str">
        <f t="shared" si="33"/>
        <v>http://www.badatelna.eu/reprodukce/?fondId=241&amp;zaznamId=1133739&amp;reproId=3885810</v>
      </c>
      <c r="K2131">
        <f>IF(LEN(TRIM(E2131))=0,"",VLOOKUP(E2131,Sheet2!$B$1:$E$19,2,FALSE))</f>
        <v>241</v>
      </c>
      <c r="L2131">
        <f>IF(LEN(TRIM(E2131))=0,"",VLOOKUP(E2131,Sheet2!$B$1:$E$19,3,FALSE))</f>
        <v>1133739</v>
      </c>
      <c r="M2131">
        <f>IF(LEN(TRIM(E2131))=0,"",VLOOKUP(E2131,Sheet2!$B$1:$E$19,4,FALSE))+(F2131-1)</f>
        <v>3885810</v>
      </c>
    </row>
    <row r="2132" spans="1:17" s="1" customFormat="1" ht="15" customHeight="1" x14ac:dyDescent="0.25">
      <c r="A2132" s="27" t="s">
        <v>76</v>
      </c>
      <c r="B2132" s="27" t="s">
        <v>22</v>
      </c>
      <c r="C2132" s="5" t="s">
        <v>1359</v>
      </c>
      <c r="D2132" s="3" t="s">
        <v>454</v>
      </c>
      <c r="E2132" s="3">
        <v>2170</v>
      </c>
      <c r="F2132" s="28">
        <v>5</v>
      </c>
      <c r="G2132" s="10">
        <v>1</v>
      </c>
      <c r="H2132" s="3">
        <v>69</v>
      </c>
      <c r="I2132" s="3">
        <v>65</v>
      </c>
      <c r="J2132" t="str">
        <f t="shared" si="33"/>
        <v>http://www.badatelna.eu/reprodukce/?fondId=1073&amp;zaznamId=1108956&amp;reproId=3779597</v>
      </c>
      <c r="K2132">
        <f>IF(LEN(TRIM(E2132))=0,"",VLOOKUP(E2132,Sheet2!$B$1:$E$19,2,FALSE))</f>
        <v>1073</v>
      </c>
      <c r="L2132">
        <f>IF(LEN(TRIM(E2132))=0,"",VLOOKUP(E2132,Sheet2!$B$1:$E$19,3,FALSE))</f>
        <v>1108956</v>
      </c>
      <c r="M2132">
        <f>IF(LEN(TRIM(E2132))=0,"",VLOOKUP(E2132,Sheet2!$B$1:$E$19,4,FALSE))+(F2132-1)</f>
        <v>3779597</v>
      </c>
    </row>
    <row r="2133" spans="1:17" s="1" customFormat="1" ht="15" customHeight="1" x14ac:dyDescent="0.25">
      <c r="A2133" s="27" t="s">
        <v>76</v>
      </c>
      <c r="B2133" s="27" t="s">
        <v>603</v>
      </c>
      <c r="C2133" s="5" t="s">
        <v>1487</v>
      </c>
      <c r="D2133" s="3" t="s">
        <v>454</v>
      </c>
      <c r="E2133" s="3">
        <v>2171</v>
      </c>
      <c r="F2133" s="28">
        <v>54</v>
      </c>
      <c r="G2133" s="10">
        <v>41</v>
      </c>
      <c r="H2133" s="3">
        <v>54</v>
      </c>
      <c r="I2133" s="3">
        <v>41</v>
      </c>
      <c r="J2133" t="str">
        <f t="shared" si="33"/>
        <v>http://www.badatelna.eu/reprodukce/?fondId=1073&amp;zaznamId=1108957&amp;reproId=3779721</v>
      </c>
      <c r="K2133">
        <f>IF(LEN(TRIM(E2133))=0,"",VLOOKUP(E2133,Sheet2!$B$1:$E$19,2,FALSE))</f>
        <v>1073</v>
      </c>
      <c r="L2133">
        <f>IF(LEN(TRIM(E2133))=0,"",VLOOKUP(E2133,Sheet2!$B$1:$E$19,3,FALSE))</f>
        <v>1108957</v>
      </c>
      <c r="M2133">
        <f>IF(LEN(TRIM(E2133))=0,"",VLOOKUP(E2133,Sheet2!$B$1:$E$19,4,FALSE))+(F2133-1)</f>
        <v>3779721</v>
      </c>
    </row>
    <row r="2134" spans="1:17" s="1" customFormat="1" ht="15" customHeight="1" x14ac:dyDescent="0.25">
      <c r="A2134" s="27" t="s">
        <v>76</v>
      </c>
      <c r="B2134" s="27" t="s">
        <v>604</v>
      </c>
      <c r="C2134" s="5" t="s">
        <v>1358</v>
      </c>
      <c r="D2134" s="3" t="s">
        <v>454</v>
      </c>
      <c r="E2134" s="3">
        <v>2170</v>
      </c>
      <c r="F2134" s="28">
        <v>51</v>
      </c>
      <c r="G2134" s="10">
        <v>47</v>
      </c>
      <c r="H2134" s="3">
        <v>69</v>
      </c>
      <c r="I2134" s="3">
        <v>65</v>
      </c>
      <c r="J2134" t="str">
        <f t="shared" si="33"/>
        <v>http://www.badatelna.eu/reprodukce/?fondId=1073&amp;zaznamId=1108956&amp;reproId=3779643</v>
      </c>
      <c r="K2134">
        <f>IF(LEN(TRIM(E2134))=0,"",VLOOKUP(E2134,Sheet2!$B$1:$E$19,2,FALSE))</f>
        <v>1073</v>
      </c>
      <c r="L2134">
        <f>IF(LEN(TRIM(E2134))=0,"",VLOOKUP(E2134,Sheet2!$B$1:$E$19,3,FALSE))</f>
        <v>1108956</v>
      </c>
      <c r="M2134">
        <f>IF(LEN(TRIM(E2134))=0,"",VLOOKUP(E2134,Sheet2!$B$1:$E$19,4,FALSE))+(F2134-1)</f>
        <v>3779643</v>
      </c>
      <c r="N2134"/>
      <c r="O2134"/>
      <c r="P2134"/>
      <c r="Q2134"/>
    </row>
    <row r="2135" spans="1:17" s="1" customFormat="1" ht="15" customHeight="1" x14ac:dyDescent="0.25">
      <c r="A2135" s="27"/>
      <c r="B2135" s="27"/>
      <c r="C2135" s="35" t="s">
        <v>3135</v>
      </c>
      <c r="D2135" s="3"/>
      <c r="E2135" s="3"/>
      <c r="F2135" s="28"/>
      <c r="G2135" s="10"/>
      <c r="H2135" s="3"/>
      <c r="I2135" s="3"/>
      <c r="J2135" t="str">
        <f t="shared" si="33"/>
        <v/>
      </c>
      <c r="K2135" t="str">
        <f>IF(LEN(TRIM(E2135))=0,"",VLOOKUP(E2135,Sheet2!$B$1:$E$19,2,FALSE))</f>
        <v/>
      </c>
      <c r="L2135" t="str">
        <f>IF(LEN(TRIM(E2135))=0,"",VLOOKUP(E2135,Sheet2!$B$1:$E$19,3,FALSE))</f>
        <v/>
      </c>
      <c r="M2135" t="e">
        <f>IF(LEN(TRIM(E2135))=0,"",VLOOKUP(E2135,Sheet2!$B$1:$E$19,4,FALSE))+(F2135-1)</f>
        <v>#VALUE!</v>
      </c>
      <c r="N2135"/>
      <c r="O2135"/>
      <c r="P2135"/>
      <c r="Q2135"/>
    </row>
    <row r="2136" spans="1:17" s="1" customFormat="1" ht="15" customHeight="1" x14ac:dyDescent="0.25">
      <c r="A2136" s="28" t="s">
        <v>348</v>
      </c>
      <c r="B2136" s="28" t="s">
        <v>349</v>
      </c>
      <c r="C2136" s="6" t="s">
        <v>2159</v>
      </c>
      <c r="D2136" s="1" t="s">
        <v>454</v>
      </c>
      <c r="E2136" s="1">
        <v>2173</v>
      </c>
      <c r="F2136" s="28">
        <v>181</v>
      </c>
      <c r="G2136" s="9">
        <v>8</v>
      </c>
      <c r="H2136" s="1">
        <v>191</v>
      </c>
      <c r="I2136" s="1">
        <v>425</v>
      </c>
      <c r="J2136" t="str">
        <f t="shared" si="33"/>
        <v>http://www.badatelna.eu/reprodukce/?fondId=1073&amp;zaznamId=1108959&amp;reproId=3780174</v>
      </c>
      <c r="K2136">
        <f>IF(LEN(TRIM(E2136))=0,"",VLOOKUP(E2136,Sheet2!$B$1:$E$19,2,FALSE))</f>
        <v>1073</v>
      </c>
      <c r="L2136">
        <f>IF(LEN(TRIM(E2136))=0,"",VLOOKUP(E2136,Sheet2!$B$1:$E$19,3,FALSE))</f>
        <v>1108959</v>
      </c>
      <c r="M2136">
        <f>IF(LEN(TRIM(E2136))=0,"",VLOOKUP(E2136,Sheet2!$B$1:$E$19,4,FALSE))+(F2136-1)</f>
        <v>3780174</v>
      </c>
    </row>
    <row r="2137" spans="1:17" s="1" customFormat="1" ht="15" customHeight="1" x14ac:dyDescent="0.25">
      <c r="A2137" s="28" t="s">
        <v>1002</v>
      </c>
      <c r="B2137" s="28" t="s">
        <v>1003</v>
      </c>
      <c r="C2137" s="15">
        <v>12882</v>
      </c>
      <c r="D2137" s="1" t="s">
        <v>454</v>
      </c>
      <c r="E2137" s="1">
        <v>2172</v>
      </c>
      <c r="F2137" s="28">
        <v>236</v>
      </c>
      <c r="G2137" s="9">
        <v>216</v>
      </c>
      <c r="H2137" s="1" t="s">
        <v>3073</v>
      </c>
      <c r="I2137" s="1" t="s">
        <v>3073</v>
      </c>
      <c r="J2137" t="str">
        <f t="shared" si="33"/>
        <v>http://www.badatelna.eu/reprodukce/?fondId=1073&amp;zaznamId=1108958&amp;reproId=3779977</v>
      </c>
      <c r="K2137">
        <f>IF(LEN(TRIM(E2137))=0,"",VLOOKUP(E2137,Sheet2!$B$1:$E$19,2,FALSE))</f>
        <v>1073</v>
      </c>
      <c r="L2137">
        <f>IF(LEN(TRIM(E2137))=0,"",VLOOKUP(E2137,Sheet2!$B$1:$E$19,3,FALSE))</f>
        <v>1108958</v>
      </c>
      <c r="M2137">
        <f>IF(LEN(TRIM(E2137))=0,"",VLOOKUP(E2137,Sheet2!$B$1:$E$19,4,FALSE))+(F2137-1)</f>
        <v>3779977</v>
      </c>
    </row>
    <row r="2138" spans="1:17" s="1" customFormat="1" ht="15" customHeight="1" x14ac:dyDescent="0.25">
      <c r="A2138" s="28" t="s">
        <v>352</v>
      </c>
      <c r="B2138" s="28" t="s">
        <v>465</v>
      </c>
      <c r="C2138" s="1">
        <v>1853</v>
      </c>
      <c r="D2138" s="1" t="s">
        <v>2919</v>
      </c>
      <c r="E2138" s="1">
        <v>998</v>
      </c>
      <c r="F2138" s="28">
        <v>38</v>
      </c>
      <c r="G2138" s="1">
        <v>36</v>
      </c>
      <c r="H2138" s="1">
        <v>77</v>
      </c>
      <c r="I2138" s="1">
        <v>75</v>
      </c>
      <c r="J2138" t="str">
        <f t="shared" si="33"/>
        <v>http://www.badatelna.eu/reprodukce/?fondId=241&amp;zaznamId=1133738&amp;reproId=3885684</v>
      </c>
      <c r="K2138">
        <f>IF(LEN(TRIM(E2138))=0,"",VLOOKUP(E2138,Sheet2!$B$1:$E$19,2,FALSE))</f>
        <v>241</v>
      </c>
      <c r="L2138">
        <f>IF(LEN(TRIM(E2138))=0,"",VLOOKUP(E2138,Sheet2!$B$1:$E$19,3,FALSE))</f>
        <v>1133738</v>
      </c>
      <c r="M2138">
        <f>IF(LEN(TRIM(E2138))=0,"",VLOOKUP(E2138,Sheet2!$B$1:$E$19,4,FALSE))+(F2138-1)</f>
        <v>3885684</v>
      </c>
    </row>
    <row r="2139" spans="1:17" s="1" customFormat="1" ht="15" customHeight="1" x14ac:dyDescent="0.25">
      <c r="A2139" s="28" t="s">
        <v>352</v>
      </c>
      <c r="B2139" s="28" t="s">
        <v>254</v>
      </c>
      <c r="C2139" s="1">
        <v>1856</v>
      </c>
      <c r="D2139" s="1" t="s">
        <v>2919</v>
      </c>
      <c r="E2139" s="1">
        <v>998</v>
      </c>
      <c r="F2139" s="28">
        <v>50</v>
      </c>
      <c r="G2139" s="1">
        <v>48</v>
      </c>
      <c r="H2139" s="1">
        <v>77</v>
      </c>
      <c r="I2139" s="1">
        <v>75</v>
      </c>
      <c r="J2139" t="str">
        <f t="shared" si="33"/>
        <v>http://www.badatelna.eu/reprodukce/?fondId=241&amp;zaznamId=1133738&amp;reproId=3885696</v>
      </c>
      <c r="K2139">
        <f>IF(LEN(TRIM(E2139))=0,"",VLOOKUP(E2139,Sheet2!$B$1:$E$19,2,FALSE))</f>
        <v>241</v>
      </c>
      <c r="L2139">
        <f>IF(LEN(TRIM(E2139))=0,"",VLOOKUP(E2139,Sheet2!$B$1:$E$19,3,FALSE))</f>
        <v>1133738</v>
      </c>
      <c r="M2139">
        <f>IF(LEN(TRIM(E2139))=0,"",VLOOKUP(E2139,Sheet2!$B$1:$E$19,4,FALSE))+(F2139-1)</f>
        <v>3885696</v>
      </c>
      <c r="N2139"/>
      <c r="O2139"/>
      <c r="P2139"/>
      <c r="Q2139"/>
    </row>
    <row r="2140" spans="1:17" s="1" customFormat="1" ht="15" customHeight="1" x14ac:dyDescent="0.25">
      <c r="A2140" s="28" t="s">
        <v>352</v>
      </c>
      <c r="B2140" s="28" t="s">
        <v>247</v>
      </c>
      <c r="C2140" s="6" t="s">
        <v>2160</v>
      </c>
      <c r="D2140" s="1" t="s">
        <v>454</v>
      </c>
      <c r="E2140" s="1">
        <v>2173</v>
      </c>
      <c r="F2140" s="28">
        <v>183</v>
      </c>
      <c r="G2140" s="9">
        <v>12</v>
      </c>
      <c r="H2140" s="1">
        <v>191</v>
      </c>
      <c r="I2140" s="1">
        <v>425</v>
      </c>
      <c r="J2140" t="str">
        <f t="shared" si="33"/>
        <v>http://www.badatelna.eu/reprodukce/?fondId=1073&amp;zaznamId=1108959&amp;reproId=3780176</v>
      </c>
      <c r="K2140">
        <f>IF(LEN(TRIM(E2140))=0,"",VLOOKUP(E2140,Sheet2!$B$1:$E$19,2,FALSE))</f>
        <v>1073</v>
      </c>
      <c r="L2140">
        <f>IF(LEN(TRIM(E2140))=0,"",VLOOKUP(E2140,Sheet2!$B$1:$E$19,3,FALSE))</f>
        <v>1108959</v>
      </c>
      <c r="M2140">
        <f>IF(LEN(TRIM(E2140))=0,"",VLOOKUP(E2140,Sheet2!$B$1:$E$19,4,FALSE))+(F2140-1)</f>
        <v>3780176</v>
      </c>
    </row>
    <row r="2141" spans="1:17" s="1" customFormat="1" ht="15" customHeight="1" x14ac:dyDescent="0.25">
      <c r="A2141" s="27" t="s">
        <v>352</v>
      </c>
      <c r="B2141" s="27" t="s">
        <v>91</v>
      </c>
      <c r="C2141" s="5" t="s">
        <v>1360</v>
      </c>
      <c r="D2141" s="3" t="s">
        <v>454</v>
      </c>
      <c r="E2141" s="3">
        <v>2170</v>
      </c>
      <c r="F2141" s="28">
        <v>32</v>
      </c>
      <c r="G2141" s="10">
        <v>28</v>
      </c>
      <c r="H2141" s="3">
        <v>69</v>
      </c>
      <c r="I2141" s="3">
        <v>65</v>
      </c>
      <c r="J2141" t="str">
        <f t="shared" si="33"/>
        <v>http://www.badatelna.eu/reprodukce/?fondId=1073&amp;zaznamId=1108956&amp;reproId=3779624</v>
      </c>
      <c r="K2141">
        <f>IF(LEN(TRIM(E2141))=0,"",VLOOKUP(E2141,Sheet2!$B$1:$E$19,2,FALSE))</f>
        <v>1073</v>
      </c>
      <c r="L2141">
        <f>IF(LEN(TRIM(E2141))=0,"",VLOOKUP(E2141,Sheet2!$B$1:$E$19,3,FALSE))</f>
        <v>1108956</v>
      </c>
      <c r="M2141">
        <f>IF(LEN(TRIM(E2141))=0,"",VLOOKUP(E2141,Sheet2!$B$1:$E$19,4,FALSE))+(F2141-1)</f>
        <v>3779624</v>
      </c>
    </row>
    <row r="2142" spans="1:17" s="1" customFormat="1" ht="15" customHeight="1" x14ac:dyDescent="0.25">
      <c r="A2142" s="27" t="s">
        <v>605</v>
      </c>
      <c r="B2142" s="27" t="s">
        <v>606</v>
      </c>
      <c r="C2142" s="5" t="s">
        <v>1361</v>
      </c>
      <c r="D2142" s="3" t="s">
        <v>454</v>
      </c>
      <c r="E2142" s="3">
        <v>2170</v>
      </c>
      <c r="F2142" s="28">
        <v>56</v>
      </c>
      <c r="G2142" s="10">
        <v>52</v>
      </c>
      <c r="H2142" s="3">
        <v>69</v>
      </c>
      <c r="I2142" s="3">
        <v>65</v>
      </c>
      <c r="J2142" t="str">
        <f t="shared" si="33"/>
        <v>http://www.badatelna.eu/reprodukce/?fondId=1073&amp;zaznamId=1108956&amp;reproId=3779648</v>
      </c>
      <c r="K2142">
        <f>IF(LEN(TRIM(E2142))=0,"",VLOOKUP(E2142,Sheet2!$B$1:$E$19,2,FALSE))</f>
        <v>1073</v>
      </c>
      <c r="L2142">
        <f>IF(LEN(TRIM(E2142))=0,"",VLOOKUP(E2142,Sheet2!$B$1:$E$19,3,FALSE))</f>
        <v>1108956</v>
      </c>
      <c r="M2142">
        <f>IF(LEN(TRIM(E2142))=0,"",VLOOKUP(E2142,Sheet2!$B$1:$E$19,4,FALSE))+(F2142-1)</f>
        <v>3779648</v>
      </c>
    </row>
    <row r="2143" spans="1:17" s="1" customFormat="1" ht="15" customHeight="1" x14ac:dyDescent="0.25">
      <c r="A2143" s="28" t="s">
        <v>605</v>
      </c>
      <c r="B2143" s="28" t="s">
        <v>817</v>
      </c>
      <c r="C2143" s="6" t="s">
        <v>1724</v>
      </c>
      <c r="D2143" s="1" t="s">
        <v>454</v>
      </c>
      <c r="E2143" s="1">
        <v>2172</v>
      </c>
      <c r="F2143" s="28">
        <v>120</v>
      </c>
      <c r="G2143" s="9">
        <v>119</v>
      </c>
      <c r="H2143" s="1">
        <v>123</v>
      </c>
      <c r="I2143" s="1">
        <v>122</v>
      </c>
      <c r="J2143" t="str">
        <f t="shared" si="33"/>
        <v>http://www.badatelna.eu/reprodukce/?fondId=1073&amp;zaznamId=1108958&amp;reproId=3779861</v>
      </c>
      <c r="K2143">
        <f>IF(LEN(TRIM(E2143))=0,"",VLOOKUP(E2143,Sheet2!$B$1:$E$19,2,FALSE))</f>
        <v>1073</v>
      </c>
      <c r="L2143">
        <f>IF(LEN(TRIM(E2143))=0,"",VLOOKUP(E2143,Sheet2!$B$1:$E$19,3,FALSE))</f>
        <v>1108958</v>
      </c>
      <c r="M2143">
        <f>IF(LEN(TRIM(E2143))=0,"",VLOOKUP(E2143,Sheet2!$B$1:$E$19,4,FALSE))+(F2143-1)</f>
        <v>3779861</v>
      </c>
      <c r="N2143"/>
      <c r="O2143"/>
      <c r="P2143"/>
      <c r="Q2143"/>
    </row>
    <row r="2144" spans="1:17" s="1" customFormat="1" ht="15" customHeight="1" x14ac:dyDescent="0.25">
      <c r="A2144" s="28" t="s">
        <v>605</v>
      </c>
      <c r="B2144" s="28" t="s">
        <v>527</v>
      </c>
      <c r="C2144" s="6" t="s">
        <v>1579</v>
      </c>
      <c r="D2144" s="1" t="s">
        <v>454</v>
      </c>
      <c r="E2144" s="1">
        <v>2172</v>
      </c>
      <c r="F2144" s="28">
        <v>20</v>
      </c>
      <c r="G2144" s="9">
        <v>19</v>
      </c>
      <c r="H2144" s="1">
        <v>25</v>
      </c>
      <c r="I2144" s="1">
        <v>24</v>
      </c>
      <c r="J2144" t="str">
        <f t="shared" si="33"/>
        <v>http://www.badatelna.eu/reprodukce/?fondId=1073&amp;zaznamId=1108958&amp;reproId=3779761</v>
      </c>
      <c r="K2144">
        <f>IF(LEN(TRIM(E2144))=0,"",VLOOKUP(E2144,Sheet2!$B$1:$E$19,2,FALSE))</f>
        <v>1073</v>
      </c>
      <c r="L2144">
        <f>IF(LEN(TRIM(E2144))=0,"",VLOOKUP(E2144,Sheet2!$B$1:$E$19,3,FALSE))</f>
        <v>1108958</v>
      </c>
      <c r="M2144">
        <f>IF(LEN(TRIM(E2144))=0,"",VLOOKUP(E2144,Sheet2!$B$1:$E$19,4,FALSE))+(F2144-1)</f>
        <v>3779761</v>
      </c>
      <c r="N2144"/>
      <c r="O2144"/>
      <c r="P2144"/>
      <c r="Q2144"/>
    </row>
    <row r="2145" spans="1:17" s="1" customFormat="1" ht="15" customHeight="1" x14ac:dyDescent="0.25">
      <c r="A2145" s="28" t="s">
        <v>234</v>
      </c>
      <c r="B2145" s="28" t="s">
        <v>213</v>
      </c>
      <c r="C2145" s="6" t="s">
        <v>2162</v>
      </c>
      <c r="D2145" s="1" t="s">
        <v>454</v>
      </c>
      <c r="E2145" s="1">
        <v>2173</v>
      </c>
      <c r="F2145" s="28">
        <v>211</v>
      </c>
      <c r="G2145" s="9" t="s">
        <v>2881</v>
      </c>
      <c r="H2145" s="1" t="s">
        <v>3073</v>
      </c>
      <c r="I2145" s="1" t="s">
        <v>3073</v>
      </c>
      <c r="J2145" t="str">
        <f t="shared" si="33"/>
        <v>http://www.badatelna.eu/reprodukce/?fondId=1073&amp;zaznamId=1108959&amp;reproId=3780204</v>
      </c>
      <c r="K2145">
        <f>IF(LEN(TRIM(E2145))=0,"",VLOOKUP(E2145,Sheet2!$B$1:$E$19,2,FALSE))</f>
        <v>1073</v>
      </c>
      <c r="L2145">
        <f>IF(LEN(TRIM(E2145))=0,"",VLOOKUP(E2145,Sheet2!$B$1:$E$19,3,FALSE))</f>
        <v>1108959</v>
      </c>
      <c r="M2145">
        <f>IF(LEN(TRIM(E2145))=0,"",VLOOKUP(E2145,Sheet2!$B$1:$E$19,4,FALSE))+(F2145-1)</f>
        <v>3780204</v>
      </c>
    </row>
    <row r="2146" spans="1:17" s="1" customFormat="1" ht="15" customHeight="1" x14ac:dyDescent="0.25">
      <c r="A2146" s="28" t="s">
        <v>234</v>
      </c>
      <c r="B2146" s="29" t="s">
        <v>3000</v>
      </c>
      <c r="C2146" s="1">
        <v>1853</v>
      </c>
      <c r="D2146" s="1" t="s">
        <v>2919</v>
      </c>
      <c r="E2146" s="1">
        <v>998</v>
      </c>
      <c r="F2146" s="28">
        <v>37</v>
      </c>
      <c r="G2146" s="1">
        <v>35</v>
      </c>
      <c r="H2146" s="1">
        <v>77</v>
      </c>
      <c r="I2146" s="1">
        <v>75</v>
      </c>
      <c r="J2146" t="str">
        <f t="shared" si="33"/>
        <v>http://www.badatelna.eu/reprodukce/?fondId=241&amp;zaznamId=1133738&amp;reproId=3885683</v>
      </c>
      <c r="K2146">
        <f>IF(LEN(TRIM(E2146))=0,"",VLOOKUP(E2146,Sheet2!$B$1:$E$19,2,FALSE))</f>
        <v>241</v>
      </c>
      <c r="L2146">
        <f>IF(LEN(TRIM(E2146))=0,"",VLOOKUP(E2146,Sheet2!$B$1:$E$19,3,FALSE))</f>
        <v>1133738</v>
      </c>
      <c r="M2146">
        <f>IF(LEN(TRIM(E2146))=0,"",VLOOKUP(E2146,Sheet2!$B$1:$E$19,4,FALSE))+(F2146-1)</f>
        <v>3885683</v>
      </c>
      <c r="N2146"/>
      <c r="O2146"/>
      <c r="P2146"/>
      <c r="Q2146"/>
    </row>
    <row r="2147" spans="1:17" s="1" customFormat="1" ht="15" customHeight="1" x14ac:dyDescent="0.25">
      <c r="A2147" s="28" t="s">
        <v>234</v>
      </c>
      <c r="B2147" s="28" t="s">
        <v>285</v>
      </c>
      <c r="C2147" s="6" t="s">
        <v>2161</v>
      </c>
      <c r="D2147" s="1" t="s">
        <v>454</v>
      </c>
      <c r="E2147" s="1">
        <v>2173</v>
      </c>
      <c r="F2147" s="28">
        <v>179</v>
      </c>
      <c r="G2147" s="9">
        <v>5</v>
      </c>
      <c r="H2147" s="1">
        <v>191</v>
      </c>
      <c r="I2147" s="1">
        <v>425</v>
      </c>
      <c r="J2147" t="str">
        <f t="shared" si="33"/>
        <v>http://www.badatelna.eu/reprodukce/?fondId=1073&amp;zaznamId=1108959&amp;reproId=3780172</v>
      </c>
      <c r="K2147">
        <f>IF(LEN(TRIM(E2147))=0,"",VLOOKUP(E2147,Sheet2!$B$1:$E$19,2,FALSE))</f>
        <v>1073</v>
      </c>
      <c r="L2147">
        <f>IF(LEN(TRIM(E2147))=0,"",VLOOKUP(E2147,Sheet2!$B$1:$E$19,3,FALSE))</f>
        <v>1108959</v>
      </c>
      <c r="M2147">
        <f>IF(LEN(TRIM(E2147))=0,"",VLOOKUP(E2147,Sheet2!$B$1:$E$19,4,FALSE))+(F2147-1)</f>
        <v>3780172</v>
      </c>
    </row>
    <row r="2148" spans="1:17" s="1" customFormat="1" ht="15" customHeight="1" x14ac:dyDescent="0.25">
      <c r="A2148" s="28" t="s">
        <v>234</v>
      </c>
      <c r="B2148" s="28" t="s">
        <v>135</v>
      </c>
      <c r="C2148" s="6" t="s">
        <v>2721</v>
      </c>
      <c r="D2148" s="1" t="s">
        <v>454</v>
      </c>
      <c r="E2148" s="1">
        <v>2173</v>
      </c>
      <c r="F2148" s="28">
        <v>225</v>
      </c>
      <c r="G2148" s="9">
        <v>56</v>
      </c>
      <c r="H2148" s="1" t="s">
        <v>3073</v>
      </c>
      <c r="I2148" s="1" t="s">
        <v>3073</v>
      </c>
      <c r="J2148" t="str">
        <f t="shared" si="33"/>
        <v>http://www.badatelna.eu/reprodukce/?fondId=1073&amp;zaznamId=1108959&amp;reproId=3780218</v>
      </c>
      <c r="K2148">
        <f>IF(LEN(TRIM(E2148))=0,"",VLOOKUP(E2148,Sheet2!$B$1:$E$19,2,FALSE))</f>
        <v>1073</v>
      </c>
      <c r="L2148">
        <f>IF(LEN(TRIM(E2148))=0,"",VLOOKUP(E2148,Sheet2!$B$1:$E$19,3,FALSE))</f>
        <v>1108959</v>
      </c>
      <c r="M2148">
        <f>IF(LEN(TRIM(E2148))=0,"",VLOOKUP(E2148,Sheet2!$B$1:$E$19,4,FALSE))+(F2148-1)</f>
        <v>3780218</v>
      </c>
      <c r="N2148"/>
      <c r="O2148"/>
      <c r="P2148"/>
      <c r="Q2148"/>
    </row>
    <row r="2149" spans="1:17" s="1" customFormat="1" ht="15" customHeight="1" x14ac:dyDescent="0.25">
      <c r="A2149" s="28" t="s">
        <v>234</v>
      </c>
      <c r="B2149" s="28" t="s">
        <v>48</v>
      </c>
      <c r="C2149" s="1">
        <v>1853</v>
      </c>
      <c r="D2149" s="1" t="s">
        <v>2919</v>
      </c>
      <c r="E2149" s="1">
        <v>998</v>
      </c>
      <c r="F2149" s="28">
        <v>37</v>
      </c>
      <c r="G2149" s="1">
        <v>35</v>
      </c>
      <c r="H2149" s="1">
        <v>77</v>
      </c>
      <c r="I2149" s="1">
        <v>75</v>
      </c>
      <c r="J2149" t="str">
        <f t="shared" si="33"/>
        <v>http://www.badatelna.eu/reprodukce/?fondId=241&amp;zaznamId=1133738&amp;reproId=3885683</v>
      </c>
      <c r="K2149">
        <f>IF(LEN(TRIM(E2149))=0,"",VLOOKUP(E2149,Sheet2!$B$1:$E$19,2,FALSE))</f>
        <v>241</v>
      </c>
      <c r="L2149">
        <f>IF(LEN(TRIM(E2149))=0,"",VLOOKUP(E2149,Sheet2!$B$1:$E$19,3,FALSE))</f>
        <v>1133738</v>
      </c>
      <c r="M2149">
        <f>IF(LEN(TRIM(E2149))=0,"",VLOOKUP(E2149,Sheet2!$B$1:$E$19,4,FALSE))+(F2149-1)</f>
        <v>3885683</v>
      </c>
      <c r="N2149"/>
      <c r="O2149"/>
      <c r="P2149"/>
      <c r="Q2149"/>
    </row>
    <row r="2150" spans="1:17" s="1" customFormat="1" ht="15" customHeight="1" x14ac:dyDescent="0.25">
      <c r="A2150" s="28" t="s">
        <v>234</v>
      </c>
      <c r="B2150" s="28" t="s">
        <v>169</v>
      </c>
      <c r="C2150" s="6" t="s">
        <v>2545</v>
      </c>
      <c r="D2150" s="1" t="s">
        <v>454</v>
      </c>
      <c r="E2150" s="1">
        <v>2173</v>
      </c>
      <c r="F2150" s="28">
        <v>207</v>
      </c>
      <c r="G2150" s="1">
        <v>24</v>
      </c>
      <c r="H2150" s="1" t="s">
        <v>3073</v>
      </c>
      <c r="I2150" s="1" t="s">
        <v>3073</v>
      </c>
      <c r="J2150" t="str">
        <f t="shared" si="33"/>
        <v>http://www.badatelna.eu/reprodukce/?fondId=1073&amp;zaznamId=1108959&amp;reproId=3780200</v>
      </c>
      <c r="K2150">
        <f>IF(LEN(TRIM(E2150))=0,"",VLOOKUP(E2150,Sheet2!$B$1:$E$19,2,FALSE))</f>
        <v>1073</v>
      </c>
      <c r="L2150">
        <f>IF(LEN(TRIM(E2150))=0,"",VLOOKUP(E2150,Sheet2!$B$1:$E$19,3,FALSE))</f>
        <v>1108959</v>
      </c>
      <c r="M2150">
        <f>IF(LEN(TRIM(E2150))=0,"",VLOOKUP(E2150,Sheet2!$B$1:$E$19,4,FALSE))+(F2150-1)</f>
        <v>3780200</v>
      </c>
    </row>
    <row r="2151" spans="1:17" s="1" customFormat="1" ht="15" customHeight="1" x14ac:dyDescent="0.25">
      <c r="A2151" s="28" t="s">
        <v>350</v>
      </c>
      <c r="B2151" s="28" t="s">
        <v>74</v>
      </c>
      <c r="C2151" s="6" t="s">
        <v>2163</v>
      </c>
      <c r="D2151" s="1" t="s">
        <v>454</v>
      </c>
      <c r="E2151" s="1">
        <v>2173</v>
      </c>
      <c r="F2151" s="28">
        <v>182</v>
      </c>
      <c r="G2151" s="9">
        <v>11</v>
      </c>
      <c r="H2151" s="1">
        <v>191</v>
      </c>
      <c r="I2151" s="1">
        <v>425</v>
      </c>
      <c r="J2151" t="str">
        <f t="shared" si="33"/>
        <v>http://www.badatelna.eu/reprodukce/?fondId=1073&amp;zaznamId=1108959&amp;reproId=3780175</v>
      </c>
      <c r="K2151">
        <f>IF(LEN(TRIM(E2151))=0,"",VLOOKUP(E2151,Sheet2!$B$1:$E$19,2,FALSE))</f>
        <v>1073</v>
      </c>
      <c r="L2151">
        <f>IF(LEN(TRIM(E2151))=0,"",VLOOKUP(E2151,Sheet2!$B$1:$E$19,3,FALSE))</f>
        <v>1108959</v>
      </c>
      <c r="M2151">
        <f>IF(LEN(TRIM(E2151))=0,"",VLOOKUP(E2151,Sheet2!$B$1:$E$19,4,FALSE))+(F2151-1)</f>
        <v>3780175</v>
      </c>
    </row>
    <row r="2152" spans="1:17" s="1" customFormat="1" ht="15" customHeight="1" x14ac:dyDescent="0.25">
      <c r="A2152" s="28" t="s">
        <v>350</v>
      </c>
      <c r="B2152" s="28" t="s">
        <v>213</v>
      </c>
      <c r="C2152" s="6" t="s">
        <v>2162</v>
      </c>
      <c r="D2152" s="1" t="s">
        <v>454</v>
      </c>
      <c r="E2152" s="1">
        <v>2173</v>
      </c>
      <c r="F2152" s="28">
        <v>181</v>
      </c>
      <c r="G2152" s="9">
        <v>9</v>
      </c>
      <c r="H2152" s="1">
        <v>191</v>
      </c>
      <c r="I2152" s="1">
        <v>425</v>
      </c>
      <c r="J2152" t="str">
        <f t="shared" si="33"/>
        <v>http://www.badatelna.eu/reprodukce/?fondId=1073&amp;zaznamId=1108959&amp;reproId=3780174</v>
      </c>
      <c r="K2152">
        <f>IF(LEN(TRIM(E2152))=0,"",VLOOKUP(E2152,Sheet2!$B$1:$E$19,2,FALSE))</f>
        <v>1073</v>
      </c>
      <c r="L2152">
        <f>IF(LEN(TRIM(E2152))=0,"",VLOOKUP(E2152,Sheet2!$B$1:$E$19,3,FALSE))</f>
        <v>1108959</v>
      </c>
      <c r="M2152">
        <f>IF(LEN(TRIM(E2152))=0,"",VLOOKUP(E2152,Sheet2!$B$1:$E$19,4,FALSE))+(F2152-1)</f>
        <v>3780174</v>
      </c>
      <c r="N2152"/>
      <c r="O2152"/>
      <c r="P2152"/>
      <c r="Q2152"/>
    </row>
    <row r="2153" spans="1:17" s="1" customFormat="1" ht="15" customHeight="1" x14ac:dyDescent="0.25">
      <c r="A2153" s="28" t="s">
        <v>170</v>
      </c>
      <c r="B2153" s="28" t="s">
        <v>169</v>
      </c>
      <c r="C2153" s="6" t="s">
        <v>2400</v>
      </c>
      <c r="D2153" s="1" t="s">
        <v>454</v>
      </c>
      <c r="E2153" s="1">
        <v>2173</v>
      </c>
      <c r="F2153" s="28">
        <v>202</v>
      </c>
      <c r="G2153" s="9">
        <v>14</v>
      </c>
      <c r="H2153" s="1" t="s">
        <v>3073</v>
      </c>
      <c r="I2153" s="1" t="s">
        <v>3073</v>
      </c>
      <c r="J2153" t="str">
        <f t="shared" si="33"/>
        <v>http://www.badatelna.eu/reprodukce/?fondId=1073&amp;zaznamId=1108959&amp;reproId=3780195</v>
      </c>
      <c r="K2153">
        <f>IF(LEN(TRIM(E2153))=0,"",VLOOKUP(E2153,Sheet2!$B$1:$E$19,2,FALSE))</f>
        <v>1073</v>
      </c>
      <c r="L2153">
        <f>IF(LEN(TRIM(E2153))=0,"",VLOOKUP(E2153,Sheet2!$B$1:$E$19,3,FALSE))</f>
        <v>1108959</v>
      </c>
      <c r="M2153">
        <f>IF(LEN(TRIM(E2153))=0,"",VLOOKUP(E2153,Sheet2!$B$1:$E$19,4,FALSE))+(F2153-1)</f>
        <v>3780195</v>
      </c>
    </row>
    <row r="2154" spans="1:17" s="1" customFormat="1" ht="15" customHeight="1" x14ac:dyDescent="0.25">
      <c r="A2154" s="28" t="s">
        <v>1004</v>
      </c>
      <c r="B2154" s="28" t="s">
        <v>594</v>
      </c>
      <c r="C2154" s="1">
        <v>1886</v>
      </c>
      <c r="D2154" s="1" t="s">
        <v>454</v>
      </c>
      <c r="E2154" s="1">
        <v>2172</v>
      </c>
      <c r="F2154" s="28">
        <v>52</v>
      </c>
      <c r="G2154" s="9">
        <v>53</v>
      </c>
      <c r="H2154" s="1">
        <v>55</v>
      </c>
      <c r="I2154" s="1">
        <v>56</v>
      </c>
      <c r="J2154" t="str">
        <f t="shared" si="33"/>
        <v>http://www.badatelna.eu/reprodukce/?fondId=1073&amp;zaznamId=1108958&amp;reproId=3779793</v>
      </c>
      <c r="K2154">
        <f>IF(LEN(TRIM(E2154))=0,"",VLOOKUP(E2154,Sheet2!$B$1:$E$19,2,FALSE))</f>
        <v>1073</v>
      </c>
      <c r="L2154">
        <f>IF(LEN(TRIM(E2154))=0,"",VLOOKUP(E2154,Sheet2!$B$1:$E$19,3,FALSE))</f>
        <v>1108958</v>
      </c>
      <c r="M2154">
        <f>IF(LEN(TRIM(E2154))=0,"",VLOOKUP(E2154,Sheet2!$B$1:$E$19,4,FALSE))+(F2154-1)</f>
        <v>3779793</v>
      </c>
    </row>
    <row r="2155" spans="1:17" s="1" customFormat="1" ht="15" customHeight="1" x14ac:dyDescent="0.25">
      <c r="A2155" s="28" t="s">
        <v>1005</v>
      </c>
      <c r="B2155" s="28" t="s">
        <v>840</v>
      </c>
      <c r="C2155" s="6" t="s">
        <v>1822</v>
      </c>
      <c r="D2155" s="1" t="s">
        <v>454</v>
      </c>
      <c r="E2155" s="1">
        <v>2172</v>
      </c>
      <c r="F2155" s="28">
        <v>168</v>
      </c>
      <c r="G2155" s="9">
        <v>161</v>
      </c>
      <c r="H2155" s="1" t="s">
        <v>3073</v>
      </c>
      <c r="I2155" s="1" t="s">
        <v>3073</v>
      </c>
      <c r="J2155" t="str">
        <f t="shared" si="33"/>
        <v>http://www.badatelna.eu/reprodukce/?fondId=1073&amp;zaznamId=1108958&amp;reproId=3779909</v>
      </c>
      <c r="K2155">
        <f>IF(LEN(TRIM(E2155))=0,"",VLOOKUP(E2155,Sheet2!$B$1:$E$19,2,FALSE))</f>
        <v>1073</v>
      </c>
      <c r="L2155">
        <f>IF(LEN(TRIM(E2155))=0,"",VLOOKUP(E2155,Sheet2!$B$1:$E$19,3,FALSE))</f>
        <v>1108958</v>
      </c>
      <c r="M2155">
        <f>IF(LEN(TRIM(E2155))=0,"",VLOOKUP(E2155,Sheet2!$B$1:$E$19,4,FALSE))+(F2155-1)</f>
        <v>3779909</v>
      </c>
    </row>
    <row r="2156" spans="1:17" s="1" customFormat="1" ht="15" customHeight="1" x14ac:dyDescent="0.25">
      <c r="A2156" s="29" t="s">
        <v>15</v>
      </c>
      <c r="B2156" s="28" t="s">
        <v>10</v>
      </c>
      <c r="C2156" s="6" t="s">
        <v>2344</v>
      </c>
      <c r="D2156" s="1" t="s">
        <v>454</v>
      </c>
      <c r="E2156" s="1">
        <v>2173</v>
      </c>
      <c r="F2156" s="28">
        <v>200</v>
      </c>
      <c r="G2156" s="9">
        <v>10</v>
      </c>
      <c r="H2156" s="1" t="s">
        <v>3073</v>
      </c>
      <c r="I2156" s="1" t="s">
        <v>3073</v>
      </c>
      <c r="J2156" t="str">
        <f t="shared" si="33"/>
        <v>http://www.badatelna.eu/reprodukce/?fondId=1073&amp;zaznamId=1108959&amp;reproId=3780193</v>
      </c>
      <c r="K2156">
        <f>IF(LEN(TRIM(E2156))=0,"",VLOOKUP(E2156,Sheet2!$B$1:$E$19,2,FALSE))</f>
        <v>1073</v>
      </c>
      <c r="L2156">
        <f>IF(LEN(TRIM(E2156))=0,"",VLOOKUP(E2156,Sheet2!$B$1:$E$19,3,FALSE))</f>
        <v>1108959</v>
      </c>
      <c r="M2156">
        <f>IF(LEN(TRIM(E2156))=0,"",VLOOKUP(E2156,Sheet2!$B$1:$E$19,4,FALSE))+(F2156-1)</f>
        <v>3780193</v>
      </c>
      <c r="N2156"/>
      <c r="O2156"/>
      <c r="P2156"/>
      <c r="Q2156"/>
    </row>
    <row r="2157" spans="1:17" s="1" customFormat="1" ht="15" customHeight="1" x14ac:dyDescent="0.25">
      <c r="A2157" s="28" t="s">
        <v>1006</v>
      </c>
      <c r="B2157" s="28" t="s">
        <v>1007</v>
      </c>
      <c r="C2157" s="6" t="s">
        <v>1648</v>
      </c>
      <c r="D2157" s="1" t="s">
        <v>454</v>
      </c>
      <c r="E2157" s="1">
        <v>2172</v>
      </c>
      <c r="F2157" s="28">
        <v>93</v>
      </c>
      <c r="G2157" s="9">
        <v>92</v>
      </c>
      <c r="H2157" s="1">
        <v>97</v>
      </c>
      <c r="I2157" s="1">
        <v>96</v>
      </c>
      <c r="J2157" t="str">
        <f t="shared" si="33"/>
        <v>http://www.badatelna.eu/reprodukce/?fondId=1073&amp;zaznamId=1108958&amp;reproId=3779834</v>
      </c>
      <c r="K2157">
        <f>IF(LEN(TRIM(E2157))=0,"",VLOOKUP(E2157,Sheet2!$B$1:$E$19,2,FALSE))</f>
        <v>1073</v>
      </c>
      <c r="L2157">
        <f>IF(LEN(TRIM(E2157))=0,"",VLOOKUP(E2157,Sheet2!$B$1:$E$19,3,FALSE))</f>
        <v>1108958</v>
      </c>
      <c r="M2157">
        <f>IF(LEN(TRIM(E2157))=0,"",VLOOKUP(E2157,Sheet2!$B$1:$E$19,4,FALSE))+(F2157-1)</f>
        <v>3779834</v>
      </c>
      <c r="N2157"/>
      <c r="O2157"/>
      <c r="P2157"/>
      <c r="Q2157"/>
    </row>
    <row r="2158" spans="1:17" s="1" customFormat="1" ht="15" customHeight="1" x14ac:dyDescent="0.25">
      <c r="A2158" s="28" t="s">
        <v>1008</v>
      </c>
      <c r="B2158" s="28" t="s">
        <v>715</v>
      </c>
      <c r="C2158" s="15">
        <v>3752</v>
      </c>
      <c r="D2158" s="1" t="s">
        <v>454</v>
      </c>
      <c r="E2158" s="1">
        <v>2172</v>
      </c>
      <c r="F2158" s="28">
        <v>176</v>
      </c>
      <c r="G2158" s="9">
        <v>169</v>
      </c>
      <c r="H2158" s="1" t="s">
        <v>3073</v>
      </c>
      <c r="I2158" s="1" t="s">
        <v>3073</v>
      </c>
      <c r="J2158" t="str">
        <f t="shared" si="33"/>
        <v>http://www.badatelna.eu/reprodukce/?fondId=1073&amp;zaznamId=1108958&amp;reproId=3779917</v>
      </c>
      <c r="K2158">
        <f>IF(LEN(TRIM(E2158))=0,"",VLOOKUP(E2158,Sheet2!$B$1:$E$19,2,FALSE))</f>
        <v>1073</v>
      </c>
      <c r="L2158">
        <f>IF(LEN(TRIM(E2158))=0,"",VLOOKUP(E2158,Sheet2!$B$1:$E$19,3,FALSE))</f>
        <v>1108958</v>
      </c>
      <c r="M2158">
        <f>IF(LEN(TRIM(E2158))=0,"",VLOOKUP(E2158,Sheet2!$B$1:$E$19,4,FALSE))+(F2158-1)</f>
        <v>3779917</v>
      </c>
    </row>
    <row r="2159" spans="1:17" s="1" customFormat="1" ht="15" customHeight="1" x14ac:dyDescent="0.25">
      <c r="A2159" s="28" t="s">
        <v>353</v>
      </c>
      <c r="B2159" s="28" t="s">
        <v>341</v>
      </c>
      <c r="C2159" s="6" t="s">
        <v>2164</v>
      </c>
      <c r="D2159" s="1" t="s">
        <v>454</v>
      </c>
      <c r="E2159" s="1">
        <v>2173</v>
      </c>
      <c r="F2159" s="28">
        <v>178</v>
      </c>
      <c r="G2159" s="9">
        <v>3</v>
      </c>
      <c r="H2159" s="1">
        <v>192</v>
      </c>
      <c r="I2159" s="1">
        <v>426</v>
      </c>
      <c r="J2159" t="str">
        <f t="shared" si="33"/>
        <v>http://www.badatelna.eu/reprodukce/?fondId=1073&amp;zaznamId=1108959&amp;reproId=3780171</v>
      </c>
      <c r="K2159">
        <f>IF(LEN(TRIM(E2159))=0,"",VLOOKUP(E2159,Sheet2!$B$1:$E$19,2,FALSE))</f>
        <v>1073</v>
      </c>
      <c r="L2159">
        <f>IF(LEN(TRIM(E2159))=0,"",VLOOKUP(E2159,Sheet2!$B$1:$E$19,3,FALSE))</f>
        <v>1108959</v>
      </c>
      <c r="M2159">
        <f>IF(LEN(TRIM(E2159))=0,"",VLOOKUP(E2159,Sheet2!$B$1:$E$19,4,FALSE))+(F2159-1)</f>
        <v>3780171</v>
      </c>
    </row>
    <row r="2160" spans="1:17" s="1" customFormat="1" ht="15" customHeight="1" x14ac:dyDescent="0.25">
      <c r="A2160" s="28" t="s">
        <v>353</v>
      </c>
      <c r="B2160" s="28" t="s">
        <v>285</v>
      </c>
      <c r="C2160" s="6" t="s">
        <v>2051</v>
      </c>
      <c r="D2160" s="1" t="s">
        <v>454</v>
      </c>
      <c r="E2160" s="1">
        <v>2173</v>
      </c>
      <c r="F2160" s="28">
        <v>183</v>
      </c>
      <c r="G2160" s="9">
        <v>12</v>
      </c>
      <c r="H2160" s="1">
        <v>192</v>
      </c>
      <c r="I2160" s="1">
        <v>426</v>
      </c>
      <c r="J2160" t="str">
        <f t="shared" si="33"/>
        <v>http://www.badatelna.eu/reprodukce/?fondId=1073&amp;zaznamId=1108959&amp;reproId=3780176</v>
      </c>
      <c r="K2160">
        <f>IF(LEN(TRIM(E2160))=0,"",VLOOKUP(E2160,Sheet2!$B$1:$E$19,2,FALSE))</f>
        <v>1073</v>
      </c>
      <c r="L2160">
        <f>IF(LEN(TRIM(E2160))=0,"",VLOOKUP(E2160,Sheet2!$B$1:$E$19,3,FALSE))</f>
        <v>1108959</v>
      </c>
      <c r="M2160">
        <f>IF(LEN(TRIM(E2160))=0,"",VLOOKUP(E2160,Sheet2!$B$1:$E$19,4,FALSE))+(F2160-1)</f>
        <v>3780176</v>
      </c>
      <c r="N2160"/>
      <c r="O2160"/>
      <c r="P2160"/>
      <c r="Q2160"/>
    </row>
    <row r="2161" spans="1:17" s="1" customFormat="1" ht="15" customHeight="1" x14ac:dyDescent="0.25">
      <c r="A2161" s="27" t="s">
        <v>607</v>
      </c>
      <c r="B2161" s="27" t="s">
        <v>608</v>
      </c>
      <c r="C2161" s="5" t="s">
        <v>1406</v>
      </c>
      <c r="D2161" s="3" t="s">
        <v>454</v>
      </c>
      <c r="E2161" s="3">
        <v>2170</v>
      </c>
      <c r="F2161" s="28">
        <v>52</v>
      </c>
      <c r="G2161" s="10">
        <v>48</v>
      </c>
      <c r="H2161" s="3">
        <v>71</v>
      </c>
      <c r="I2161" s="3">
        <v>67</v>
      </c>
      <c r="J2161" t="str">
        <f t="shared" si="33"/>
        <v>http://www.badatelna.eu/reprodukce/?fondId=1073&amp;zaznamId=1108956&amp;reproId=3779644</v>
      </c>
      <c r="K2161">
        <f>IF(LEN(TRIM(E2161))=0,"",VLOOKUP(E2161,Sheet2!$B$1:$E$19,2,FALSE))</f>
        <v>1073</v>
      </c>
      <c r="L2161">
        <f>IF(LEN(TRIM(E2161))=0,"",VLOOKUP(E2161,Sheet2!$B$1:$E$19,3,FALSE))</f>
        <v>1108956</v>
      </c>
      <c r="M2161">
        <f>IF(LEN(TRIM(E2161))=0,"",VLOOKUP(E2161,Sheet2!$B$1:$E$19,4,FALSE))+(F2161-1)</f>
        <v>3779644</v>
      </c>
      <c r="N2161"/>
      <c r="O2161"/>
      <c r="P2161"/>
      <c r="Q2161"/>
    </row>
    <row r="2162" spans="1:17" s="1" customFormat="1" ht="15" customHeight="1" x14ac:dyDescent="0.25">
      <c r="A2162" s="28" t="s">
        <v>1009</v>
      </c>
      <c r="B2162" s="28" t="s">
        <v>708</v>
      </c>
      <c r="C2162" s="15">
        <v>5972</v>
      </c>
      <c r="D2162" s="1" t="s">
        <v>454</v>
      </c>
      <c r="E2162" s="1">
        <v>2172</v>
      </c>
      <c r="F2162" s="28">
        <v>188</v>
      </c>
      <c r="G2162" s="9">
        <v>178</v>
      </c>
      <c r="H2162" s="1" t="s">
        <v>3073</v>
      </c>
      <c r="I2162" s="1" t="s">
        <v>3073</v>
      </c>
      <c r="J2162" t="str">
        <f t="shared" si="33"/>
        <v>http://www.badatelna.eu/reprodukce/?fondId=1073&amp;zaznamId=1108958&amp;reproId=3779929</v>
      </c>
      <c r="K2162">
        <f>IF(LEN(TRIM(E2162))=0,"",VLOOKUP(E2162,Sheet2!$B$1:$E$19,2,FALSE))</f>
        <v>1073</v>
      </c>
      <c r="L2162">
        <f>IF(LEN(TRIM(E2162))=0,"",VLOOKUP(E2162,Sheet2!$B$1:$E$19,3,FALSE))</f>
        <v>1108958</v>
      </c>
      <c r="M2162">
        <f>IF(LEN(TRIM(E2162))=0,"",VLOOKUP(E2162,Sheet2!$B$1:$E$19,4,FALSE))+(F2162-1)</f>
        <v>3779929</v>
      </c>
    </row>
    <row r="2163" spans="1:17" s="1" customFormat="1" ht="15" customHeight="1" x14ac:dyDescent="0.25">
      <c r="A2163" s="28" t="s">
        <v>1010</v>
      </c>
      <c r="B2163" s="28" t="s">
        <v>670</v>
      </c>
      <c r="C2163" s="6" t="s">
        <v>1922</v>
      </c>
      <c r="D2163" s="1" t="s">
        <v>454</v>
      </c>
      <c r="E2163" s="1">
        <v>2172</v>
      </c>
      <c r="F2163" s="28">
        <v>213</v>
      </c>
      <c r="G2163" s="9">
        <v>197</v>
      </c>
      <c r="H2163" s="1" t="s">
        <v>3073</v>
      </c>
      <c r="I2163" s="1" t="s">
        <v>3073</v>
      </c>
      <c r="J2163" t="str">
        <f t="shared" si="33"/>
        <v>http://www.badatelna.eu/reprodukce/?fondId=1073&amp;zaznamId=1108958&amp;reproId=3779954</v>
      </c>
      <c r="K2163">
        <f>IF(LEN(TRIM(E2163))=0,"",VLOOKUP(E2163,Sheet2!$B$1:$E$19,2,FALSE))</f>
        <v>1073</v>
      </c>
      <c r="L2163">
        <f>IF(LEN(TRIM(E2163))=0,"",VLOOKUP(E2163,Sheet2!$B$1:$E$19,3,FALSE))</f>
        <v>1108958</v>
      </c>
      <c r="M2163">
        <f>IF(LEN(TRIM(E2163))=0,"",VLOOKUP(E2163,Sheet2!$B$1:$E$19,4,FALSE))+(F2163-1)</f>
        <v>3779954</v>
      </c>
    </row>
    <row r="2164" spans="1:17" s="1" customFormat="1" ht="15" customHeight="1" x14ac:dyDescent="0.25">
      <c r="A2164" s="28" t="s">
        <v>366</v>
      </c>
      <c r="B2164" s="28" t="s">
        <v>367</v>
      </c>
      <c r="C2164" s="6" t="s">
        <v>2166</v>
      </c>
      <c r="D2164" s="1" t="s">
        <v>454</v>
      </c>
      <c r="E2164" s="1">
        <v>2173</v>
      </c>
      <c r="F2164" s="28">
        <v>179</v>
      </c>
      <c r="G2164" s="9">
        <v>5</v>
      </c>
      <c r="H2164" s="1">
        <v>192</v>
      </c>
      <c r="I2164" s="1">
        <v>427</v>
      </c>
      <c r="J2164" t="str">
        <f t="shared" si="33"/>
        <v>http://www.badatelna.eu/reprodukce/?fondId=1073&amp;zaznamId=1108959&amp;reproId=3780172</v>
      </c>
      <c r="K2164">
        <f>IF(LEN(TRIM(E2164))=0,"",VLOOKUP(E2164,Sheet2!$B$1:$E$19,2,FALSE))</f>
        <v>1073</v>
      </c>
      <c r="L2164">
        <f>IF(LEN(TRIM(E2164))=0,"",VLOOKUP(E2164,Sheet2!$B$1:$E$19,3,FALSE))</f>
        <v>1108959</v>
      </c>
      <c r="M2164">
        <f>IF(LEN(TRIM(E2164))=0,"",VLOOKUP(E2164,Sheet2!$B$1:$E$19,4,FALSE))+(F2164-1)</f>
        <v>3780172</v>
      </c>
      <c r="N2164"/>
      <c r="O2164"/>
      <c r="P2164"/>
      <c r="Q2164"/>
    </row>
    <row r="2165" spans="1:17" s="1" customFormat="1" ht="15" customHeight="1" x14ac:dyDescent="0.25">
      <c r="A2165" s="28" t="s">
        <v>42</v>
      </c>
      <c r="B2165" s="28" t="s">
        <v>33</v>
      </c>
      <c r="C2165" s="1">
        <v>1856</v>
      </c>
      <c r="D2165" s="1" t="s">
        <v>2919</v>
      </c>
      <c r="E2165" s="1">
        <v>998</v>
      </c>
      <c r="F2165" s="28">
        <v>49</v>
      </c>
      <c r="G2165" s="1">
        <v>47</v>
      </c>
      <c r="H2165" s="1">
        <v>79</v>
      </c>
      <c r="I2165" s="1">
        <v>77</v>
      </c>
      <c r="J2165" t="str">
        <f t="shared" si="33"/>
        <v>http://www.badatelna.eu/reprodukce/?fondId=241&amp;zaznamId=1133738&amp;reproId=3885695</v>
      </c>
      <c r="K2165">
        <f>IF(LEN(TRIM(E2165))=0,"",VLOOKUP(E2165,Sheet2!$B$1:$E$19,2,FALSE))</f>
        <v>241</v>
      </c>
      <c r="L2165">
        <f>IF(LEN(TRIM(E2165))=0,"",VLOOKUP(E2165,Sheet2!$B$1:$E$19,3,FALSE))</f>
        <v>1133738</v>
      </c>
      <c r="M2165">
        <f>IF(LEN(TRIM(E2165))=0,"",VLOOKUP(E2165,Sheet2!$B$1:$E$19,4,FALSE))+(F2165-1)</f>
        <v>3885695</v>
      </c>
      <c r="N2165"/>
      <c r="O2165"/>
      <c r="P2165"/>
      <c r="Q2165"/>
    </row>
    <row r="2166" spans="1:17" s="1" customFormat="1" ht="15" customHeight="1" x14ac:dyDescent="0.25">
      <c r="A2166" s="31" t="s">
        <v>42</v>
      </c>
      <c r="B2166" s="31" t="s">
        <v>33</v>
      </c>
      <c r="C2166" s="7" t="s">
        <v>2245</v>
      </c>
      <c r="D2166" s="1" t="s">
        <v>454</v>
      </c>
      <c r="E2166" s="1">
        <v>2173</v>
      </c>
      <c r="F2166" s="28">
        <v>196</v>
      </c>
      <c r="G2166" s="9">
        <v>2</v>
      </c>
      <c r="H2166" s="1" t="s">
        <v>3073</v>
      </c>
      <c r="I2166" s="1" t="s">
        <v>3073</v>
      </c>
      <c r="J2166" t="str">
        <f t="shared" si="33"/>
        <v>http://www.badatelna.eu/reprodukce/?fondId=1073&amp;zaznamId=1108959&amp;reproId=3780189</v>
      </c>
      <c r="K2166">
        <f>IF(LEN(TRIM(E2166))=0,"",VLOOKUP(E2166,Sheet2!$B$1:$E$19,2,FALSE))</f>
        <v>1073</v>
      </c>
      <c r="L2166">
        <f>IF(LEN(TRIM(E2166))=0,"",VLOOKUP(E2166,Sheet2!$B$1:$E$19,3,FALSE))</f>
        <v>1108959</v>
      </c>
      <c r="M2166">
        <f>IF(LEN(TRIM(E2166))=0,"",VLOOKUP(E2166,Sheet2!$B$1:$E$19,4,FALSE))+(F2166-1)</f>
        <v>3780189</v>
      </c>
      <c r="N2166"/>
      <c r="O2166"/>
      <c r="P2166"/>
      <c r="Q2166"/>
    </row>
    <row r="2167" spans="1:17" s="1" customFormat="1" ht="15" customHeight="1" x14ac:dyDescent="0.25">
      <c r="A2167" s="32" t="s">
        <v>42</v>
      </c>
      <c r="B2167" s="31" t="s">
        <v>33</v>
      </c>
      <c r="C2167" s="7" t="s">
        <v>2229</v>
      </c>
      <c r="D2167" s="1" t="s">
        <v>454</v>
      </c>
      <c r="E2167" s="1">
        <v>2173</v>
      </c>
      <c r="F2167" s="28">
        <v>196</v>
      </c>
      <c r="G2167" s="9">
        <v>2</v>
      </c>
      <c r="H2167" s="1" t="s">
        <v>3073</v>
      </c>
      <c r="I2167" s="1" t="s">
        <v>3073</v>
      </c>
      <c r="J2167" t="str">
        <f t="shared" si="33"/>
        <v>http://www.badatelna.eu/reprodukce/?fondId=1073&amp;zaznamId=1108959&amp;reproId=3780189</v>
      </c>
      <c r="K2167">
        <f>IF(LEN(TRIM(E2167))=0,"",VLOOKUP(E2167,Sheet2!$B$1:$E$19,2,FALSE))</f>
        <v>1073</v>
      </c>
      <c r="L2167">
        <f>IF(LEN(TRIM(E2167))=0,"",VLOOKUP(E2167,Sheet2!$B$1:$E$19,3,FALSE))</f>
        <v>1108959</v>
      </c>
      <c r="M2167">
        <f>IF(LEN(TRIM(E2167))=0,"",VLOOKUP(E2167,Sheet2!$B$1:$E$19,4,FALSE))+(F2167-1)</f>
        <v>3780189</v>
      </c>
    </row>
    <row r="2168" spans="1:17" s="1" customFormat="1" ht="15" customHeight="1" x14ac:dyDescent="0.25">
      <c r="A2168" s="28" t="s">
        <v>42</v>
      </c>
      <c r="B2168" s="28" t="s">
        <v>450</v>
      </c>
      <c r="C2168" s="6" t="s">
        <v>2744</v>
      </c>
      <c r="D2168" s="1" t="s">
        <v>454</v>
      </c>
      <c r="E2168" s="1">
        <v>2173</v>
      </c>
      <c r="F2168" s="28">
        <v>229</v>
      </c>
      <c r="G2168" s="9">
        <v>62</v>
      </c>
      <c r="H2168" s="1" t="s">
        <v>3073</v>
      </c>
      <c r="I2168" s="1" t="s">
        <v>3073</v>
      </c>
      <c r="J2168" t="str">
        <f t="shared" si="33"/>
        <v>http://www.badatelna.eu/reprodukce/?fondId=1073&amp;zaznamId=1108959&amp;reproId=3780222</v>
      </c>
      <c r="K2168">
        <f>IF(LEN(TRIM(E2168))=0,"",VLOOKUP(E2168,Sheet2!$B$1:$E$19,2,FALSE))</f>
        <v>1073</v>
      </c>
      <c r="L2168">
        <f>IF(LEN(TRIM(E2168))=0,"",VLOOKUP(E2168,Sheet2!$B$1:$E$19,3,FALSE))</f>
        <v>1108959</v>
      </c>
      <c r="M2168">
        <f>IF(LEN(TRIM(E2168))=0,"",VLOOKUP(E2168,Sheet2!$B$1:$E$19,4,FALSE))+(F2168-1)</f>
        <v>3780222</v>
      </c>
      <c r="N2168"/>
      <c r="O2168"/>
      <c r="P2168"/>
      <c r="Q2168"/>
    </row>
    <row r="2169" spans="1:17" s="1" customFormat="1" ht="15" customHeight="1" x14ac:dyDescent="0.25">
      <c r="A2169" s="28" t="s">
        <v>42</v>
      </c>
      <c r="B2169" s="28" t="s">
        <v>528</v>
      </c>
      <c r="C2169" s="1">
        <v>1857</v>
      </c>
      <c r="D2169" s="1" t="s">
        <v>2919</v>
      </c>
      <c r="E2169" s="1">
        <v>998</v>
      </c>
      <c r="F2169" s="28">
        <v>51</v>
      </c>
      <c r="G2169" s="1">
        <v>49</v>
      </c>
      <c r="H2169" s="1">
        <v>79</v>
      </c>
      <c r="I2169" s="1">
        <v>77</v>
      </c>
      <c r="J2169" t="str">
        <f t="shared" si="33"/>
        <v>http://www.badatelna.eu/reprodukce/?fondId=241&amp;zaznamId=1133738&amp;reproId=3885697</v>
      </c>
      <c r="K2169">
        <f>IF(LEN(TRIM(E2169))=0,"",VLOOKUP(E2169,Sheet2!$B$1:$E$19,2,FALSE))</f>
        <v>241</v>
      </c>
      <c r="L2169">
        <f>IF(LEN(TRIM(E2169))=0,"",VLOOKUP(E2169,Sheet2!$B$1:$E$19,3,FALSE))</f>
        <v>1133738</v>
      </c>
      <c r="M2169">
        <f>IF(LEN(TRIM(E2169))=0,"",VLOOKUP(E2169,Sheet2!$B$1:$E$19,4,FALSE))+(F2169-1)</f>
        <v>3885697</v>
      </c>
      <c r="N2169"/>
      <c r="O2169"/>
      <c r="P2169"/>
      <c r="Q2169"/>
    </row>
    <row r="2170" spans="1:17" s="1" customFormat="1" ht="15" customHeight="1" x14ac:dyDescent="0.25">
      <c r="A2170" s="28" t="s">
        <v>42</v>
      </c>
      <c r="B2170" s="28" t="s">
        <v>3018</v>
      </c>
      <c r="C2170" s="1">
        <v>1858</v>
      </c>
      <c r="D2170" s="1" t="s">
        <v>2919</v>
      </c>
      <c r="E2170" s="1">
        <v>998</v>
      </c>
      <c r="F2170" s="28">
        <v>53</v>
      </c>
      <c r="G2170" s="1">
        <v>51</v>
      </c>
      <c r="H2170" s="1">
        <v>79</v>
      </c>
      <c r="I2170" s="1">
        <v>77</v>
      </c>
      <c r="J2170" t="str">
        <f t="shared" si="33"/>
        <v>http://www.badatelna.eu/reprodukce/?fondId=241&amp;zaznamId=1133738&amp;reproId=3885699</v>
      </c>
      <c r="K2170">
        <f>IF(LEN(TRIM(E2170))=0,"",VLOOKUP(E2170,Sheet2!$B$1:$E$19,2,FALSE))</f>
        <v>241</v>
      </c>
      <c r="L2170">
        <f>IF(LEN(TRIM(E2170))=0,"",VLOOKUP(E2170,Sheet2!$B$1:$E$19,3,FALSE))</f>
        <v>1133738</v>
      </c>
      <c r="M2170">
        <f>IF(LEN(TRIM(E2170))=0,"",VLOOKUP(E2170,Sheet2!$B$1:$E$19,4,FALSE))+(F2170-1)</f>
        <v>3885699</v>
      </c>
    </row>
    <row r="2171" spans="1:17" s="1" customFormat="1" ht="15" customHeight="1" x14ac:dyDescent="0.25">
      <c r="A2171" s="28" t="s">
        <v>42</v>
      </c>
      <c r="B2171" s="29" t="s">
        <v>3016</v>
      </c>
      <c r="C2171" s="1">
        <v>1855</v>
      </c>
      <c r="D2171" s="1" t="s">
        <v>2919</v>
      </c>
      <c r="E2171" s="1">
        <v>998</v>
      </c>
      <c r="F2171" s="28">
        <v>44</v>
      </c>
      <c r="G2171" s="1">
        <v>42</v>
      </c>
      <c r="H2171" s="1">
        <v>79</v>
      </c>
      <c r="I2171" s="1">
        <v>77</v>
      </c>
      <c r="J2171" t="str">
        <f t="shared" si="33"/>
        <v>http://www.badatelna.eu/reprodukce/?fondId=241&amp;zaznamId=1133738&amp;reproId=3885690</v>
      </c>
      <c r="K2171">
        <f>IF(LEN(TRIM(E2171))=0,"",VLOOKUP(E2171,Sheet2!$B$1:$E$19,2,FALSE))</f>
        <v>241</v>
      </c>
      <c r="L2171">
        <f>IF(LEN(TRIM(E2171))=0,"",VLOOKUP(E2171,Sheet2!$B$1:$E$19,3,FALSE))</f>
        <v>1133738</v>
      </c>
      <c r="M2171">
        <f>IF(LEN(TRIM(E2171))=0,"",VLOOKUP(E2171,Sheet2!$B$1:$E$19,4,FALSE))+(F2171-1)</f>
        <v>3885690</v>
      </c>
    </row>
    <row r="2172" spans="1:17" s="1" customFormat="1" ht="15" customHeight="1" x14ac:dyDescent="0.25">
      <c r="A2172" s="27" t="s">
        <v>42</v>
      </c>
      <c r="B2172" s="27" t="s">
        <v>538</v>
      </c>
      <c r="C2172" s="5" t="s">
        <v>1407</v>
      </c>
      <c r="D2172" s="3" t="s">
        <v>454</v>
      </c>
      <c r="E2172" s="3">
        <v>2170</v>
      </c>
      <c r="F2172" s="28">
        <v>39</v>
      </c>
      <c r="G2172" s="10">
        <v>35</v>
      </c>
      <c r="H2172" s="3">
        <v>71</v>
      </c>
      <c r="I2172" s="3">
        <v>67</v>
      </c>
      <c r="J2172" t="str">
        <f t="shared" si="33"/>
        <v>http://www.badatelna.eu/reprodukce/?fondId=1073&amp;zaznamId=1108956&amp;reproId=3779631</v>
      </c>
      <c r="K2172">
        <f>IF(LEN(TRIM(E2172))=0,"",VLOOKUP(E2172,Sheet2!$B$1:$E$19,2,FALSE))</f>
        <v>1073</v>
      </c>
      <c r="L2172">
        <f>IF(LEN(TRIM(E2172))=0,"",VLOOKUP(E2172,Sheet2!$B$1:$E$19,3,FALSE))</f>
        <v>1108956</v>
      </c>
      <c r="M2172">
        <f>IF(LEN(TRIM(E2172))=0,"",VLOOKUP(E2172,Sheet2!$B$1:$E$19,4,FALSE))+(F2172-1)</f>
        <v>3779631</v>
      </c>
    </row>
    <row r="2173" spans="1:17" s="1" customFormat="1" ht="15" customHeight="1" x14ac:dyDescent="0.25">
      <c r="A2173" s="28" t="s">
        <v>42</v>
      </c>
      <c r="B2173" s="28" t="s">
        <v>332</v>
      </c>
      <c r="C2173" s="1">
        <v>1847</v>
      </c>
      <c r="D2173" s="1" t="s">
        <v>2919</v>
      </c>
      <c r="E2173" s="1">
        <v>998</v>
      </c>
      <c r="F2173" s="28">
        <v>3</v>
      </c>
      <c r="G2173" s="1">
        <v>1</v>
      </c>
      <c r="H2173" s="1">
        <v>78</v>
      </c>
      <c r="I2173" s="1">
        <v>76</v>
      </c>
      <c r="J2173" t="str">
        <f t="shared" si="33"/>
        <v>http://www.badatelna.eu/reprodukce/?fondId=241&amp;zaznamId=1133738&amp;reproId=3885649</v>
      </c>
      <c r="K2173">
        <f>IF(LEN(TRIM(E2173))=0,"",VLOOKUP(E2173,Sheet2!$B$1:$E$19,2,FALSE))</f>
        <v>241</v>
      </c>
      <c r="L2173">
        <f>IF(LEN(TRIM(E2173))=0,"",VLOOKUP(E2173,Sheet2!$B$1:$E$19,3,FALSE))</f>
        <v>1133738</v>
      </c>
      <c r="M2173">
        <f>IF(LEN(TRIM(E2173))=0,"",VLOOKUP(E2173,Sheet2!$B$1:$E$19,4,FALSE))+(F2173-1)</f>
        <v>3885649</v>
      </c>
    </row>
    <row r="2174" spans="1:17" s="1" customFormat="1" ht="15" customHeight="1" x14ac:dyDescent="0.25">
      <c r="A2174" s="28" t="s">
        <v>42</v>
      </c>
      <c r="B2174" s="28" t="s">
        <v>552</v>
      </c>
      <c r="C2174" s="1">
        <v>1848</v>
      </c>
      <c r="D2174" s="1" t="s">
        <v>2919</v>
      </c>
      <c r="E2174" s="1">
        <v>998</v>
      </c>
      <c r="F2174" s="28">
        <v>14</v>
      </c>
      <c r="G2174" s="1">
        <v>12</v>
      </c>
      <c r="H2174" s="1">
        <v>78</v>
      </c>
      <c r="I2174" s="1">
        <v>76</v>
      </c>
      <c r="J2174" t="str">
        <f t="shared" si="33"/>
        <v>http://www.badatelna.eu/reprodukce/?fondId=241&amp;zaznamId=1133738&amp;reproId=3885660</v>
      </c>
      <c r="K2174">
        <f>IF(LEN(TRIM(E2174))=0,"",VLOOKUP(E2174,Sheet2!$B$1:$E$19,2,FALSE))</f>
        <v>241</v>
      </c>
      <c r="L2174">
        <f>IF(LEN(TRIM(E2174))=0,"",VLOOKUP(E2174,Sheet2!$B$1:$E$19,3,FALSE))</f>
        <v>1133738</v>
      </c>
      <c r="M2174">
        <f>IF(LEN(TRIM(E2174))=0,"",VLOOKUP(E2174,Sheet2!$B$1:$E$19,4,FALSE))+(F2174-1)</f>
        <v>3885660</v>
      </c>
      <c r="N2174"/>
      <c r="O2174"/>
      <c r="P2174"/>
      <c r="Q2174"/>
    </row>
    <row r="2175" spans="1:17" s="1" customFormat="1" ht="15" customHeight="1" x14ac:dyDescent="0.25">
      <c r="A2175" s="28" t="s">
        <v>42</v>
      </c>
      <c r="B2175" s="28" t="s">
        <v>80</v>
      </c>
      <c r="C2175" s="6" t="s">
        <v>2460</v>
      </c>
      <c r="D2175" s="1" t="s">
        <v>454</v>
      </c>
      <c r="E2175" s="1">
        <v>2173</v>
      </c>
      <c r="F2175" s="28">
        <v>204</v>
      </c>
      <c r="G2175" s="1">
        <v>17</v>
      </c>
      <c r="H2175" s="1" t="s">
        <v>3073</v>
      </c>
      <c r="I2175" s="1" t="s">
        <v>3073</v>
      </c>
      <c r="J2175" t="str">
        <f t="shared" si="33"/>
        <v>http://www.badatelna.eu/reprodukce/?fondId=1073&amp;zaznamId=1108959&amp;reproId=3780197</v>
      </c>
      <c r="K2175">
        <f>IF(LEN(TRIM(E2175))=0,"",VLOOKUP(E2175,Sheet2!$B$1:$E$19,2,FALSE))</f>
        <v>1073</v>
      </c>
      <c r="L2175">
        <f>IF(LEN(TRIM(E2175))=0,"",VLOOKUP(E2175,Sheet2!$B$1:$E$19,3,FALSE))</f>
        <v>1108959</v>
      </c>
      <c r="M2175">
        <f>IF(LEN(TRIM(E2175))=0,"",VLOOKUP(E2175,Sheet2!$B$1:$E$19,4,FALSE))+(F2175-1)</f>
        <v>3780197</v>
      </c>
      <c r="N2175"/>
      <c r="O2175"/>
      <c r="P2175"/>
      <c r="Q2175"/>
    </row>
    <row r="2176" spans="1:17" s="1" customFormat="1" ht="15" customHeight="1" x14ac:dyDescent="0.25">
      <c r="A2176" s="27" t="s">
        <v>609</v>
      </c>
      <c r="B2176" s="27" t="s">
        <v>472</v>
      </c>
      <c r="C2176" s="5" t="s">
        <v>1363</v>
      </c>
      <c r="D2176" s="3" t="s">
        <v>454</v>
      </c>
      <c r="E2176" s="3">
        <v>2170</v>
      </c>
      <c r="F2176" s="28">
        <v>23</v>
      </c>
      <c r="G2176" s="10">
        <v>19</v>
      </c>
      <c r="H2176" s="3">
        <v>70</v>
      </c>
      <c r="I2176" s="3">
        <v>66</v>
      </c>
      <c r="J2176" t="str">
        <f t="shared" si="33"/>
        <v>http://www.badatelna.eu/reprodukce/?fondId=1073&amp;zaznamId=1108956&amp;reproId=3779615</v>
      </c>
      <c r="K2176">
        <f>IF(LEN(TRIM(E2176))=0,"",VLOOKUP(E2176,Sheet2!$B$1:$E$19,2,FALSE))</f>
        <v>1073</v>
      </c>
      <c r="L2176">
        <f>IF(LEN(TRIM(E2176))=0,"",VLOOKUP(E2176,Sheet2!$B$1:$E$19,3,FALSE))</f>
        <v>1108956</v>
      </c>
      <c r="M2176">
        <f>IF(LEN(TRIM(E2176))=0,"",VLOOKUP(E2176,Sheet2!$B$1:$E$19,4,FALSE))+(F2176-1)</f>
        <v>3779615</v>
      </c>
      <c r="N2176"/>
      <c r="O2176"/>
      <c r="P2176"/>
      <c r="Q2176"/>
    </row>
    <row r="2177" spans="1:17" s="1" customFormat="1" ht="15" customHeight="1" x14ac:dyDescent="0.25">
      <c r="A2177" s="28" t="s">
        <v>609</v>
      </c>
      <c r="B2177" s="28" t="s">
        <v>498</v>
      </c>
      <c r="C2177" s="6" t="s">
        <v>1701</v>
      </c>
      <c r="D2177" s="1" t="s">
        <v>454</v>
      </c>
      <c r="E2177" s="1">
        <v>2172</v>
      </c>
      <c r="F2177" s="28">
        <v>114</v>
      </c>
      <c r="G2177" s="9" t="s">
        <v>2770</v>
      </c>
      <c r="H2177" s="1">
        <v>117</v>
      </c>
      <c r="I2177" s="1">
        <v>116</v>
      </c>
      <c r="J2177" t="str">
        <f t="shared" si="33"/>
        <v>http://www.badatelna.eu/reprodukce/?fondId=1073&amp;zaznamId=1108958&amp;reproId=3779855</v>
      </c>
      <c r="K2177">
        <f>IF(LEN(TRIM(E2177))=0,"",VLOOKUP(E2177,Sheet2!$B$1:$E$19,2,FALSE))</f>
        <v>1073</v>
      </c>
      <c r="L2177">
        <f>IF(LEN(TRIM(E2177))=0,"",VLOOKUP(E2177,Sheet2!$B$1:$E$19,3,FALSE))</f>
        <v>1108958</v>
      </c>
      <c r="M2177">
        <f>IF(LEN(TRIM(E2177))=0,"",VLOOKUP(E2177,Sheet2!$B$1:$E$19,4,FALSE))+(F2177-1)</f>
        <v>3779855</v>
      </c>
      <c r="N2177"/>
      <c r="O2177"/>
      <c r="P2177"/>
      <c r="Q2177"/>
    </row>
    <row r="2178" spans="1:17" s="1" customFormat="1" ht="15" customHeight="1" x14ac:dyDescent="0.25">
      <c r="A2178" s="28" t="s">
        <v>609</v>
      </c>
      <c r="B2178" s="28" t="s">
        <v>19</v>
      </c>
      <c r="C2178" s="1">
        <v>1861</v>
      </c>
      <c r="D2178" s="1" t="s">
        <v>2919</v>
      </c>
      <c r="E2178" s="1">
        <v>998</v>
      </c>
      <c r="F2178" s="28">
        <v>60</v>
      </c>
      <c r="G2178" s="1">
        <v>57</v>
      </c>
      <c r="H2178" s="1">
        <v>79</v>
      </c>
      <c r="I2178" s="1">
        <v>77</v>
      </c>
      <c r="J2178" t="str">
        <f t="shared" si="33"/>
        <v>http://www.badatelna.eu/reprodukce/?fondId=241&amp;zaznamId=1133738&amp;reproId=3885706</v>
      </c>
      <c r="K2178">
        <f>IF(LEN(TRIM(E2178))=0,"",VLOOKUP(E2178,Sheet2!$B$1:$E$19,2,FALSE))</f>
        <v>241</v>
      </c>
      <c r="L2178">
        <f>IF(LEN(TRIM(E2178))=0,"",VLOOKUP(E2178,Sheet2!$B$1:$E$19,3,FALSE))</f>
        <v>1133738</v>
      </c>
      <c r="M2178">
        <f>IF(LEN(TRIM(E2178))=0,"",VLOOKUP(E2178,Sheet2!$B$1:$E$19,4,FALSE))+(F2178-1)</f>
        <v>3885706</v>
      </c>
      <c r="N2178"/>
      <c r="O2178"/>
      <c r="P2178"/>
      <c r="Q2178"/>
    </row>
    <row r="2179" spans="1:17" s="1" customFormat="1" ht="15" customHeight="1" x14ac:dyDescent="0.25">
      <c r="A2179" s="28" t="s">
        <v>609</v>
      </c>
      <c r="B2179" s="28" t="s">
        <v>631</v>
      </c>
      <c r="C2179" s="6" t="s">
        <v>1528</v>
      </c>
      <c r="D2179" s="1" t="s">
        <v>454</v>
      </c>
      <c r="E2179" s="1">
        <v>2172</v>
      </c>
      <c r="F2179" s="28">
        <v>13</v>
      </c>
      <c r="G2179" s="9">
        <v>12</v>
      </c>
      <c r="H2179" s="1" t="s">
        <v>3073</v>
      </c>
      <c r="I2179" s="1" t="s">
        <v>3073</v>
      </c>
      <c r="J2179" t="str">
        <f t="shared" ref="J2179:J2242" si="34">IF(LEN(TRIM(E2179))=0,"","http://www.badatelna.eu/reprodukce/?fondId="&amp;K2179&amp;"&amp;zaznamId="&amp;L2179&amp;"&amp;reproId="&amp;M2179)</f>
        <v>http://www.badatelna.eu/reprodukce/?fondId=1073&amp;zaznamId=1108958&amp;reproId=3779754</v>
      </c>
      <c r="K2179">
        <f>IF(LEN(TRIM(E2179))=0,"",VLOOKUP(E2179,Sheet2!$B$1:$E$19,2,FALSE))</f>
        <v>1073</v>
      </c>
      <c r="L2179">
        <f>IF(LEN(TRIM(E2179))=0,"",VLOOKUP(E2179,Sheet2!$B$1:$E$19,3,FALSE))</f>
        <v>1108958</v>
      </c>
      <c r="M2179">
        <f>IF(LEN(TRIM(E2179))=0,"",VLOOKUP(E2179,Sheet2!$B$1:$E$19,4,FALSE))+(F2179-1)</f>
        <v>3779754</v>
      </c>
      <c r="N2179"/>
      <c r="O2179"/>
      <c r="P2179"/>
      <c r="Q2179"/>
    </row>
    <row r="2180" spans="1:17" s="1" customFormat="1" ht="15" customHeight="1" x14ac:dyDescent="0.25">
      <c r="A2180" s="27" t="s">
        <v>609</v>
      </c>
      <c r="B2180" s="27" t="s">
        <v>65</v>
      </c>
      <c r="C2180" s="5" t="s">
        <v>1362</v>
      </c>
      <c r="D2180" s="3" t="s">
        <v>454</v>
      </c>
      <c r="E2180" s="3">
        <v>2170</v>
      </c>
      <c r="F2180" s="28">
        <v>28</v>
      </c>
      <c r="G2180" s="10">
        <v>24</v>
      </c>
      <c r="H2180" s="3">
        <v>70</v>
      </c>
      <c r="I2180" s="3">
        <v>66</v>
      </c>
      <c r="J2180" t="str">
        <f t="shared" si="34"/>
        <v>http://www.badatelna.eu/reprodukce/?fondId=1073&amp;zaznamId=1108956&amp;reproId=3779620</v>
      </c>
      <c r="K2180">
        <f>IF(LEN(TRIM(E2180))=0,"",VLOOKUP(E2180,Sheet2!$B$1:$E$19,2,FALSE))</f>
        <v>1073</v>
      </c>
      <c r="L2180">
        <f>IF(LEN(TRIM(E2180))=0,"",VLOOKUP(E2180,Sheet2!$B$1:$E$19,3,FALSE))</f>
        <v>1108956</v>
      </c>
      <c r="M2180">
        <f>IF(LEN(TRIM(E2180))=0,"",VLOOKUP(E2180,Sheet2!$B$1:$E$19,4,FALSE))+(F2180-1)</f>
        <v>3779620</v>
      </c>
    </row>
    <row r="2181" spans="1:17" s="1" customFormat="1" ht="15" customHeight="1" x14ac:dyDescent="0.25">
      <c r="A2181" s="28" t="s">
        <v>3019</v>
      </c>
      <c r="B2181" s="28" t="s">
        <v>2982</v>
      </c>
      <c r="C2181" s="1">
        <v>1858</v>
      </c>
      <c r="D2181" s="1" t="s">
        <v>2919</v>
      </c>
      <c r="E2181" s="1">
        <v>998</v>
      </c>
      <c r="F2181" s="28">
        <v>54</v>
      </c>
      <c r="G2181" s="1">
        <v>52</v>
      </c>
      <c r="H2181" s="1">
        <v>79</v>
      </c>
      <c r="I2181" s="1">
        <v>77</v>
      </c>
      <c r="J2181" t="str">
        <f t="shared" si="34"/>
        <v>http://www.badatelna.eu/reprodukce/?fondId=241&amp;zaznamId=1133738&amp;reproId=3885700</v>
      </c>
      <c r="K2181">
        <f>IF(LEN(TRIM(E2181))=0,"",VLOOKUP(E2181,Sheet2!$B$1:$E$19,2,FALSE))</f>
        <v>241</v>
      </c>
      <c r="L2181">
        <f>IF(LEN(TRIM(E2181))=0,"",VLOOKUP(E2181,Sheet2!$B$1:$E$19,3,FALSE))</f>
        <v>1133738</v>
      </c>
      <c r="M2181">
        <f>IF(LEN(TRIM(E2181))=0,"",VLOOKUP(E2181,Sheet2!$B$1:$E$19,4,FALSE))+(F2181-1)</f>
        <v>3885700</v>
      </c>
      <c r="N2181"/>
      <c r="O2181"/>
      <c r="P2181"/>
      <c r="Q2181"/>
    </row>
    <row r="2182" spans="1:17" s="1" customFormat="1" ht="15" customHeight="1" x14ac:dyDescent="0.2">
      <c r="A2182" s="32" t="s">
        <v>2797</v>
      </c>
      <c r="B2182" s="31" t="s">
        <v>65</v>
      </c>
      <c r="C2182" s="23" t="s">
        <v>2795</v>
      </c>
      <c r="D2182" s="1" t="s">
        <v>454</v>
      </c>
      <c r="E2182" s="1">
        <v>2173</v>
      </c>
      <c r="F2182" s="31">
        <v>197</v>
      </c>
      <c r="G2182" s="12">
        <v>3</v>
      </c>
      <c r="H2182" s="1" t="s">
        <v>3073</v>
      </c>
      <c r="I2182" s="1" t="s">
        <v>3073</v>
      </c>
      <c r="J2182" t="str">
        <f t="shared" si="34"/>
        <v>http://www.badatelna.eu/reprodukce/?fondId=1073&amp;zaznamId=1108959&amp;reproId=3780190</v>
      </c>
      <c r="K2182">
        <f>IF(LEN(TRIM(E2182))=0,"",VLOOKUP(E2182,Sheet2!$B$1:$E$19,2,FALSE))</f>
        <v>1073</v>
      </c>
      <c r="L2182">
        <f>IF(LEN(TRIM(E2182))=0,"",VLOOKUP(E2182,Sheet2!$B$1:$E$19,3,FALSE))</f>
        <v>1108959</v>
      </c>
      <c r="M2182">
        <f>IF(LEN(TRIM(E2182))=0,"",VLOOKUP(E2182,Sheet2!$B$1:$E$19,4,FALSE))+(F2182-1)</f>
        <v>3780190</v>
      </c>
    </row>
    <row r="2183" spans="1:17" s="1" customFormat="1" ht="15" customHeight="1" x14ac:dyDescent="0.25">
      <c r="A2183" s="28" t="s">
        <v>136</v>
      </c>
      <c r="B2183" s="28" t="s">
        <v>165</v>
      </c>
      <c r="C2183" s="6" t="s">
        <v>2434</v>
      </c>
      <c r="D2183" s="1" t="s">
        <v>454</v>
      </c>
      <c r="E2183" s="1">
        <v>2173</v>
      </c>
      <c r="F2183" s="28">
        <v>203</v>
      </c>
      <c r="G2183" s="1">
        <v>16</v>
      </c>
      <c r="H2183" s="1" t="s">
        <v>3073</v>
      </c>
      <c r="I2183" s="1" t="s">
        <v>3073</v>
      </c>
      <c r="J2183" t="str">
        <f t="shared" si="34"/>
        <v>http://www.badatelna.eu/reprodukce/?fondId=1073&amp;zaznamId=1108959&amp;reproId=3780196</v>
      </c>
      <c r="K2183">
        <f>IF(LEN(TRIM(E2183))=0,"",VLOOKUP(E2183,Sheet2!$B$1:$E$19,2,FALSE))</f>
        <v>1073</v>
      </c>
      <c r="L2183">
        <f>IF(LEN(TRIM(E2183))=0,"",VLOOKUP(E2183,Sheet2!$B$1:$E$19,3,FALSE))</f>
        <v>1108959</v>
      </c>
      <c r="M2183">
        <f>IF(LEN(TRIM(E2183))=0,"",VLOOKUP(E2183,Sheet2!$B$1:$E$19,4,FALSE))+(F2183-1)</f>
        <v>3780196</v>
      </c>
      <c r="N2183"/>
      <c r="O2183"/>
      <c r="P2183"/>
      <c r="Q2183"/>
    </row>
    <row r="2184" spans="1:17" s="1" customFormat="1" ht="15" customHeight="1" x14ac:dyDescent="0.25">
      <c r="A2184" s="28" t="s">
        <v>136</v>
      </c>
      <c r="B2184" s="28" t="s">
        <v>420</v>
      </c>
      <c r="C2184" s="6" t="s">
        <v>2682</v>
      </c>
      <c r="D2184" s="1" t="s">
        <v>454</v>
      </c>
      <c r="E2184" s="1">
        <v>2173</v>
      </c>
      <c r="F2184" s="28">
        <v>223</v>
      </c>
      <c r="G2184" s="9">
        <v>51</v>
      </c>
      <c r="H2184" s="1" t="s">
        <v>3073</v>
      </c>
      <c r="I2184" s="1" t="s">
        <v>3073</v>
      </c>
      <c r="J2184" t="str">
        <f t="shared" si="34"/>
        <v>http://www.badatelna.eu/reprodukce/?fondId=1073&amp;zaznamId=1108959&amp;reproId=3780216</v>
      </c>
      <c r="K2184">
        <f>IF(LEN(TRIM(E2184))=0,"",VLOOKUP(E2184,Sheet2!$B$1:$E$19,2,FALSE))</f>
        <v>1073</v>
      </c>
      <c r="L2184">
        <f>IF(LEN(TRIM(E2184))=0,"",VLOOKUP(E2184,Sheet2!$B$1:$E$19,3,FALSE))</f>
        <v>1108959</v>
      </c>
      <c r="M2184">
        <f>IF(LEN(TRIM(E2184))=0,"",VLOOKUP(E2184,Sheet2!$B$1:$E$19,4,FALSE))+(F2184-1)</f>
        <v>3780216</v>
      </c>
    </row>
    <row r="2185" spans="1:17" s="1" customFormat="1" ht="15" customHeight="1" x14ac:dyDescent="0.25">
      <c r="A2185" s="28" t="s">
        <v>136</v>
      </c>
      <c r="B2185" s="28" t="s">
        <v>137</v>
      </c>
      <c r="C2185" s="6" t="s">
        <v>2521</v>
      </c>
      <c r="D2185" s="1" t="s">
        <v>454</v>
      </c>
      <c r="E2185" s="1">
        <v>2173</v>
      </c>
      <c r="F2185" s="28">
        <v>206</v>
      </c>
      <c r="G2185" s="1">
        <v>21</v>
      </c>
      <c r="H2185" s="1" t="s">
        <v>3073</v>
      </c>
      <c r="I2185" s="1" t="s">
        <v>3073</v>
      </c>
      <c r="J2185" t="str">
        <f t="shared" si="34"/>
        <v>http://www.badatelna.eu/reprodukce/?fondId=1073&amp;zaznamId=1108959&amp;reproId=3780199</v>
      </c>
      <c r="K2185">
        <f>IF(LEN(TRIM(E2185))=0,"",VLOOKUP(E2185,Sheet2!$B$1:$E$19,2,FALSE))</f>
        <v>1073</v>
      </c>
      <c r="L2185">
        <f>IF(LEN(TRIM(E2185))=0,"",VLOOKUP(E2185,Sheet2!$B$1:$E$19,3,FALSE))</f>
        <v>1108959</v>
      </c>
      <c r="M2185">
        <f>IF(LEN(TRIM(E2185))=0,"",VLOOKUP(E2185,Sheet2!$B$1:$E$19,4,FALSE))+(F2185-1)</f>
        <v>3780199</v>
      </c>
    </row>
    <row r="2186" spans="1:17" s="1" customFormat="1" ht="15" customHeight="1" x14ac:dyDescent="0.25">
      <c r="A2186" s="28" t="s">
        <v>136</v>
      </c>
      <c r="B2186" s="28" t="s">
        <v>137</v>
      </c>
      <c r="C2186" s="6" t="s">
        <v>2356</v>
      </c>
      <c r="D2186" s="1" t="s">
        <v>454</v>
      </c>
      <c r="E2186" s="1">
        <v>2173</v>
      </c>
      <c r="F2186" s="28">
        <v>200</v>
      </c>
      <c r="G2186" s="9">
        <v>10</v>
      </c>
      <c r="H2186" s="1" t="s">
        <v>3073</v>
      </c>
      <c r="I2186" s="1" t="s">
        <v>3073</v>
      </c>
      <c r="J2186" t="str">
        <f t="shared" si="34"/>
        <v>http://www.badatelna.eu/reprodukce/?fondId=1073&amp;zaznamId=1108959&amp;reproId=3780193</v>
      </c>
      <c r="K2186">
        <f>IF(LEN(TRIM(E2186))=0,"",VLOOKUP(E2186,Sheet2!$B$1:$E$19,2,FALSE))</f>
        <v>1073</v>
      </c>
      <c r="L2186">
        <f>IF(LEN(TRIM(E2186))=0,"",VLOOKUP(E2186,Sheet2!$B$1:$E$19,3,FALSE))</f>
        <v>1108959</v>
      </c>
      <c r="M2186">
        <f>IF(LEN(TRIM(E2186))=0,"",VLOOKUP(E2186,Sheet2!$B$1:$E$19,4,FALSE))+(F2186-1)</f>
        <v>3780193</v>
      </c>
    </row>
    <row r="2187" spans="1:17" s="1" customFormat="1" ht="15" customHeight="1" x14ac:dyDescent="0.25">
      <c r="A2187" s="28" t="s">
        <v>136</v>
      </c>
      <c r="B2187" s="28" t="s">
        <v>65</v>
      </c>
      <c r="C2187" s="6">
        <v>1846</v>
      </c>
      <c r="D2187" s="1" t="s">
        <v>454</v>
      </c>
      <c r="E2187" s="1">
        <v>2173</v>
      </c>
      <c r="F2187" s="28">
        <v>224</v>
      </c>
      <c r="G2187" s="9">
        <v>53</v>
      </c>
      <c r="H2187" s="1" t="s">
        <v>3073</v>
      </c>
      <c r="I2187" s="1" t="s">
        <v>3073</v>
      </c>
      <c r="J2187" t="str">
        <f t="shared" si="34"/>
        <v>http://www.badatelna.eu/reprodukce/?fondId=1073&amp;zaznamId=1108959&amp;reproId=3780217</v>
      </c>
      <c r="K2187">
        <f>IF(LEN(TRIM(E2187))=0,"",VLOOKUP(E2187,Sheet2!$B$1:$E$19,2,FALSE))</f>
        <v>1073</v>
      </c>
      <c r="L2187">
        <f>IF(LEN(TRIM(E2187))=0,"",VLOOKUP(E2187,Sheet2!$B$1:$E$19,3,FALSE))</f>
        <v>1108959</v>
      </c>
      <c r="M2187">
        <f>IF(LEN(TRIM(E2187))=0,"",VLOOKUP(E2187,Sheet2!$B$1:$E$19,4,FALSE))+(F2187-1)</f>
        <v>3780217</v>
      </c>
    </row>
    <row r="2188" spans="1:17" s="1" customFormat="1" ht="15" customHeight="1" x14ac:dyDescent="0.25">
      <c r="A2188" s="28" t="s">
        <v>3017</v>
      </c>
      <c r="B2188" s="28" t="s">
        <v>265</v>
      </c>
      <c r="C2188" s="1">
        <v>1857</v>
      </c>
      <c r="D2188" s="1" t="s">
        <v>2919</v>
      </c>
      <c r="E2188" s="1">
        <v>998</v>
      </c>
      <c r="F2188" s="28">
        <v>52</v>
      </c>
      <c r="G2188" s="1">
        <v>50</v>
      </c>
      <c r="H2188" s="1">
        <v>79</v>
      </c>
      <c r="I2188" s="1">
        <v>77</v>
      </c>
      <c r="J2188" t="str">
        <f t="shared" si="34"/>
        <v>http://www.badatelna.eu/reprodukce/?fondId=241&amp;zaznamId=1133738&amp;reproId=3885698</v>
      </c>
      <c r="K2188">
        <f>IF(LEN(TRIM(E2188))=0,"",VLOOKUP(E2188,Sheet2!$B$1:$E$19,2,FALSE))</f>
        <v>241</v>
      </c>
      <c r="L2188">
        <f>IF(LEN(TRIM(E2188))=0,"",VLOOKUP(E2188,Sheet2!$B$1:$E$19,3,FALSE))</f>
        <v>1133738</v>
      </c>
      <c r="M2188">
        <f>IF(LEN(TRIM(E2188))=0,"",VLOOKUP(E2188,Sheet2!$B$1:$E$19,4,FALSE))+(F2188-1)</f>
        <v>3885698</v>
      </c>
    </row>
    <row r="2189" spans="1:17" s="1" customFormat="1" ht="15" customHeight="1" x14ac:dyDescent="0.25">
      <c r="A2189" s="28" t="s">
        <v>368</v>
      </c>
      <c r="B2189" s="28" t="s">
        <v>305</v>
      </c>
      <c r="C2189" s="6" t="s">
        <v>2167</v>
      </c>
      <c r="D2189" s="1" t="s">
        <v>454</v>
      </c>
      <c r="E2189" s="1">
        <v>2173</v>
      </c>
      <c r="F2189" s="28">
        <v>179</v>
      </c>
      <c r="G2189" s="9">
        <v>5</v>
      </c>
      <c r="H2189" s="1">
        <v>192</v>
      </c>
      <c r="I2189" s="1">
        <v>427</v>
      </c>
      <c r="J2189" t="str">
        <f t="shared" si="34"/>
        <v>http://www.badatelna.eu/reprodukce/?fondId=1073&amp;zaznamId=1108959&amp;reproId=3780172</v>
      </c>
      <c r="K2189">
        <f>IF(LEN(TRIM(E2189))=0,"",VLOOKUP(E2189,Sheet2!$B$1:$E$19,2,FALSE))</f>
        <v>1073</v>
      </c>
      <c r="L2189">
        <f>IF(LEN(TRIM(E2189))=0,"",VLOOKUP(E2189,Sheet2!$B$1:$E$19,3,FALSE))</f>
        <v>1108959</v>
      </c>
      <c r="M2189">
        <f>IF(LEN(TRIM(E2189))=0,"",VLOOKUP(E2189,Sheet2!$B$1:$E$19,4,FALSE))+(F2189-1)</f>
        <v>3780172</v>
      </c>
      <c r="N2189"/>
      <c r="O2189"/>
      <c r="P2189"/>
      <c r="Q2189"/>
    </row>
    <row r="2190" spans="1:17" s="1" customFormat="1" ht="15" customHeight="1" x14ac:dyDescent="0.25">
      <c r="A2190" s="28" t="s">
        <v>368</v>
      </c>
      <c r="B2190" s="28" t="s">
        <v>53</v>
      </c>
      <c r="C2190" s="6" t="s">
        <v>2168</v>
      </c>
      <c r="D2190" s="1" t="s">
        <v>454</v>
      </c>
      <c r="E2190" s="1">
        <v>2173</v>
      </c>
      <c r="F2190" s="28">
        <v>182</v>
      </c>
      <c r="G2190" s="9">
        <v>10</v>
      </c>
      <c r="H2190" s="1">
        <v>192</v>
      </c>
      <c r="I2190" s="1">
        <v>427</v>
      </c>
      <c r="J2190" t="str">
        <f t="shared" si="34"/>
        <v>http://www.badatelna.eu/reprodukce/?fondId=1073&amp;zaznamId=1108959&amp;reproId=3780175</v>
      </c>
      <c r="K2190">
        <f>IF(LEN(TRIM(E2190))=0,"",VLOOKUP(E2190,Sheet2!$B$1:$E$19,2,FALSE))</f>
        <v>1073</v>
      </c>
      <c r="L2190">
        <f>IF(LEN(TRIM(E2190))=0,"",VLOOKUP(E2190,Sheet2!$B$1:$E$19,3,FALSE))</f>
        <v>1108959</v>
      </c>
      <c r="M2190">
        <f>IF(LEN(TRIM(E2190))=0,"",VLOOKUP(E2190,Sheet2!$B$1:$E$19,4,FALSE))+(F2190-1)</f>
        <v>3780175</v>
      </c>
    </row>
    <row r="2191" spans="1:17" s="1" customFormat="1" ht="15" customHeight="1" x14ac:dyDescent="0.25">
      <c r="A2191" s="27" t="s">
        <v>8</v>
      </c>
      <c r="B2191" s="27" t="s">
        <v>29</v>
      </c>
      <c r="C2191" s="5" t="s">
        <v>1364</v>
      </c>
      <c r="D2191" s="3" t="s">
        <v>454</v>
      </c>
      <c r="E2191" s="3">
        <v>2170</v>
      </c>
      <c r="F2191" s="28">
        <v>23</v>
      </c>
      <c r="G2191" s="10">
        <v>19</v>
      </c>
      <c r="H2191" s="3">
        <v>70</v>
      </c>
      <c r="I2191" s="3">
        <v>66</v>
      </c>
      <c r="J2191" t="str">
        <f t="shared" si="34"/>
        <v>http://www.badatelna.eu/reprodukce/?fondId=1073&amp;zaznamId=1108956&amp;reproId=3779615</v>
      </c>
      <c r="K2191">
        <f>IF(LEN(TRIM(E2191))=0,"",VLOOKUP(E2191,Sheet2!$B$1:$E$19,2,FALSE))</f>
        <v>1073</v>
      </c>
      <c r="L2191">
        <f>IF(LEN(TRIM(E2191))=0,"",VLOOKUP(E2191,Sheet2!$B$1:$E$19,3,FALSE))</f>
        <v>1108956</v>
      </c>
      <c r="M2191">
        <f>IF(LEN(TRIM(E2191))=0,"",VLOOKUP(E2191,Sheet2!$B$1:$E$19,4,FALSE))+(F2191-1)</f>
        <v>3779615</v>
      </c>
    </row>
    <row r="2192" spans="1:17" s="1" customFormat="1" ht="15" customHeight="1" x14ac:dyDescent="0.25">
      <c r="A2192" s="28" t="s">
        <v>8</v>
      </c>
      <c r="B2192" s="28" t="s">
        <v>29</v>
      </c>
      <c r="C2192" s="6" t="s">
        <v>2546</v>
      </c>
      <c r="D2192" s="1" t="s">
        <v>454</v>
      </c>
      <c r="E2192" s="1">
        <v>2173</v>
      </c>
      <c r="F2192" s="28">
        <v>207</v>
      </c>
      <c r="G2192" s="1">
        <v>23</v>
      </c>
      <c r="H2192" s="1" t="s">
        <v>3073</v>
      </c>
      <c r="I2192" s="1" t="s">
        <v>3073</v>
      </c>
      <c r="J2192" t="str">
        <f t="shared" si="34"/>
        <v>http://www.badatelna.eu/reprodukce/?fondId=1073&amp;zaznamId=1108959&amp;reproId=3780200</v>
      </c>
      <c r="K2192">
        <f>IF(LEN(TRIM(E2192))=0,"",VLOOKUP(E2192,Sheet2!$B$1:$E$19,2,FALSE))</f>
        <v>1073</v>
      </c>
      <c r="L2192">
        <f>IF(LEN(TRIM(E2192))=0,"",VLOOKUP(E2192,Sheet2!$B$1:$E$19,3,FALSE))</f>
        <v>1108959</v>
      </c>
      <c r="M2192">
        <f>IF(LEN(TRIM(E2192))=0,"",VLOOKUP(E2192,Sheet2!$B$1:$E$19,4,FALSE))+(F2192-1)</f>
        <v>3780200</v>
      </c>
    </row>
    <row r="2193" spans="1:17" s="1" customFormat="1" ht="15" customHeight="1" x14ac:dyDescent="0.25">
      <c r="A2193" s="27" t="s">
        <v>8</v>
      </c>
      <c r="B2193" s="27" t="s">
        <v>610</v>
      </c>
      <c r="C2193" s="5" t="s">
        <v>1408</v>
      </c>
      <c r="D2193" s="3" t="s">
        <v>454</v>
      </c>
      <c r="E2193" s="3">
        <v>2170</v>
      </c>
      <c r="F2193" s="28">
        <v>36</v>
      </c>
      <c r="G2193" s="10">
        <v>32</v>
      </c>
      <c r="H2193" s="3">
        <v>71</v>
      </c>
      <c r="I2193" s="3">
        <v>67</v>
      </c>
      <c r="J2193" t="str">
        <f t="shared" si="34"/>
        <v>http://www.badatelna.eu/reprodukce/?fondId=1073&amp;zaznamId=1108956&amp;reproId=3779628</v>
      </c>
      <c r="K2193">
        <f>IF(LEN(TRIM(E2193))=0,"",VLOOKUP(E2193,Sheet2!$B$1:$E$19,2,FALSE))</f>
        <v>1073</v>
      </c>
      <c r="L2193">
        <f>IF(LEN(TRIM(E2193))=0,"",VLOOKUP(E2193,Sheet2!$B$1:$E$19,3,FALSE))</f>
        <v>1108956</v>
      </c>
      <c r="M2193">
        <f>IF(LEN(TRIM(E2193))=0,"",VLOOKUP(E2193,Sheet2!$B$1:$E$19,4,FALSE))+(F2193-1)</f>
        <v>3779628</v>
      </c>
    </row>
    <row r="2194" spans="1:17" s="1" customFormat="1" ht="15" customHeight="1" x14ac:dyDescent="0.25">
      <c r="A2194" s="28" t="s">
        <v>8</v>
      </c>
      <c r="B2194" s="28" t="s">
        <v>45</v>
      </c>
      <c r="C2194" s="1">
        <v>1857</v>
      </c>
      <c r="D2194" s="1" t="s">
        <v>2919</v>
      </c>
      <c r="E2194" s="1">
        <v>998</v>
      </c>
      <c r="F2194" s="28">
        <v>52</v>
      </c>
      <c r="G2194" s="1">
        <v>50</v>
      </c>
      <c r="H2194" s="1">
        <v>79</v>
      </c>
      <c r="I2194" s="1">
        <v>77</v>
      </c>
      <c r="J2194" t="str">
        <f t="shared" si="34"/>
        <v>http://www.badatelna.eu/reprodukce/?fondId=241&amp;zaznamId=1133738&amp;reproId=3885698</v>
      </c>
      <c r="K2194">
        <f>IF(LEN(TRIM(E2194))=0,"",VLOOKUP(E2194,Sheet2!$B$1:$E$19,2,FALSE))</f>
        <v>241</v>
      </c>
      <c r="L2194">
        <f>IF(LEN(TRIM(E2194))=0,"",VLOOKUP(E2194,Sheet2!$B$1:$E$19,3,FALSE))</f>
        <v>1133738</v>
      </c>
      <c r="M2194">
        <f>IF(LEN(TRIM(E2194))=0,"",VLOOKUP(E2194,Sheet2!$B$1:$E$19,4,FALSE))+(F2194-1)</f>
        <v>3885698</v>
      </c>
    </row>
    <row r="2195" spans="1:17" s="1" customFormat="1" ht="15" customHeight="1" x14ac:dyDescent="0.25">
      <c r="A2195" s="28" t="s">
        <v>8</v>
      </c>
      <c r="B2195" s="28" t="s">
        <v>25</v>
      </c>
      <c r="C2195" s="1">
        <v>1857</v>
      </c>
      <c r="D2195" s="1" t="s">
        <v>2919</v>
      </c>
      <c r="E2195" s="1">
        <v>998</v>
      </c>
      <c r="F2195" s="28">
        <v>52</v>
      </c>
      <c r="G2195" s="1">
        <v>50</v>
      </c>
      <c r="H2195" s="1">
        <v>79</v>
      </c>
      <c r="I2195" s="1">
        <v>77</v>
      </c>
      <c r="J2195" t="str">
        <f t="shared" si="34"/>
        <v>http://www.badatelna.eu/reprodukce/?fondId=241&amp;zaznamId=1133738&amp;reproId=3885698</v>
      </c>
      <c r="K2195">
        <f>IF(LEN(TRIM(E2195))=0,"",VLOOKUP(E2195,Sheet2!$B$1:$E$19,2,FALSE))</f>
        <v>241</v>
      </c>
      <c r="L2195">
        <f>IF(LEN(TRIM(E2195))=0,"",VLOOKUP(E2195,Sheet2!$B$1:$E$19,3,FALSE))</f>
        <v>1133738</v>
      </c>
      <c r="M2195">
        <f>IF(LEN(TRIM(E2195))=0,"",VLOOKUP(E2195,Sheet2!$B$1:$E$19,4,FALSE))+(F2195-1)</f>
        <v>3885698</v>
      </c>
    </row>
    <row r="2196" spans="1:17" s="1" customFormat="1" ht="15" customHeight="1" x14ac:dyDescent="0.25">
      <c r="A2196" s="28" t="s">
        <v>8</v>
      </c>
      <c r="B2196" s="28" t="s">
        <v>25</v>
      </c>
      <c r="C2196" s="6" t="s">
        <v>2522</v>
      </c>
      <c r="D2196" s="1" t="s">
        <v>454</v>
      </c>
      <c r="E2196" s="1">
        <v>2173</v>
      </c>
      <c r="F2196" s="28">
        <v>206</v>
      </c>
      <c r="G2196" s="1">
        <v>22</v>
      </c>
      <c r="H2196" s="1" t="s">
        <v>3073</v>
      </c>
      <c r="I2196" s="1" t="s">
        <v>3073</v>
      </c>
      <c r="J2196" t="str">
        <f t="shared" si="34"/>
        <v>http://www.badatelna.eu/reprodukce/?fondId=1073&amp;zaznamId=1108959&amp;reproId=3780199</v>
      </c>
      <c r="K2196">
        <f>IF(LEN(TRIM(E2196))=0,"",VLOOKUP(E2196,Sheet2!$B$1:$E$19,2,FALSE))</f>
        <v>1073</v>
      </c>
      <c r="L2196">
        <f>IF(LEN(TRIM(E2196))=0,"",VLOOKUP(E2196,Sheet2!$B$1:$E$19,3,FALSE))</f>
        <v>1108959</v>
      </c>
      <c r="M2196">
        <f>IF(LEN(TRIM(E2196))=0,"",VLOOKUP(E2196,Sheet2!$B$1:$E$19,4,FALSE))+(F2196-1)</f>
        <v>3780199</v>
      </c>
      <c r="N2196"/>
      <c r="O2196"/>
      <c r="P2196"/>
      <c r="Q2196"/>
    </row>
    <row r="2197" spans="1:17" s="1" customFormat="1" ht="15" customHeight="1" x14ac:dyDescent="0.25">
      <c r="A2197" s="28" t="s">
        <v>8</v>
      </c>
      <c r="B2197" s="28" t="s">
        <v>10</v>
      </c>
      <c r="C2197" s="1">
        <v>1851</v>
      </c>
      <c r="D2197" s="1" t="s">
        <v>2919</v>
      </c>
      <c r="E2197" s="1">
        <v>998</v>
      </c>
      <c r="F2197" s="28">
        <v>31</v>
      </c>
      <c r="G2197" s="1">
        <v>29</v>
      </c>
      <c r="H2197" s="1">
        <v>78</v>
      </c>
      <c r="I2197" s="1">
        <v>76</v>
      </c>
      <c r="J2197" t="str">
        <f t="shared" si="34"/>
        <v>http://www.badatelna.eu/reprodukce/?fondId=241&amp;zaznamId=1133738&amp;reproId=3885677</v>
      </c>
      <c r="K2197">
        <f>IF(LEN(TRIM(E2197))=0,"",VLOOKUP(E2197,Sheet2!$B$1:$E$19,2,FALSE))</f>
        <v>241</v>
      </c>
      <c r="L2197">
        <f>IF(LEN(TRIM(E2197))=0,"",VLOOKUP(E2197,Sheet2!$B$1:$E$19,3,FALSE))</f>
        <v>1133738</v>
      </c>
      <c r="M2197">
        <f>IF(LEN(TRIM(E2197))=0,"",VLOOKUP(E2197,Sheet2!$B$1:$E$19,4,FALSE))+(F2197-1)</f>
        <v>3885677</v>
      </c>
    </row>
    <row r="2198" spans="1:17" s="1" customFormat="1" ht="15" customHeight="1" x14ac:dyDescent="0.25">
      <c r="A2198" s="28" t="s">
        <v>8</v>
      </c>
      <c r="B2198" s="28" t="s">
        <v>10</v>
      </c>
      <c r="C2198" s="6" t="s">
        <v>2722</v>
      </c>
      <c r="D2198" s="1" t="s">
        <v>454</v>
      </c>
      <c r="E2198" s="1">
        <v>2173</v>
      </c>
      <c r="F2198" s="28">
        <v>225</v>
      </c>
      <c r="G2198" s="9">
        <v>55</v>
      </c>
      <c r="H2198" s="1" t="s">
        <v>3073</v>
      </c>
      <c r="I2198" s="1" t="s">
        <v>3073</v>
      </c>
      <c r="J2198" t="str">
        <f t="shared" si="34"/>
        <v>http://www.badatelna.eu/reprodukce/?fondId=1073&amp;zaznamId=1108959&amp;reproId=3780218</v>
      </c>
      <c r="K2198">
        <f>IF(LEN(TRIM(E2198))=0,"",VLOOKUP(E2198,Sheet2!$B$1:$E$19,2,FALSE))</f>
        <v>1073</v>
      </c>
      <c r="L2198">
        <f>IF(LEN(TRIM(E2198))=0,"",VLOOKUP(E2198,Sheet2!$B$1:$E$19,3,FALSE))</f>
        <v>1108959</v>
      </c>
      <c r="M2198">
        <f>IF(LEN(TRIM(E2198))=0,"",VLOOKUP(E2198,Sheet2!$B$1:$E$19,4,FALSE))+(F2198-1)</f>
        <v>3780218</v>
      </c>
      <c r="N2198"/>
      <c r="O2198"/>
      <c r="P2198"/>
      <c r="Q2198"/>
    </row>
    <row r="2199" spans="1:17" s="1" customFormat="1" ht="15" customHeight="1" x14ac:dyDescent="0.25">
      <c r="A2199" s="27" t="s">
        <v>8</v>
      </c>
      <c r="B2199" s="27" t="s">
        <v>314</v>
      </c>
      <c r="C2199" s="5" t="s">
        <v>1409</v>
      </c>
      <c r="D2199" s="3" t="s">
        <v>454</v>
      </c>
      <c r="E2199" s="3">
        <v>2170</v>
      </c>
      <c r="F2199" s="28">
        <v>54</v>
      </c>
      <c r="G2199" s="10">
        <v>50</v>
      </c>
      <c r="H2199" s="3">
        <v>71</v>
      </c>
      <c r="I2199" s="3">
        <v>67</v>
      </c>
      <c r="J2199" t="str">
        <f t="shared" si="34"/>
        <v>http://www.badatelna.eu/reprodukce/?fondId=1073&amp;zaznamId=1108956&amp;reproId=3779646</v>
      </c>
      <c r="K2199">
        <f>IF(LEN(TRIM(E2199))=0,"",VLOOKUP(E2199,Sheet2!$B$1:$E$19,2,FALSE))</f>
        <v>1073</v>
      </c>
      <c r="L2199">
        <f>IF(LEN(TRIM(E2199))=0,"",VLOOKUP(E2199,Sheet2!$B$1:$E$19,3,FALSE))</f>
        <v>1108956</v>
      </c>
      <c r="M2199">
        <f>IF(LEN(TRIM(E2199))=0,"",VLOOKUP(E2199,Sheet2!$B$1:$E$19,4,FALSE))+(F2199-1)</f>
        <v>3779646</v>
      </c>
    </row>
    <row r="2200" spans="1:17" s="1" customFormat="1" ht="15" customHeight="1" x14ac:dyDescent="0.25">
      <c r="A2200" s="28" t="s">
        <v>8</v>
      </c>
      <c r="B2200" s="28" t="s">
        <v>17</v>
      </c>
      <c r="C2200" s="6" t="s">
        <v>2246</v>
      </c>
      <c r="D2200" s="1" t="s">
        <v>454</v>
      </c>
      <c r="E2200" s="1">
        <v>2173</v>
      </c>
      <c r="F2200" s="28">
        <v>196</v>
      </c>
      <c r="G2200" s="9">
        <v>1</v>
      </c>
      <c r="H2200" s="1" t="s">
        <v>3073</v>
      </c>
      <c r="I2200" s="1" t="s">
        <v>3073</v>
      </c>
      <c r="J2200" t="str">
        <f t="shared" si="34"/>
        <v>http://www.badatelna.eu/reprodukce/?fondId=1073&amp;zaznamId=1108959&amp;reproId=3780189</v>
      </c>
      <c r="K2200">
        <f>IF(LEN(TRIM(E2200))=0,"",VLOOKUP(E2200,Sheet2!$B$1:$E$19,2,FALSE))</f>
        <v>1073</v>
      </c>
      <c r="L2200">
        <f>IF(LEN(TRIM(E2200))=0,"",VLOOKUP(E2200,Sheet2!$B$1:$E$19,3,FALSE))</f>
        <v>1108959</v>
      </c>
      <c r="M2200">
        <f>IF(LEN(TRIM(E2200))=0,"",VLOOKUP(E2200,Sheet2!$B$1:$E$19,4,FALSE))+(F2200-1)</f>
        <v>3780189</v>
      </c>
    </row>
    <row r="2201" spans="1:17" s="1" customFormat="1" ht="15" customHeight="1" x14ac:dyDescent="0.25">
      <c r="A2201" s="28" t="s">
        <v>8</v>
      </c>
      <c r="B2201" s="28" t="s">
        <v>469</v>
      </c>
      <c r="C2201" s="1">
        <v>1849</v>
      </c>
      <c r="D2201" s="1" t="s">
        <v>2919</v>
      </c>
      <c r="E2201" s="1">
        <v>998</v>
      </c>
      <c r="F2201" s="28">
        <v>26</v>
      </c>
      <c r="G2201" s="1">
        <v>24</v>
      </c>
      <c r="H2201" s="1">
        <v>78</v>
      </c>
      <c r="I2201" s="1">
        <v>76</v>
      </c>
      <c r="J2201" t="str">
        <f t="shared" si="34"/>
        <v>http://www.badatelna.eu/reprodukce/?fondId=241&amp;zaznamId=1133738&amp;reproId=3885672</v>
      </c>
      <c r="K2201">
        <f>IF(LEN(TRIM(E2201))=0,"",VLOOKUP(E2201,Sheet2!$B$1:$E$19,2,FALSE))</f>
        <v>241</v>
      </c>
      <c r="L2201">
        <f>IF(LEN(TRIM(E2201))=0,"",VLOOKUP(E2201,Sheet2!$B$1:$E$19,3,FALSE))</f>
        <v>1133738</v>
      </c>
      <c r="M2201">
        <f>IF(LEN(TRIM(E2201))=0,"",VLOOKUP(E2201,Sheet2!$B$1:$E$19,4,FALSE))+(F2201-1)</f>
        <v>3885672</v>
      </c>
    </row>
    <row r="2202" spans="1:17" s="1" customFormat="1" ht="15" customHeight="1" x14ac:dyDescent="0.25">
      <c r="A2202" s="28" t="s">
        <v>8</v>
      </c>
      <c r="B2202" s="28" t="s">
        <v>54</v>
      </c>
      <c r="C2202" s="1">
        <v>1849</v>
      </c>
      <c r="D2202" s="1" t="s">
        <v>2919</v>
      </c>
      <c r="E2202" s="1">
        <v>998</v>
      </c>
      <c r="F2202" s="28">
        <v>20</v>
      </c>
      <c r="G2202" s="1">
        <v>18</v>
      </c>
      <c r="H2202" s="1">
        <v>78</v>
      </c>
      <c r="I2202" s="1">
        <v>76</v>
      </c>
      <c r="J2202" t="str">
        <f t="shared" si="34"/>
        <v>http://www.badatelna.eu/reprodukce/?fondId=241&amp;zaznamId=1133738&amp;reproId=3885666</v>
      </c>
      <c r="K2202">
        <f>IF(LEN(TRIM(E2202))=0,"",VLOOKUP(E2202,Sheet2!$B$1:$E$19,2,FALSE))</f>
        <v>241</v>
      </c>
      <c r="L2202">
        <f>IF(LEN(TRIM(E2202))=0,"",VLOOKUP(E2202,Sheet2!$B$1:$E$19,3,FALSE))</f>
        <v>1133738</v>
      </c>
      <c r="M2202">
        <f>IF(LEN(TRIM(E2202))=0,"",VLOOKUP(E2202,Sheet2!$B$1:$E$19,4,FALSE))+(F2202-1)</f>
        <v>3885666</v>
      </c>
      <c r="N2202"/>
      <c r="O2202"/>
      <c r="P2202"/>
      <c r="Q2202"/>
    </row>
    <row r="2203" spans="1:17" s="1" customFormat="1" ht="15" customHeight="1" x14ac:dyDescent="0.25">
      <c r="A2203" s="28" t="s">
        <v>8</v>
      </c>
      <c r="B2203" s="28" t="s">
        <v>54</v>
      </c>
      <c r="C2203" s="6" t="s">
        <v>2698</v>
      </c>
      <c r="D2203" s="1" t="s">
        <v>454</v>
      </c>
      <c r="E2203" s="1">
        <v>2173</v>
      </c>
      <c r="F2203" s="28">
        <v>224</v>
      </c>
      <c r="G2203" s="9">
        <v>54</v>
      </c>
      <c r="H2203" s="1" t="s">
        <v>3073</v>
      </c>
      <c r="I2203" s="1" t="s">
        <v>3073</v>
      </c>
      <c r="J2203" t="str">
        <f t="shared" si="34"/>
        <v>http://www.badatelna.eu/reprodukce/?fondId=1073&amp;zaznamId=1108959&amp;reproId=3780217</v>
      </c>
      <c r="K2203">
        <f>IF(LEN(TRIM(E2203))=0,"",VLOOKUP(E2203,Sheet2!$B$1:$E$19,2,FALSE))</f>
        <v>1073</v>
      </c>
      <c r="L2203">
        <f>IF(LEN(TRIM(E2203))=0,"",VLOOKUP(E2203,Sheet2!$B$1:$E$19,3,FALSE))</f>
        <v>1108959</v>
      </c>
      <c r="M2203">
        <f>IF(LEN(TRIM(E2203))=0,"",VLOOKUP(E2203,Sheet2!$B$1:$E$19,4,FALSE))+(F2203-1)</f>
        <v>3780217</v>
      </c>
      <c r="N2203"/>
      <c r="O2203"/>
      <c r="P2203"/>
      <c r="Q2203"/>
    </row>
    <row r="2204" spans="1:17" s="1" customFormat="1" ht="15" customHeight="1" x14ac:dyDescent="0.25">
      <c r="A2204" s="28" t="s">
        <v>149</v>
      </c>
      <c r="B2204" s="28" t="s">
        <v>403</v>
      </c>
      <c r="C2204" s="6" t="s">
        <v>2619</v>
      </c>
      <c r="D2204" s="1" t="s">
        <v>454</v>
      </c>
      <c r="E2204" s="1">
        <v>2173</v>
      </c>
      <c r="F2204" s="28">
        <v>219</v>
      </c>
      <c r="G2204" s="9">
        <v>47</v>
      </c>
      <c r="H2204" s="1" t="s">
        <v>3073</v>
      </c>
      <c r="I2204" s="1" t="s">
        <v>3073</v>
      </c>
      <c r="J2204" t="str">
        <f t="shared" si="34"/>
        <v>http://www.badatelna.eu/reprodukce/?fondId=1073&amp;zaznamId=1108959&amp;reproId=3780212</v>
      </c>
      <c r="K2204">
        <f>IF(LEN(TRIM(E2204))=0,"",VLOOKUP(E2204,Sheet2!$B$1:$E$19,2,FALSE))</f>
        <v>1073</v>
      </c>
      <c r="L2204">
        <f>IF(LEN(TRIM(E2204))=0,"",VLOOKUP(E2204,Sheet2!$B$1:$E$19,3,FALSE))</f>
        <v>1108959</v>
      </c>
      <c r="M2204">
        <f>IF(LEN(TRIM(E2204))=0,"",VLOOKUP(E2204,Sheet2!$B$1:$E$19,4,FALSE))+(F2204-1)</f>
        <v>3780212</v>
      </c>
    </row>
    <row r="2205" spans="1:17" s="1" customFormat="1" ht="15" customHeight="1" x14ac:dyDescent="0.25">
      <c r="A2205" s="28" t="s">
        <v>149</v>
      </c>
      <c r="B2205" s="28" t="s">
        <v>332</v>
      </c>
      <c r="C2205" s="6" t="s">
        <v>2174</v>
      </c>
      <c r="D2205" s="1" t="s">
        <v>454</v>
      </c>
      <c r="E2205" s="1">
        <v>2173</v>
      </c>
      <c r="F2205" s="28">
        <v>178</v>
      </c>
      <c r="G2205" s="9">
        <v>2</v>
      </c>
      <c r="H2205" s="1">
        <v>192</v>
      </c>
      <c r="I2205" s="1">
        <v>427</v>
      </c>
      <c r="J2205" t="str">
        <f t="shared" si="34"/>
        <v>http://www.badatelna.eu/reprodukce/?fondId=1073&amp;zaznamId=1108959&amp;reproId=3780171</v>
      </c>
      <c r="K2205">
        <f>IF(LEN(TRIM(E2205))=0,"",VLOOKUP(E2205,Sheet2!$B$1:$E$19,2,FALSE))</f>
        <v>1073</v>
      </c>
      <c r="L2205">
        <f>IF(LEN(TRIM(E2205))=0,"",VLOOKUP(E2205,Sheet2!$B$1:$E$19,3,FALSE))</f>
        <v>1108959</v>
      </c>
      <c r="M2205">
        <f>IF(LEN(TRIM(E2205))=0,"",VLOOKUP(E2205,Sheet2!$B$1:$E$19,4,FALSE))+(F2205-1)</f>
        <v>3780171</v>
      </c>
      <c r="N2205"/>
      <c r="O2205"/>
      <c r="P2205"/>
      <c r="Q2205"/>
    </row>
    <row r="2206" spans="1:17" s="1" customFormat="1" ht="15" customHeight="1" x14ac:dyDescent="0.25">
      <c r="A2206" s="28" t="s">
        <v>149</v>
      </c>
      <c r="B2206" s="28" t="s">
        <v>0</v>
      </c>
      <c r="C2206" s="6" t="s">
        <v>2384</v>
      </c>
      <c r="D2206" s="1" t="s">
        <v>454</v>
      </c>
      <c r="E2206" s="1">
        <v>2173</v>
      </c>
      <c r="F2206" s="28">
        <v>201</v>
      </c>
      <c r="G2206" s="9">
        <v>12</v>
      </c>
      <c r="H2206" s="1" t="s">
        <v>3073</v>
      </c>
      <c r="I2206" s="1" t="s">
        <v>3073</v>
      </c>
      <c r="J2206" t="str">
        <f t="shared" si="34"/>
        <v>http://www.badatelna.eu/reprodukce/?fondId=1073&amp;zaznamId=1108959&amp;reproId=3780194</v>
      </c>
      <c r="K2206">
        <f>IF(LEN(TRIM(E2206))=0,"",VLOOKUP(E2206,Sheet2!$B$1:$E$19,2,FALSE))</f>
        <v>1073</v>
      </c>
      <c r="L2206">
        <f>IF(LEN(TRIM(E2206))=0,"",VLOOKUP(E2206,Sheet2!$B$1:$E$19,3,FALSE))</f>
        <v>1108959</v>
      </c>
      <c r="M2206">
        <f>IF(LEN(TRIM(E2206))=0,"",VLOOKUP(E2206,Sheet2!$B$1:$E$19,4,FALSE))+(F2206-1)</f>
        <v>3780194</v>
      </c>
    </row>
    <row r="2207" spans="1:17" s="1" customFormat="1" ht="15" customHeight="1" x14ac:dyDescent="0.25">
      <c r="A2207" s="28" t="s">
        <v>149</v>
      </c>
      <c r="B2207" s="28" t="s">
        <v>365</v>
      </c>
      <c r="C2207" s="6" t="s">
        <v>2171</v>
      </c>
      <c r="D2207" s="1" t="s">
        <v>454</v>
      </c>
      <c r="E2207" s="1">
        <v>2173</v>
      </c>
      <c r="F2207" s="28">
        <v>179</v>
      </c>
      <c r="G2207" s="9">
        <v>5</v>
      </c>
      <c r="H2207" s="1">
        <v>192</v>
      </c>
      <c r="I2207" s="1">
        <v>427</v>
      </c>
      <c r="J2207" t="str">
        <f t="shared" si="34"/>
        <v>http://www.badatelna.eu/reprodukce/?fondId=1073&amp;zaznamId=1108959&amp;reproId=3780172</v>
      </c>
      <c r="K2207">
        <f>IF(LEN(TRIM(E2207))=0,"",VLOOKUP(E2207,Sheet2!$B$1:$E$19,2,FALSE))</f>
        <v>1073</v>
      </c>
      <c r="L2207">
        <f>IF(LEN(TRIM(E2207))=0,"",VLOOKUP(E2207,Sheet2!$B$1:$E$19,3,FALSE))</f>
        <v>1108959</v>
      </c>
      <c r="M2207">
        <f>IF(LEN(TRIM(E2207))=0,"",VLOOKUP(E2207,Sheet2!$B$1:$E$19,4,FALSE))+(F2207-1)</f>
        <v>3780172</v>
      </c>
      <c r="N2207"/>
      <c r="O2207"/>
      <c r="P2207"/>
      <c r="Q2207"/>
    </row>
    <row r="2208" spans="1:17" s="1" customFormat="1" ht="15" customHeight="1" x14ac:dyDescent="0.25">
      <c r="A2208" s="28" t="s">
        <v>149</v>
      </c>
      <c r="B2208" s="28" t="s">
        <v>148</v>
      </c>
      <c r="C2208" s="6" t="s">
        <v>2383</v>
      </c>
      <c r="D2208" s="1" t="s">
        <v>454</v>
      </c>
      <c r="E2208" s="1">
        <v>2173</v>
      </c>
      <c r="F2208" s="28">
        <v>201</v>
      </c>
      <c r="G2208" s="9">
        <v>11</v>
      </c>
      <c r="H2208" s="1" t="s">
        <v>3073</v>
      </c>
      <c r="I2208" s="1" t="s">
        <v>3073</v>
      </c>
      <c r="J2208" t="str">
        <f t="shared" si="34"/>
        <v>http://www.badatelna.eu/reprodukce/?fondId=1073&amp;zaznamId=1108959&amp;reproId=3780194</v>
      </c>
      <c r="K2208">
        <f>IF(LEN(TRIM(E2208))=0,"",VLOOKUP(E2208,Sheet2!$B$1:$E$19,2,FALSE))</f>
        <v>1073</v>
      </c>
      <c r="L2208">
        <f>IF(LEN(TRIM(E2208))=0,"",VLOOKUP(E2208,Sheet2!$B$1:$E$19,3,FALSE))</f>
        <v>1108959</v>
      </c>
      <c r="M2208">
        <f>IF(LEN(TRIM(E2208))=0,"",VLOOKUP(E2208,Sheet2!$B$1:$E$19,4,FALSE))+(F2208-1)</f>
        <v>3780194</v>
      </c>
    </row>
    <row r="2209" spans="1:17" s="1" customFormat="1" ht="15" customHeight="1" x14ac:dyDescent="0.25">
      <c r="A2209" s="28" t="s">
        <v>149</v>
      </c>
      <c r="B2209" s="28" t="s">
        <v>285</v>
      </c>
      <c r="C2209" s="6" t="s">
        <v>2172</v>
      </c>
      <c r="D2209" s="1" t="s">
        <v>454</v>
      </c>
      <c r="E2209" s="1">
        <v>2173</v>
      </c>
      <c r="F2209" s="28">
        <v>180</v>
      </c>
      <c r="G2209" s="9">
        <v>6</v>
      </c>
      <c r="H2209" s="1">
        <v>192</v>
      </c>
      <c r="I2209" s="1">
        <v>427</v>
      </c>
      <c r="J2209" t="str">
        <f t="shared" si="34"/>
        <v>http://www.badatelna.eu/reprodukce/?fondId=1073&amp;zaznamId=1108959&amp;reproId=3780173</v>
      </c>
      <c r="K2209">
        <f>IF(LEN(TRIM(E2209))=0,"",VLOOKUP(E2209,Sheet2!$B$1:$E$19,2,FALSE))</f>
        <v>1073</v>
      </c>
      <c r="L2209">
        <f>IF(LEN(TRIM(E2209))=0,"",VLOOKUP(E2209,Sheet2!$B$1:$E$19,3,FALSE))</f>
        <v>1108959</v>
      </c>
      <c r="M2209">
        <f>IF(LEN(TRIM(E2209))=0,"",VLOOKUP(E2209,Sheet2!$B$1:$E$19,4,FALSE))+(F2209-1)</f>
        <v>3780173</v>
      </c>
      <c r="N2209"/>
      <c r="O2209"/>
      <c r="P2209"/>
      <c r="Q2209"/>
    </row>
    <row r="2210" spans="1:17" s="1" customFormat="1" ht="15" customHeight="1" x14ac:dyDescent="0.25">
      <c r="A2210" s="28" t="s">
        <v>149</v>
      </c>
      <c r="B2210" s="28" t="s">
        <v>39</v>
      </c>
      <c r="C2210" s="6" t="s">
        <v>2847</v>
      </c>
      <c r="D2210" s="1" t="s">
        <v>454</v>
      </c>
      <c r="E2210" s="1">
        <v>2173</v>
      </c>
      <c r="F2210" s="28">
        <v>209</v>
      </c>
      <c r="G2210" s="9" t="s">
        <v>2758</v>
      </c>
      <c r="H2210" s="1" t="s">
        <v>3073</v>
      </c>
      <c r="I2210" s="1" t="s">
        <v>3073</v>
      </c>
      <c r="J2210" t="str">
        <f t="shared" si="34"/>
        <v>http://www.badatelna.eu/reprodukce/?fondId=1073&amp;zaznamId=1108959&amp;reproId=3780202</v>
      </c>
      <c r="K2210">
        <f>IF(LEN(TRIM(E2210))=0,"",VLOOKUP(E2210,Sheet2!$B$1:$E$19,2,FALSE))</f>
        <v>1073</v>
      </c>
      <c r="L2210">
        <f>IF(LEN(TRIM(E2210))=0,"",VLOOKUP(E2210,Sheet2!$B$1:$E$19,3,FALSE))</f>
        <v>1108959</v>
      </c>
      <c r="M2210">
        <f>IF(LEN(TRIM(E2210))=0,"",VLOOKUP(E2210,Sheet2!$B$1:$E$19,4,FALSE))+(F2210-1)</f>
        <v>3780202</v>
      </c>
      <c r="N2210"/>
      <c r="O2210"/>
      <c r="P2210"/>
      <c r="Q2210"/>
    </row>
    <row r="2211" spans="1:17" s="1" customFormat="1" ht="15" customHeight="1" x14ac:dyDescent="0.25">
      <c r="A2211" s="28" t="s">
        <v>149</v>
      </c>
      <c r="B2211" s="28" t="s">
        <v>371</v>
      </c>
      <c r="C2211" s="6" t="s">
        <v>2173</v>
      </c>
      <c r="D2211" s="1" t="s">
        <v>454</v>
      </c>
      <c r="E2211" s="1">
        <v>2173</v>
      </c>
      <c r="F2211" s="28">
        <v>181</v>
      </c>
      <c r="G2211" s="9">
        <v>9</v>
      </c>
      <c r="H2211" s="1">
        <v>192</v>
      </c>
      <c r="I2211" s="1">
        <v>427</v>
      </c>
      <c r="J2211" t="str">
        <f t="shared" si="34"/>
        <v>http://www.badatelna.eu/reprodukce/?fondId=1073&amp;zaznamId=1108959&amp;reproId=3780174</v>
      </c>
      <c r="K2211">
        <f>IF(LEN(TRIM(E2211))=0,"",VLOOKUP(E2211,Sheet2!$B$1:$E$19,2,FALSE))</f>
        <v>1073</v>
      </c>
      <c r="L2211">
        <f>IF(LEN(TRIM(E2211))=0,"",VLOOKUP(E2211,Sheet2!$B$1:$E$19,3,FALSE))</f>
        <v>1108959</v>
      </c>
      <c r="M2211">
        <f>IF(LEN(TRIM(E2211))=0,"",VLOOKUP(E2211,Sheet2!$B$1:$E$19,4,FALSE))+(F2211-1)</f>
        <v>3780174</v>
      </c>
      <c r="N2211"/>
      <c r="O2211"/>
      <c r="P2211"/>
      <c r="Q2211"/>
    </row>
    <row r="2212" spans="1:17" s="1" customFormat="1" ht="15" customHeight="1" x14ac:dyDescent="0.25">
      <c r="A2212" s="28" t="s">
        <v>149</v>
      </c>
      <c r="B2212" s="28" t="s">
        <v>247</v>
      </c>
      <c r="C2212" s="6" t="s">
        <v>2170</v>
      </c>
      <c r="D2212" s="1" t="s">
        <v>454</v>
      </c>
      <c r="E2212" s="1">
        <v>2173</v>
      </c>
      <c r="F2212" s="28">
        <v>181</v>
      </c>
      <c r="G2212" s="9">
        <v>9</v>
      </c>
      <c r="H2212" s="1">
        <v>192</v>
      </c>
      <c r="I2212" s="1">
        <v>427</v>
      </c>
      <c r="J2212" t="str">
        <f t="shared" si="34"/>
        <v>http://www.badatelna.eu/reprodukce/?fondId=1073&amp;zaznamId=1108959&amp;reproId=3780174</v>
      </c>
      <c r="K2212">
        <f>IF(LEN(TRIM(E2212))=0,"",VLOOKUP(E2212,Sheet2!$B$1:$E$19,2,FALSE))</f>
        <v>1073</v>
      </c>
      <c r="L2212">
        <f>IF(LEN(TRIM(E2212))=0,"",VLOOKUP(E2212,Sheet2!$B$1:$E$19,3,FALSE))</f>
        <v>1108959</v>
      </c>
      <c r="M2212">
        <f>IF(LEN(TRIM(E2212))=0,"",VLOOKUP(E2212,Sheet2!$B$1:$E$19,4,FALSE))+(F2212-1)</f>
        <v>3780174</v>
      </c>
    </row>
    <row r="2213" spans="1:17" s="1" customFormat="1" ht="15" customHeight="1" x14ac:dyDescent="0.25">
      <c r="A2213" s="28" t="s">
        <v>149</v>
      </c>
      <c r="B2213" s="28" t="s">
        <v>91</v>
      </c>
      <c r="C2213" s="6" t="s">
        <v>2169</v>
      </c>
      <c r="D2213" s="1" t="s">
        <v>454</v>
      </c>
      <c r="E2213" s="1">
        <v>2173</v>
      </c>
      <c r="F2213" s="28">
        <v>179</v>
      </c>
      <c r="G2213" s="9">
        <v>4</v>
      </c>
      <c r="H2213" s="1">
        <v>192</v>
      </c>
      <c r="I2213" s="1">
        <v>427</v>
      </c>
      <c r="J2213" t="str">
        <f t="shared" si="34"/>
        <v>http://www.badatelna.eu/reprodukce/?fondId=1073&amp;zaznamId=1108959&amp;reproId=3780172</v>
      </c>
      <c r="K2213">
        <f>IF(LEN(TRIM(E2213))=0,"",VLOOKUP(E2213,Sheet2!$B$1:$E$19,2,FALSE))</f>
        <v>1073</v>
      </c>
      <c r="L2213">
        <f>IF(LEN(TRIM(E2213))=0,"",VLOOKUP(E2213,Sheet2!$B$1:$E$19,3,FALSE))</f>
        <v>1108959</v>
      </c>
      <c r="M2213">
        <f>IF(LEN(TRIM(E2213))=0,"",VLOOKUP(E2213,Sheet2!$B$1:$E$19,4,FALSE))+(F2213-1)</f>
        <v>3780172</v>
      </c>
      <c r="N2213"/>
      <c r="O2213"/>
      <c r="P2213"/>
      <c r="Q2213"/>
    </row>
    <row r="2214" spans="1:17" s="1" customFormat="1" ht="15" customHeight="1" x14ac:dyDescent="0.25">
      <c r="A2214" s="28" t="s">
        <v>149</v>
      </c>
      <c r="B2214" s="28" t="s">
        <v>91</v>
      </c>
      <c r="C2214" s="6" t="s">
        <v>2169</v>
      </c>
      <c r="D2214" s="1" t="s">
        <v>454</v>
      </c>
      <c r="E2214" s="1">
        <v>2173</v>
      </c>
      <c r="F2214" s="28">
        <v>209</v>
      </c>
      <c r="G2214" s="9" t="s">
        <v>2758</v>
      </c>
      <c r="H2214" s="1" t="s">
        <v>3073</v>
      </c>
      <c r="I2214" s="1" t="s">
        <v>3073</v>
      </c>
      <c r="J2214" t="str">
        <f t="shared" si="34"/>
        <v>http://www.badatelna.eu/reprodukce/?fondId=1073&amp;zaznamId=1108959&amp;reproId=3780202</v>
      </c>
      <c r="K2214">
        <f>IF(LEN(TRIM(E2214))=0,"",VLOOKUP(E2214,Sheet2!$B$1:$E$19,2,FALSE))</f>
        <v>1073</v>
      </c>
      <c r="L2214">
        <f>IF(LEN(TRIM(E2214))=0,"",VLOOKUP(E2214,Sheet2!$B$1:$E$19,3,FALSE))</f>
        <v>1108959</v>
      </c>
      <c r="M2214">
        <f>IF(LEN(TRIM(E2214))=0,"",VLOOKUP(E2214,Sheet2!$B$1:$E$19,4,FALSE))+(F2214-1)</f>
        <v>3780202</v>
      </c>
      <c r="N2214"/>
      <c r="O2214"/>
      <c r="P2214"/>
      <c r="Q2214"/>
    </row>
    <row r="2215" spans="1:17" s="1" customFormat="1" ht="15" customHeight="1" x14ac:dyDescent="0.25">
      <c r="A2215" s="28" t="s">
        <v>149</v>
      </c>
      <c r="B2215" s="28" t="s">
        <v>91</v>
      </c>
      <c r="C2215" s="6" t="s">
        <v>2175</v>
      </c>
      <c r="D2215" s="1" t="s">
        <v>454</v>
      </c>
      <c r="E2215" s="1">
        <v>2173</v>
      </c>
      <c r="F2215" s="28">
        <v>181</v>
      </c>
      <c r="G2215" s="9">
        <v>8</v>
      </c>
      <c r="H2215" s="1">
        <v>192</v>
      </c>
      <c r="I2215" s="1">
        <v>427</v>
      </c>
      <c r="J2215" t="str">
        <f t="shared" si="34"/>
        <v>http://www.badatelna.eu/reprodukce/?fondId=1073&amp;zaznamId=1108959&amp;reproId=3780174</v>
      </c>
      <c r="K2215">
        <f>IF(LEN(TRIM(E2215))=0,"",VLOOKUP(E2215,Sheet2!$B$1:$E$19,2,FALSE))</f>
        <v>1073</v>
      </c>
      <c r="L2215">
        <f>IF(LEN(TRIM(E2215))=0,"",VLOOKUP(E2215,Sheet2!$B$1:$E$19,3,FALSE))</f>
        <v>1108959</v>
      </c>
      <c r="M2215">
        <f>IF(LEN(TRIM(E2215))=0,"",VLOOKUP(E2215,Sheet2!$B$1:$E$19,4,FALSE))+(F2215-1)</f>
        <v>3780174</v>
      </c>
    </row>
    <row r="2216" spans="1:17" s="1" customFormat="1" ht="15" customHeight="1" x14ac:dyDescent="0.25">
      <c r="A2216" s="28" t="s">
        <v>3052</v>
      </c>
      <c r="B2216" s="28" t="s">
        <v>25</v>
      </c>
      <c r="C2216" s="1">
        <v>1862</v>
      </c>
      <c r="D2216" s="1" t="s">
        <v>2919</v>
      </c>
      <c r="E2216" s="1">
        <v>999</v>
      </c>
      <c r="F2216" s="28">
        <v>82</v>
      </c>
      <c r="G2216" s="1">
        <v>3</v>
      </c>
      <c r="H2216" s="1">
        <v>108</v>
      </c>
      <c r="I2216" s="1">
        <v>168</v>
      </c>
      <c r="J2216" t="str">
        <f t="shared" si="34"/>
        <v>http://www.badatelna.eu/reprodukce/?fondId=241&amp;zaznamId=1133739&amp;reproId=3885811</v>
      </c>
      <c r="K2216">
        <f>IF(LEN(TRIM(E2216))=0,"",VLOOKUP(E2216,Sheet2!$B$1:$E$19,2,FALSE))</f>
        <v>241</v>
      </c>
      <c r="L2216">
        <f>IF(LEN(TRIM(E2216))=0,"",VLOOKUP(E2216,Sheet2!$B$1:$E$19,3,FALSE))</f>
        <v>1133739</v>
      </c>
      <c r="M2216">
        <f>IF(LEN(TRIM(E2216))=0,"",VLOOKUP(E2216,Sheet2!$B$1:$E$19,4,FALSE))+(F2216-1)</f>
        <v>3885811</v>
      </c>
      <c r="N2216"/>
      <c r="O2216"/>
      <c r="P2216"/>
      <c r="Q2216"/>
    </row>
    <row r="2217" spans="1:17" s="1" customFormat="1" ht="15" customHeight="1" x14ac:dyDescent="0.25">
      <c r="A2217" s="28" t="s">
        <v>3052</v>
      </c>
      <c r="B2217" s="28" t="s">
        <v>305</v>
      </c>
      <c r="C2217" s="6" t="s">
        <v>2165</v>
      </c>
      <c r="D2217" s="1" t="s">
        <v>454</v>
      </c>
      <c r="E2217" s="1">
        <v>2173</v>
      </c>
      <c r="F2217" s="28">
        <v>181</v>
      </c>
      <c r="G2217" s="9">
        <v>9</v>
      </c>
      <c r="H2217" s="1">
        <v>192</v>
      </c>
      <c r="I2217" s="1">
        <v>427</v>
      </c>
      <c r="J2217" t="str">
        <f t="shared" si="34"/>
        <v>http://www.badatelna.eu/reprodukce/?fondId=1073&amp;zaznamId=1108959&amp;reproId=3780174</v>
      </c>
      <c r="K2217">
        <f>IF(LEN(TRIM(E2217))=0,"",VLOOKUP(E2217,Sheet2!$B$1:$E$19,2,FALSE))</f>
        <v>1073</v>
      </c>
      <c r="L2217">
        <f>IF(LEN(TRIM(E2217))=0,"",VLOOKUP(E2217,Sheet2!$B$1:$E$19,3,FALSE))</f>
        <v>1108959</v>
      </c>
      <c r="M2217">
        <f>IF(LEN(TRIM(E2217))=0,"",VLOOKUP(E2217,Sheet2!$B$1:$E$19,4,FALSE))+(F2217-1)</f>
        <v>3780174</v>
      </c>
    </row>
    <row r="2218" spans="1:17" s="1" customFormat="1" ht="15" customHeight="1" x14ac:dyDescent="0.25">
      <c r="A2218" s="28" t="s">
        <v>161</v>
      </c>
      <c r="B2218" s="28" t="s">
        <v>685</v>
      </c>
      <c r="C2218" s="1">
        <v>1860</v>
      </c>
      <c r="D2218" s="1" t="s">
        <v>2919</v>
      </c>
      <c r="E2218" s="1">
        <v>998</v>
      </c>
      <c r="F2218" s="28">
        <v>58</v>
      </c>
      <c r="G2218" s="1">
        <v>55</v>
      </c>
      <c r="H2218" s="1">
        <v>79</v>
      </c>
      <c r="I2218" s="1">
        <v>77</v>
      </c>
      <c r="J2218" t="str">
        <f t="shared" si="34"/>
        <v>http://www.badatelna.eu/reprodukce/?fondId=241&amp;zaznamId=1133738&amp;reproId=3885704</v>
      </c>
      <c r="K2218">
        <f>IF(LEN(TRIM(E2218))=0,"",VLOOKUP(E2218,Sheet2!$B$1:$E$19,2,FALSE))</f>
        <v>241</v>
      </c>
      <c r="L2218">
        <f>IF(LEN(TRIM(E2218))=0,"",VLOOKUP(E2218,Sheet2!$B$1:$E$19,3,FALSE))</f>
        <v>1133738</v>
      </c>
      <c r="M2218">
        <f>IF(LEN(TRIM(E2218))=0,"",VLOOKUP(E2218,Sheet2!$B$1:$E$19,4,FALSE))+(F2218-1)</f>
        <v>3885704</v>
      </c>
    </row>
    <row r="2219" spans="1:17" s="1" customFormat="1" ht="15" customHeight="1" x14ac:dyDescent="0.25">
      <c r="A2219" s="28" t="s">
        <v>161</v>
      </c>
      <c r="B2219" s="28" t="s">
        <v>382</v>
      </c>
      <c r="C2219" s="1">
        <v>1849</v>
      </c>
      <c r="D2219" s="1" t="s">
        <v>2919</v>
      </c>
      <c r="E2219" s="1">
        <v>998</v>
      </c>
      <c r="F2219" s="28">
        <v>25</v>
      </c>
      <c r="G2219" s="1">
        <v>23</v>
      </c>
      <c r="H2219" s="1">
        <v>78</v>
      </c>
      <c r="I2219" s="1">
        <v>76</v>
      </c>
      <c r="J2219" t="str">
        <f t="shared" si="34"/>
        <v>http://www.badatelna.eu/reprodukce/?fondId=241&amp;zaznamId=1133738&amp;reproId=3885671</v>
      </c>
      <c r="K2219">
        <f>IF(LEN(TRIM(E2219))=0,"",VLOOKUP(E2219,Sheet2!$B$1:$E$19,2,FALSE))</f>
        <v>241</v>
      </c>
      <c r="L2219">
        <f>IF(LEN(TRIM(E2219))=0,"",VLOOKUP(E2219,Sheet2!$B$1:$E$19,3,FALSE))</f>
        <v>1133738</v>
      </c>
      <c r="M2219">
        <f>IF(LEN(TRIM(E2219))=0,"",VLOOKUP(E2219,Sheet2!$B$1:$E$19,4,FALSE))+(F2219-1)</f>
        <v>3885671</v>
      </c>
    </row>
    <row r="2220" spans="1:17" s="1" customFormat="1" ht="15" customHeight="1" x14ac:dyDescent="0.25">
      <c r="A2220" s="27" t="s">
        <v>161</v>
      </c>
      <c r="B2220" s="35" t="s">
        <v>274</v>
      </c>
      <c r="C2220" s="5" t="s">
        <v>1410</v>
      </c>
      <c r="D2220" s="3" t="s">
        <v>454</v>
      </c>
      <c r="E2220" s="3">
        <v>2170</v>
      </c>
      <c r="F2220" s="28">
        <v>49</v>
      </c>
      <c r="G2220" s="10">
        <v>45</v>
      </c>
      <c r="H2220" s="3">
        <v>71</v>
      </c>
      <c r="I2220" s="3">
        <v>67</v>
      </c>
      <c r="J2220" t="str">
        <f t="shared" si="34"/>
        <v>http://www.badatelna.eu/reprodukce/?fondId=1073&amp;zaznamId=1108956&amp;reproId=3779641</v>
      </c>
      <c r="K2220">
        <f>IF(LEN(TRIM(E2220))=0,"",VLOOKUP(E2220,Sheet2!$B$1:$E$19,2,FALSE))</f>
        <v>1073</v>
      </c>
      <c r="L2220">
        <f>IF(LEN(TRIM(E2220))=0,"",VLOOKUP(E2220,Sheet2!$B$1:$E$19,3,FALSE))</f>
        <v>1108956</v>
      </c>
      <c r="M2220">
        <f>IF(LEN(TRIM(E2220))=0,"",VLOOKUP(E2220,Sheet2!$B$1:$E$19,4,FALSE))+(F2220-1)</f>
        <v>3779641</v>
      </c>
    </row>
    <row r="2221" spans="1:17" s="1" customFormat="1" ht="15" customHeight="1" x14ac:dyDescent="0.25">
      <c r="A2221" s="28" t="s">
        <v>161</v>
      </c>
      <c r="B2221" s="28" t="s">
        <v>183</v>
      </c>
      <c r="C2221" s="1">
        <v>1851</v>
      </c>
      <c r="D2221" s="1" t="s">
        <v>2919</v>
      </c>
      <c r="E2221" s="1">
        <v>998</v>
      </c>
      <c r="F2221" s="28">
        <v>32</v>
      </c>
      <c r="G2221" s="1">
        <v>30</v>
      </c>
      <c r="H2221" s="1">
        <v>78</v>
      </c>
      <c r="I2221" s="1">
        <v>76</v>
      </c>
      <c r="J2221" t="str">
        <f t="shared" si="34"/>
        <v>http://www.badatelna.eu/reprodukce/?fondId=241&amp;zaznamId=1133738&amp;reproId=3885678</v>
      </c>
      <c r="K2221">
        <f>IF(LEN(TRIM(E2221))=0,"",VLOOKUP(E2221,Sheet2!$B$1:$E$19,2,FALSE))</f>
        <v>241</v>
      </c>
      <c r="L2221">
        <f>IF(LEN(TRIM(E2221))=0,"",VLOOKUP(E2221,Sheet2!$B$1:$E$19,3,FALSE))</f>
        <v>1133738</v>
      </c>
      <c r="M2221">
        <f>IF(LEN(TRIM(E2221))=0,"",VLOOKUP(E2221,Sheet2!$B$1:$E$19,4,FALSE))+(F2221-1)</f>
        <v>3885678</v>
      </c>
    </row>
    <row r="2222" spans="1:17" s="1" customFormat="1" ht="15" customHeight="1" x14ac:dyDescent="0.25">
      <c r="A2222" s="28" t="s">
        <v>161</v>
      </c>
      <c r="B2222" s="28" t="s">
        <v>410</v>
      </c>
      <c r="C2222" s="6" t="s">
        <v>2663</v>
      </c>
      <c r="D2222" s="1" t="s">
        <v>454</v>
      </c>
      <c r="E2222" s="1">
        <v>2173</v>
      </c>
      <c r="F2222" s="28">
        <v>222</v>
      </c>
      <c r="G2222" s="9">
        <v>49</v>
      </c>
      <c r="H2222" s="1" t="s">
        <v>3073</v>
      </c>
      <c r="I2222" s="1" t="s">
        <v>3073</v>
      </c>
      <c r="J2222" t="str">
        <f t="shared" si="34"/>
        <v>http://www.badatelna.eu/reprodukce/?fondId=1073&amp;zaznamId=1108959&amp;reproId=3780215</v>
      </c>
      <c r="K2222">
        <f>IF(LEN(TRIM(E2222))=0,"",VLOOKUP(E2222,Sheet2!$B$1:$E$19,2,FALSE))</f>
        <v>1073</v>
      </c>
      <c r="L2222">
        <f>IF(LEN(TRIM(E2222))=0,"",VLOOKUP(E2222,Sheet2!$B$1:$E$19,3,FALSE))</f>
        <v>1108959</v>
      </c>
      <c r="M2222">
        <f>IF(LEN(TRIM(E2222))=0,"",VLOOKUP(E2222,Sheet2!$B$1:$E$19,4,FALSE))+(F2222-1)</f>
        <v>3780215</v>
      </c>
    </row>
    <row r="2223" spans="1:17" s="1" customFormat="1" ht="15" customHeight="1" x14ac:dyDescent="0.25">
      <c r="A2223" s="27" t="s">
        <v>161</v>
      </c>
      <c r="B2223" s="27" t="s">
        <v>25</v>
      </c>
      <c r="C2223" s="5" t="s">
        <v>1365</v>
      </c>
      <c r="D2223" s="3" t="s">
        <v>454</v>
      </c>
      <c r="E2223" s="3">
        <v>2170</v>
      </c>
      <c r="F2223" s="28">
        <v>6</v>
      </c>
      <c r="G2223" s="10">
        <v>2</v>
      </c>
      <c r="H2223" s="3">
        <v>70</v>
      </c>
      <c r="I2223" s="3">
        <v>66</v>
      </c>
      <c r="J2223" t="str">
        <f t="shared" si="34"/>
        <v>http://www.badatelna.eu/reprodukce/?fondId=1073&amp;zaznamId=1108956&amp;reproId=3779598</v>
      </c>
      <c r="K2223">
        <f>IF(LEN(TRIM(E2223))=0,"",VLOOKUP(E2223,Sheet2!$B$1:$E$19,2,FALSE))</f>
        <v>1073</v>
      </c>
      <c r="L2223">
        <f>IF(LEN(TRIM(E2223))=0,"",VLOOKUP(E2223,Sheet2!$B$1:$E$19,3,FALSE))</f>
        <v>1108956</v>
      </c>
      <c r="M2223">
        <f>IF(LEN(TRIM(E2223))=0,"",VLOOKUP(E2223,Sheet2!$B$1:$E$19,4,FALSE))+(F2223-1)</f>
        <v>3779598</v>
      </c>
    </row>
    <row r="2224" spans="1:17" s="1" customFormat="1" ht="15" customHeight="1" x14ac:dyDescent="0.25">
      <c r="A2224" s="27" t="s">
        <v>161</v>
      </c>
      <c r="B2224" s="27" t="s">
        <v>25</v>
      </c>
      <c r="C2224" s="5" t="s">
        <v>1411</v>
      </c>
      <c r="D2224" s="3" t="s">
        <v>454</v>
      </c>
      <c r="E2224" s="3">
        <v>2170</v>
      </c>
      <c r="F2224" s="31">
        <v>38</v>
      </c>
      <c r="G2224" s="10">
        <v>34</v>
      </c>
      <c r="H2224" s="3">
        <v>71</v>
      </c>
      <c r="I2224" s="3">
        <v>67</v>
      </c>
      <c r="J2224" t="str">
        <f t="shared" si="34"/>
        <v>http://www.badatelna.eu/reprodukce/?fondId=1073&amp;zaznamId=1108956&amp;reproId=3779630</v>
      </c>
      <c r="K2224">
        <f>IF(LEN(TRIM(E2224))=0,"",VLOOKUP(E2224,Sheet2!$B$1:$E$19,2,FALSE))</f>
        <v>1073</v>
      </c>
      <c r="L2224">
        <f>IF(LEN(TRIM(E2224))=0,"",VLOOKUP(E2224,Sheet2!$B$1:$E$19,3,FALSE))</f>
        <v>1108956</v>
      </c>
      <c r="M2224">
        <f>IF(LEN(TRIM(E2224))=0,"",VLOOKUP(E2224,Sheet2!$B$1:$E$19,4,FALSE))+(F2224-1)</f>
        <v>3779630</v>
      </c>
      <c r="N2224"/>
      <c r="O2224"/>
      <c r="P2224"/>
      <c r="Q2224"/>
    </row>
    <row r="2225" spans="1:17" s="1" customFormat="1" ht="15" customHeight="1" x14ac:dyDescent="0.25">
      <c r="A2225" s="28" t="s">
        <v>161</v>
      </c>
      <c r="B2225" s="28" t="s">
        <v>340</v>
      </c>
      <c r="C2225" s="1">
        <v>1854</v>
      </c>
      <c r="D2225" s="1" t="s">
        <v>2919</v>
      </c>
      <c r="E2225" s="1">
        <v>998</v>
      </c>
      <c r="F2225" s="28">
        <v>41</v>
      </c>
      <c r="G2225" s="1">
        <v>39</v>
      </c>
      <c r="H2225" s="1">
        <v>78</v>
      </c>
      <c r="I2225" s="1">
        <v>76</v>
      </c>
      <c r="J2225" t="str">
        <f t="shared" si="34"/>
        <v>http://www.badatelna.eu/reprodukce/?fondId=241&amp;zaznamId=1133738&amp;reproId=3885687</v>
      </c>
      <c r="K2225">
        <f>IF(LEN(TRIM(E2225))=0,"",VLOOKUP(E2225,Sheet2!$B$1:$E$19,2,FALSE))</f>
        <v>241</v>
      </c>
      <c r="L2225">
        <f>IF(LEN(TRIM(E2225))=0,"",VLOOKUP(E2225,Sheet2!$B$1:$E$19,3,FALSE))</f>
        <v>1133738</v>
      </c>
      <c r="M2225">
        <f>IF(LEN(TRIM(E2225))=0,"",VLOOKUP(E2225,Sheet2!$B$1:$E$19,4,FALSE))+(F2225-1)</f>
        <v>3885687</v>
      </c>
      <c r="N2225"/>
      <c r="O2225"/>
      <c r="P2225"/>
      <c r="Q2225"/>
    </row>
    <row r="2226" spans="1:17" s="1" customFormat="1" ht="15" customHeight="1" x14ac:dyDescent="0.25">
      <c r="A2226" s="28" t="s">
        <v>161</v>
      </c>
      <c r="B2226" s="28" t="s">
        <v>49</v>
      </c>
      <c r="C2226" s="1">
        <v>1852</v>
      </c>
      <c r="D2226" s="1" t="s">
        <v>2919</v>
      </c>
      <c r="E2226" s="1">
        <v>998</v>
      </c>
      <c r="F2226" s="28">
        <v>5</v>
      </c>
      <c r="G2226" s="1">
        <v>3</v>
      </c>
      <c r="H2226" s="1">
        <v>78</v>
      </c>
      <c r="I2226" s="1">
        <v>76</v>
      </c>
      <c r="J2226" t="str">
        <f t="shared" si="34"/>
        <v>http://www.badatelna.eu/reprodukce/?fondId=241&amp;zaznamId=1133738&amp;reproId=3885651</v>
      </c>
      <c r="K2226">
        <f>IF(LEN(TRIM(E2226))=0,"",VLOOKUP(E2226,Sheet2!$B$1:$E$19,2,FALSE))</f>
        <v>241</v>
      </c>
      <c r="L2226">
        <f>IF(LEN(TRIM(E2226))=0,"",VLOOKUP(E2226,Sheet2!$B$1:$E$19,3,FALSE))</f>
        <v>1133738</v>
      </c>
      <c r="M2226">
        <f>IF(LEN(TRIM(E2226))=0,"",VLOOKUP(E2226,Sheet2!$B$1:$E$19,4,FALSE))+(F2226-1)</f>
        <v>3885651</v>
      </c>
      <c r="N2226"/>
      <c r="O2226"/>
      <c r="P2226"/>
      <c r="Q2226"/>
    </row>
    <row r="2227" spans="1:17" s="1" customFormat="1" ht="15" customHeight="1" x14ac:dyDescent="0.25">
      <c r="A2227" s="28" t="s">
        <v>161</v>
      </c>
      <c r="B2227" s="28" t="s">
        <v>49</v>
      </c>
      <c r="C2227" s="6" t="s">
        <v>2723</v>
      </c>
      <c r="D2227" s="1" t="s">
        <v>454</v>
      </c>
      <c r="E2227" s="1">
        <v>2173</v>
      </c>
      <c r="F2227" s="28">
        <v>225</v>
      </c>
      <c r="G2227" s="9">
        <v>56</v>
      </c>
      <c r="H2227" s="1" t="s">
        <v>3073</v>
      </c>
      <c r="I2227" s="1" t="s">
        <v>3073</v>
      </c>
      <c r="J2227" t="str">
        <f t="shared" si="34"/>
        <v>http://www.badatelna.eu/reprodukce/?fondId=1073&amp;zaznamId=1108959&amp;reproId=3780218</v>
      </c>
      <c r="K2227">
        <f>IF(LEN(TRIM(E2227))=0,"",VLOOKUP(E2227,Sheet2!$B$1:$E$19,2,FALSE))</f>
        <v>1073</v>
      </c>
      <c r="L2227">
        <f>IF(LEN(TRIM(E2227))=0,"",VLOOKUP(E2227,Sheet2!$B$1:$E$19,3,FALSE))</f>
        <v>1108959</v>
      </c>
      <c r="M2227">
        <f>IF(LEN(TRIM(E2227))=0,"",VLOOKUP(E2227,Sheet2!$B$1:$E$19,4,FALSE))+(F2227-1)</f>
        <v>3780218</v>
      </c>
    </row>
    <row r="2228" spans="1:17" s="1" customFormat="1" ht="15" customHeight="1" x14ac:dyDescent="0.25">
      <c r="A2228" s="28" t="s">
        <v>161</v>
      </c>
      <c r="B2228" s="28" t="s">
        <v>49</v>
      </c>
      <c r="C2228" s="6" t="s">
        <v>2401</v>
      </c>
      <c r="D2228" s="1" t="s">
        <v>454</v>
      </c>
      <c r="E2228" s="1">
        <v>2173</v>
      </c>
      <c r="F2228" s="28">
        <v>202</v>
      </c>
      <c r="G2228" s="9">
        <v>13</v>
      </c>
      <c r="H2228" s="1" t="s">
        <v>3073</v>
      </c>
      <c r="I2228" s="1" t="s">
        <v>3073</v>
      </c>
      <c r="J2228" t="str">
        <f t="shared" si="34"/>
        <v>http://www.badatelna.eu/reprodukce/?fondId=1073&amp;zaznamId=1108959&amp;reproId=3780195</v>
      </c>
      <c r="K2228">
        <f>IF(LEN(TRIM(E2228))=0,"",VLOOKUP(E2228,Sheet2!$B$1:$E$19,2,FALSE))</f>
        <v>1073</v>
      </c>
      <c r="L2228">
        <f>IF(LEN(TRIM(E2228))=0,"",VLOOKUP(E2228,Sheet2!$B$1:$E$19,3,FALSE))</f>
        <v>1108959</v>
      </c>
      <c r="M2228">
        <f>IF(LEN(TRIM(E2228))=0,"",VLOOKUP(E2228,Sheet2!$B$1:$E$19,4,FALSE))+(F2228-1)</f>
        <v>3780195</v>
      </c>
      <c r="N2228"/>
      <c r="O2228"/>
      <c r="P2228"/>
      <c r="Q2228"/>
    </row>
    <row r="2229" spans="1:17" s="1" customFormat="1" ht="15" customHeight="1" x14ac:dyDescent="0.25">
      <c r="A2229" s="28" t="s">
        <v>161</v>
      </c>
      <c r="B2229" s="28" t="s">
        <v>586</v>
      </c>
      <c r="C2229" s="1">
        <v>1856</v>
      </c>
      <c r="D2229" s="1" t="s">
        <v>2919</v>
      </c>
      <c r="E2229" s="1">
        <v>998</v>
      </c>
      <c r="F2229" s="28">
        <v>50</v>
      </c>
      <c r="G2229" s="1">
        <v>48</v>
      </c>
      <c r="H2229" s="1">
        <v>79</v>
      </c>
      <c r="I2229" s="1">
        <v>77</v>
      </c>
      <c r="J2229" t="str">
        <f t="shared" si="34"/>
        <v>http://www.badatelna.eu/reprodukce/?fondId=241&amp;zaznamId=1133738&amp;reproId=3885696</v>
      </c>
      <c r="K2229">
        <f>IF(LEN(TRIM(E2229))=0,"",VLOOKUP(E2229,Sheet2!$B$1:$E$19,2,FALSE))</f>
        <v>241</v>
      </c>
      <c r="L2229">
        <f>IF(LEN(TRIM(E2229))=0,"",VLOOKUP(E2229,Sheet2!$B$1:$E$19,3,FALSE))</f>
        <v>1133738</v>
      </c>
      <c r="M2229">
        <f>IF(LEN(TRIM(E2229))=0,"",VLOOKUP(E2229,Sheet2!$B$1:$E$19,4,FALSE))+(F2229-1)</f>
        <v>3885696</v>
      </c>
    </row>
    <row r="2230" spans="1:17" s="1" customFormat="1" ht="15" customHeight="1" x14ac:dyDescent="0.25">
      <c r="A2230" s="28" t="s">
        <v>161</v>
      </c>
      <c r="B2230" s="28" t="s">
        <v>314</v>
      </c>
      <c r="C2230" s="1">
        <v>1884</v>
      </c>
      <c r="D2230" s="1" t="s">
        <v>454</v>
      </c>
      <c r="E2230" s="1">
        <v>2172</v>
      </c>
      <c r="F2230" s="28">
        <v>40</v>
      </c>
      <c r="G2230" s="9" t="s">
        <v>2762</v>
      </c>
      <c r="H2230" s="1">
        <v>43</v>
      </c>
      <c r="I2230" s="1">
        <v>42</v>
      </c>
      <c r="J2230" t="str">
        <f t="shared" si="34"/>
        <v>http://www.badatelna.eu/reprodukce/?fondId=1073&amp;zaznamId=1108958&amp;reproId=3779781</v>
      </c>
      <c r="K2230">
        <f>IF(LEN(TRIM(E2230))=0,"",VLOOKUP(E2230,Sheet2!$B$1:$E$19,2,FALSE))</f>
        <v>1073</v>
      </c>
      <c r="L2230">
        <f>IF(LEN(TRIM(E2230))=0,"",VLOOKUP(E2230,Sheet2!$B$1:$E$19,3,FALSE))</f>
        <v>1108958</v>
      </c>
      <c r="M2230">
        <f>IF(LEN(TRIM(E2230))=0,"",VLOOKUP(E2230,Sheet2!$B$1:$E$19,4,FALSE))+(F2230-1)</f>
        <v>3779781</v>
      </c>
      <c r="N2230"/>
      <c r="O2230"/>
      <c r="P2230"/>
      <c r="Q2230"/>
    </row>
    <row r="2231" spans="1:17" s="1" customFormat="1" ht="15" customHeight="1" x14ac:dyDescent="0.25">
      <c r="A2231" s="27" t="s">
        <v>161</v>
      </c>
      <c r="B2231" s="27" t="s">
        <v>314</v>
      </c>
      <c r="C2231" s="5" t="s">
        <v>1412</v>
      </c>
      <c r="D2231" s="3" t="s">
        <v>454</v>
      </c>
      <c r="E2231" s="3">
        <v>2170</v>
      </c>
      <c r="F2231" s="28">
        <v>45</v>
      </c>
      <c r="G2231" s="10">
        <v>41</v>
      </c>
      <c r="H2231" s="3">
        <v>71</v>
      </c>
      <c r="I2231" s="3">
        <v>67</v>
      </c>
      <c r="J2231" t="str">
        <f t="shared" si="34"/>
        <v>http://www.badatelna.eu/reprodukce/?fondId=1073&amp;zaznamId=1108956&amp;reproId=3779637</v>
      </c>
      <c r="K2231">
        <f>IF(LEN(TRIM(E2231))=0,"",VLOOKUP(E2231,Sheet2!$B$1:$E$19,2,FALSE))</f>
        <v>1073</v>
      </c>
      <c r="L2231">
        <f>IF(LEN(TRIM(E2231))=0,"",VLOOKUP(E2231,Sheet2!$B$1:$E$19,3,FALSE))</f>
        <v>1108956</v>
      </c>
      <c r="M2231">
        <f>IF(LEN(TRIM(E2231))=0,"",VLOOKUP(E2231,Sheet2!$B$1:$E$19,4,FALSE))+(F2231-1)</f>
        <v>3779637</v>
      </c>
    </row>
    <row r="2232" spans="1:17" s="1" customFormat="1" ht="15" customHeight="1" x14ac:dyDescent="0.25">
      <c r="A2232" s="28" t="s">
        <v>161</v>
      </c>
      <c r="B2232" s="28" t="s">
        <v>254</v>
      </c>
      <c r="C2232" s="1">
        <v>1850</v>
      </c>
      <c r="D2232" s="1" t="s">
        <v>2919</v>
      </c>
      <c r="E2232" s="1">
        <v>998</v>
      </c>
      <c r="F2232" s="28">
        <v>28</v>
      </c>
      <c r="G2232" s="1">
        <v>26</v>
      </c>
      <c r="H2232" s="1">
        <v>78</v>
      </c>
      <c r="I2232" s="1">
        <v>76</v>
      </c>
      <c r="J2232" t="str">
        <f t="shared" si="34"/>
        <v>http://www.badatelna.eu/reprodukce/?fondId=241&amp;zaznamId=1133738&amp;reproId=3885674</v>
      </c>
      <c r="K2232">
        <f>IF(LEN(TRIM(E2232))=0,"",VLOOKUP(E2232,Sheet2!$B$1:$E$19,2,FALSE))</f>
        <v>241</v>
      </c>
      <c r="L2232">
        <f>IF(LEN(TRIM(E2232))=0,"",VLOOKUP(E2232,Sheet2!$B$1:$E$19,3,FALSE))</f>
        <v>1133738</v>
      </c>
      <c r="M2232">
        <f>IF(LEN(TRIM(E2232))=0,"",VLOOKUP(E2232,Sheet2!$B$1:$E$19,4,FALSE))+(F2232-1)</f>
        <v>3885674</v>
      </c>
      <c r="N2232"/>
      <c r="O2232"/>
      <c r="P2232"/>
      <c r="Q2232"/>
    </row>
    <row r="2233" spans="1:17" s="1" customFormat="1" ht="15" customHeight="1" x14ac:dyDescent="0.25">
      <c r="A2233" s="27" t="s">
        <v>161</v>
      </c>
      <c r="B2233" s="27" t="s">
        <v>54</v>
      </c>
      <c r="C2233" s="5" t="s">
        <v>1267</v>
      </c>
      <c r="D2233" s="3" t="s">
        <v>454</v>
      </c>
      <c r="E2233" s="3">
        <v>2170</v>
      </c>
      <c r="F2233" s="28">
        <v>55</v>
      </c>
      <c r="G2233" s="10">
        <v>51</v>
      </c>
      <c r="H2233" s="3">
        <v>71</v>
      </c>
      <c r="I2233" s="3">
        <v>67</v>
      </c>
      <c r="J2233" t="str">
        <f t="shared" si="34"/>
        <v>http://www.badatelna.eu/reprodukce/?fondId=1073&amp;zaznamId=1108956&amp;reproId=3779647</v>
      </c>
      <c r="K2233">
        <f>IF(LEN(TRIM(E2233))=0,"",VLOOKUP(E2233,Sheet2!$B$1:$E$19,2,FALSE))</f>
        <v>1073</v>
      </c>
      <c r="L2233">
        <f>IF(LEN(TRIM(E2233))=0,"",VLOOKUP(E2233,Sheet2!$B$1:$E$19,3,FALSE))</f>
        <v>1108956</v>
      </c>
      <c r="M2233">
        <f>IF(LEN(TRIM(E2233))=0,"",VLOOKUP(E2233,Sheet2!$B$1:$E$19,4,FALSE))+(F2233-1)</f>
        <v>3779647</v>
      </c>
      <c r="N2233"/>
      <c r="O2233"/>
      <c r="P2233"/>
      <c r="Q2233"/>
    </row>
    <row r="2234" spans="1:17" s="1" customFormat="1" ht="15" customHeight="1" x14ac:dyDescent="0.2">
      <c r="A2234" s="31" t="s">
        <v>69</v>
      </c>
      <c r="B2234" s="32" t="s">
        <v>2798</v>
      </c>
      <c r="C2234" s="7" t="s">
        <v>2275</v>
      </c>
      <c r="D2234" s="1" t="s">
        <v>454</v>
      </c>
      <c r="E2234" s="1">
        <v>2173</v>
      </c>
      <c r="F2234" s="31">
        <v>197</v>
      </c>
      <c r="G2234" s="12">
        <v>4</v>
      </c>
      <c r="H2234" s="1" t="s">
        <v>3073</v>
      </c>
      <c r="I2234" s="1" t="s">
        <v>3073</v>
      </c>
      <c r="J2234" t="str">
        <f t="shared" si="34"/>
        <v>http://www.badatelna.eu/reprodukce/?fondId=1073&amp;zaznamId=1108959&amp;reproId=3780190</v>
      </c>
      <c r="K2234">
        <f>IF(LEN(TRIM(E2234))=0,"",VLOOKUP(E2234,Sheet2!$B$1:$E$19,2,FALSE))</f>
        <v>1073</v>
      </c>
      <c r="L2234">
        <f>IF(LEN(TRIM(E2234))=0,"",VLOOKUP(E2234,Sheet2!$B$1:$E$19,3,FALSE))</f>
        <v>1108959</v>
      </c>
      <c r="M2234">
        <f>IF(LEN(TRIM(E2234))=0,"",VLOOKUP(E2234,Sheet2!$B$1:$E$19,4,FALSE))+(F2234-1)</f>
        <v>3780190</v>
      </c>
    </row>
    <row r="2235" spans="1:17" s="1" customFormat="1" ht="15" customHeight="1" x14ac:dyDescent="0.25">
      <c r="A2235" s="28" t="s">
        <v>1011</v>
      </c>
      <c r="B2235" s="28" t="s">
        <v>276</v>
      </c>
      <c r="C2235" s="15">
        <v>6270</v>
      </c>
      <c r="D2235" s="1" t="s">
        <v>454</v>
      </c>
      <c r="E2235" s="1">
        <v>2172</v>
      </c>
      <c r="F2235" s="28">
        <v>190</v>
      </c>
      <c r="G2235" s="9">
        <v>180</v>
      </c>
      <c r="H2235" s="1" t="s">
        <v>3073</v>
      </c>
      <c r="I2235" s="1" t="s">
        <v>3073</v>
      </c>
      <c r="J2235" t="str">
        <f t="shared" si="34"/>
        <v>http://www.badatelna.eu/reprodukce/?fondId=1073&amp;zaznamId=1108958&amp;reproId=3779931</v>
      </c>
      <c r="K2235">
        <f>IF(LEN(TRIM(E2235))=0,"",VLOOKUP(E2235,Sheet2!$B$1:$E$19,2,FALSE))</f>
        <v>1073</v>
      </c>
      <c r="L2235">
        <f>IF(LEN(TRIM(E2235))=0,"",VLOOKUP(E2235,Sheet2!$B$1:$E$19,3,FALSE))</f>
        <v>1108958</v>
      </c>
      <c r="M2235">
        <f>IF(LEN(TRIM(E2235))=0,"",VLOOKUP(E2235,Sheet2!$B$1:$E$19,4,FALSE))+(F2235-1)</f>
        <v>3779931</v>
      </c>
    </row>
    <row r="2236" spans="1:17" s="1" customFormat="1" ht="15" customHeight="1" x14ac:dyDescent="0.25">
      <c r="A2236" s="28" t="s">
        <v>2892</v>
      </c>
      <c r="B2236" s="28" t="s">
        <v>53</v>
      </c>
      <c r="C2236" s="6" t="s">
        <v>2168</v>
      </c>
      <c r="D2236" s="1" t="s">
        <v>454</v>
      </c>
      <c r="E2236" s="1">
        <v>2173</v>
      </c>
      <c r="F2236" s="28">
        <v>211</v>
      </c>
      <c r="G2236" s="9" t="s">
        <v>2760</v>
      </c>
      <c r="H2236" s="1" t="s">
        <v>3073</v>
      </c>
      <c r="I2236" s="1" t="s">
        <v>3073</v>
      </c>
      <c r="J2236" t="str">
        <f t="shared" si="34"/>
        <v>http://www.badatelna.eu/reprodukce/?fondId=1073&amp;zaznamId=1108959&amp;reproId=3780204</v>
      </c>
      <c r="K2236">
        <f>IF(LEN(TRIM(E2236))=0,"",VLOOKUP(E2236,Sheet2!$B$1:$E$19,2,FALSE))</f>
        <v>1073</v>
      </c>
      <c r="L2236">
        <f>IF(LEN(TRIM(E2236))=0,"",VLOOKUP(E2236,Sheet2!$B$1:$E$19,3,FALSE))</f>
        <v>1108959</v>
      </c>
      <c r="M2236">
        <f>IF(LEN(TRIM(E2236))=0,"",VLOOKUP(E2236,Sheet2!$B$1:$E$19,4,FALSE))+(F2236-1)</f>
        <v>3780204</v>
      </c>
    </row>
    <row r="2237" spans="1:17" s="1" customFormat="1" ht="15" customHeight="1" x14ac:dyDescent="0.25">
      <c r="A2237" s="28" t="s">
        <v>448</v>
      </c>
      <c r="B2237" s="28" t="s">
        <v>332</v>
      </c>
      <c r="C2237" s="1">
        <v>1851</v>
      </c>
      <c r="D2237" s="1" t="s">
        <v>2919</v>
      </c>
      <c r="E2237" s="1">
        <v>998</v>
      </c>
      <c r="F2237" s="28">
        <v>33</v>
      </c>
      <c r="G2237" s="1">
        <v>31</v>
      </c>
      <c r="H2237" s="1">
        <v>78</v>
      </c>
      <c r="I2237" s="1">
        <v>76</v>
      </c>
      <c r="J2237" t="str">
        <f t="shared" si="34"/>
        <v>http://www.badatelna.eu/reprodukce/?fondId=241&amp;zaznamId=1133738&amp;reproId=3885679</v>
      </c>
      <c r="K2237">
        <f>IF(LEN(TRIM(E2237))=0,"",VLOOKUP(E2237,Sheet2!$B$1:$E$19,2,FALSE))</f>
        <v>241</v>
      </c>
      <c r="L2237">
        <f>IF(LEN(TRIM(E2237))=0,"",VLOOKUP(E2237,Sheet2!$B$1:$E$19,3,FALSE))</f>
        <v>1133738</v>
      </c>
      <c r="M2237">
        <f>IF(LEN(TRIM(E2237))=0,"",VLOOKUP(E2237,Sheet2!$B$1:$E$19,4,FALSE))+(F2237-1)</f>
        <v>3885679</v>
      </c>
    </row>
    <row r="2238" spans="1:17" s="1" customFormat="1" ht="15" customHeight="1" x14ac:dyDescent="0.25">
      <c r="A2238" s="28" t="s">
        <v>448</v>
      </c>
      <c r="B2238" s="28" t="s">
        <v>552</v>
      </c>
      <c r="C2238" s="1">
        <v>1856</v>
      </c>
      <c r="D2238" s="1" t="s">
        <v>2919</v>
      </c>
      <c r="E2238" s="1">
        <v>998</v>
      </c>
      <c r="F2238" s="28">
        <v>49</v>
      </c>
      <c r="G2238" s="1">
        <v>47</v>
      </c>
      <c r="H2238" s="1">
        <v>79</v>
      </c>
      <c r="I2238" s="1">
        <v>77</v>
      </c>
      <c r="J2238" t="str">
        <f t="shared" si="34"/>
        <v>http://www.badatelna.eu/reprodukce/?fondId=241&amp;zaznamId=1133738&amp;reproId=3885695</v>
      </c>
      <c r="K2238">
        <f>IF(LEN(TRIM(E2238))=0,"",VLOOKUP(E2238,Sheet2!$B$1:$E$19,2,FALSE))</f>
        <v>241</v>
      </c>
      <c r="L2238">
        <f>IF(LEN(TRIM(E2238))=0,"",VLOOKUP(E2238,Sheet2!$B$1:$E$19,3,FALSE))</f>
        <v>1133738</v>
      </c>
      <c r="M2238">
        <f>IF(LEN(TRIM(E2238))=0,"",VLOOKUP(E2238,Sheet2!$B$1:$E$19,4,FALSE))+(F2238-1)</f>
        <v>3885695</v>
      </c>
    </row>
    <row r="2239" spans="1:17" s="1" customFormat="1" ht="15" customHeight="1" x14ac:dyDescent="0.25">
      <c r="A2239" s="28" t="s">
        <v>448</v>
      </c>
      <c r="B2239" s="28" t="s">
        <v>25</v>
      </c>
      <c r="C2239" s="1">
        <v>1856</v>
      </c>
      <c r="D2239" s="1" t="s">
        <v>2919</v>
      </c>
      <c r="E2239" s="1">
        <v>998</v>
      </c>
      <c r="F2239" s="28">
        <v>49</v>
      </c>
      <c r="G2239" s="1">
        <v>47</v>
      </c>
      <c r="H2239" s="1">
        <v>79</v>
      </c>
      <c r="I2239" s="1">
        <v>77</v>
      </c>
      <c r="J2239" t="str">
        <f t="shared" si="34"/>
        <v>http://www.badatelna.eu/reprodukce/?fondId=241&amp;zaznamId=1133738&amp;reproId=3885695</v>
      </c>
      <c r="K2239">
        <f>IF(LEN(TRIM(E2239))=0,"",VLOOKUP(E2239,Sheet2!$B$1:$E$19,2,FALSE))</f>
        <v>241</v>
      </c>
      <c r="L2239">
        <f>IF(LEN(TRIM(E2239))=0,"",VLOOKUP(E2239,Sheet2!$B$1:$E$19,3,FALSE))</f>
        <v>1133738</v>
      </c>
      <c r="M2239">
        <f>IF(LEN(TRIM(E2239))=0,"",VLOOKUP(E2239,Sheet2!$B$1:$E$19,4,FALSE))+(F2239-1)</f>
        <v>3885695</v>
      </c>
      <c r="N2239"/>
      <c r="O2239"/>
      <c r="P2239"/>
      <c r="Q2239"/>
    </row>
    <row r="2240" spans="1:17" s="1" customFormat="1" ht="15" customHeight="1" x14ac:dyDescent="0.25">
      <c r="A2240" s="28" t="s">
        <v>448</v>
      </c>
      <c r="B2240" s="28" t="s">
        <v>25</v>
      </c>
      <c r="C2240" s="1">
        <v>1860</v>
      </c>
      <c r="D2240" s="1" t="s">
        <v>2919</v>
      </c>
      <c r="E2240" s="1">
        <v>998</v>
      </c>
      <c r="F2240" s="28">
        <v>58</v>
      </c>
      <c r="G2240" s="1">
        <v>55</v>
      </c>
      <c r="H2240" s="1">
        <v>79</v>
      </c>
      <c r="I2240" s="1">
        <v>77</v>
      </c>
      <c r="J2240" t="str">
        <f t="shared" si="34"/>
        <v>http://www.badatelna.eu/reprodukce/?fondId=241&amp;zaznamId=1133738&amp;reproId=3885704</v>
      </c>
      <c r="K2240">
        <f>IF(LEN(TRIM(E2240))=0,"",VLOOKUP(E2240,Sheet2!$B$1:$E$19,2,FALSE))</f>
        <v>241</v>
      </c>
      <c r="L2240">
        <f>IF(LEN(TRIM(E2240))=0,"",VLOOKUP(E2240,Sheet2!$B$1:$E$19,3,FALSE))</f>
        <v>1133738</v>
      </c>
      <c r="M2240">
        <f>IF(LEN(TRIM(E2240))=0,"",VLOOKUP(E2240,Sheet2!$B$1:$E$19,4,FALSE))+(F2240-1)</f>
        <v>3885704</v>
      </c>
    </row>
    <row r="2241" spans="1:17" s="1" customFormat="1" ht="15" customHeight="1" x14ac:dyDescent="0.25">
      <c r="A2241" s="28" t="s">
        <v>448</v>
      </c>
      <c r="B2241" s="28" t="s">
        <v>25</v>
      </c>
      <c r="C2241" s="6" t="s">
        <v>2743</v>
      </c>
      <c r="D2241" s="1" t="s">
        <v>454</v>
      </c>
      <c r="E2241" s="1">
        <v>2173</v>
      </c>
      <c r="F2241" s="28">
        <v>229</v>
      </c>
      <c r="G2241" s="9">
        <v>62</v>
      </c>
      <c r="H2241" s="1" t="s">
        <v>3073</v>
      </c>
      <c r="I2241" s="1" t="s">
        <v>3073</v>
      </c>
      <c r="J2241" t="str">
        <f t="shared" si="34"/>
        <v>http://www.badatelna.eu/reprodukce/?fondId=1073&amp;zaznamId=1108959&amp;reproId=3780222</v>
      </c>
      <c r="K2241">
        <f>IF(LEN(TRIM(E2241))=0,"",VLOOKUP(E2241,Sheet2!$B$1:$E$19,2,FALSE))</f>
        <v>1073</v>
      </c>
      <c r="L2241">
        <f>IF(LEN(TRIM(E2241))=0,"",VLOOKUP(E2241,Sheet2!$B$1:$E$19,3,FALSE))</f>
        <v>1108959</v>
      </c>
      <c r="M2241">
        <f>IF(LEN(TRIM(E2241))=0,"",VLOOKUP(E2241,Sheet2!$B$1:$E$19,4,FALSE))+(F2241-1)</f>
        <v>3780222</v>
      </c>
      <c r="N2241"/>
      <c r="O2241"/>
      <c r="P2241"/>
      <c r="Q2241"/>
    </row>
    <row r="2242" spans="1:17" s="1" customFormat="1" ht="15" customHeight="1" x14ac:dyDescent="0.25">
      <c r="A2242" s="28" t="s">
        <v>448</v>
      </c>
      <c r="B2242" s="28" t="s">
        <v>424</v>
      </c>
      <c r="C2242" s="1">
        <v>1860</v>
      </c>
      <c r="D2242" s="1" t="s">
        <v>2919</v>
      </c>
      <c r="E2242" s="1">
        <v>998</v>
      </c>
      <c r="F2242" s="28">
        <v>58</v>
      </c>
      <c r="G2242" s="1">
        <v>55</v>
      </c>
      <c r="H2242" s="1">
        <v>79</v>
      </c>
      <c r="I2242" s="1">
        <v>77</v>
      </c>
      <c r="J2242" t="str">
        <f t="shared" si="34"/>
        <v>http://www.badatelna.eu/reprodukce/?fondId=241&amp;zaznamId=1133738&amp;reproId=3885704</v>
      </c>
      <c r="K2242">
        <f>IF(LEN(TRIM(E2242))=0,"",VLOOKUP(E2242,Sheet2!$B$1:$E$19,2,FALSE))</f>
        <v>241</v>
      </c>
      <c r="L2242">
        <f>IF(LEN(TRIM(E2242))=0,"",VLOOKUP(E2242,Sheet2!$B$1:$E$19,3,FALSE))</f>
        <v>1133738</v>
      </c>
      <c r="M2242">
        <f>IF(LEN(TRIM(E2242))=0,"",VLOOKUP(E2242,Sheet2!$B$1:$E$19,4,FALSE))+(F2242-1)</f>
        <v>3885704</v>
      </c>
      <c r="N2242"/>
      <c r="O2242"/>
      <c r="P2242"/>
      <c r="Q2242"/>
    </row>
    <row r="2243" spans="1:17" s="1" customFormat="1" ht="15" customHeight="1" x14ac:dyDescent="0.25">
      <c r="A2243" s="28" t="s">
        <v>226</v>
      </c>
      <c r="B2243" s="28" t="s">
        <v>25</v>
      </c>
      <c r="C2243" s="6" t="s">
        <v>2523</v>
      </c>
      <c r="D2243" s="1" t="s">
        <v>454</v>
      </c>
      <c r="E2243" s="1">
        <v>2173</v>
      </c>
      <c r="F2243" s="28">
        <v>206</v>
      </c>
      <c r="G2243" s="1">
        <v>22</v>
      </c>
      <c r="H2243" s="1" t="s">
        <v>3073</v>
      </c>
      <c r="I2243" s="1" t="s">
        <v>3073</v>
      </c>
      <c r="J2243" t="str">
        <f t="shared" ref="J2243:J2306" si="35">IF(LEN(TRIM(E2243))=0,"","http://www.badatelna.eu/reprodukce/?fondId="&amp;K2243&amp;"&amp;zaznamId="&amp;L2243&amp;"&amp;reproId="&amp;M2243)</f>
        <v>http://www.badatelna.eu/reprodukce/?fondId=1073&amp;zaznamId=1108959&amp;reproId=3780199</v>
      </c>
      <c r="K2243">
        <f>IF(LEN(TRIM(E2243))=0,"",VLOOKUP(E2243,Sheet2!$B$1:$E$19,2,FALSE))</f>
        <v>1073</v>
      </c>
      <c r="L2243">
        <f>IF(LEN(TRIM(E2243))=0,"",VLOOKUP(E2243,Sheet2!$B$1:$E$19,3,FALSE))</f>
        <v>1108959</v>
      </c>
      <c r="M2243">
        <f>IF(LEN(TRIM(E2243))=0,"",VLOOKUP(E2243,Sheet2!$B$1:$E$19,4,FALSE))+(F2243-1)</f>
        <v>3780199</v>
      </c>
      <c r="N2243"/>
      <c r="O2243"/>
      <c r="P2243"/>
      <c r="Q2243"/>
    </row>
    <row r="2244" spans="1:17" s="1" customFormat="1" ht="15" customHeight="1" x14ac:dyDescent="0.25">
      <c r="A2244" s="27" t="s">
        <v>226</v>
      </c>
      <c r="B2244" s="27" t="s">
        <v>611</v>
      </c>
      <c r="C2244" s="5" t="s">
        <v>1413</v>
      </c>
      <c r="D2244" s="3" t="s">
        <v>454</v>
      </c>
      <c r="E2244" s="3">
        <v>2170</v>
      </c>
      <c r="F2244" s="28">
        <v>57</v>
      </c>
      <c r="G2244" s="10">
        <v>53</v>
      </c>
      <c r="H2244" s="3">
        <v>71</v>
      </c>
      <c r="I2244" s="3">
        <v>67</v>
      </c>
      <c r="J2244" t="str">
        <f t="shared" si="35"/>
        <v>http://www.badatelna.eu/reprodukce/?fondId=1073&amp;zaznamId=1108956&amp;reproId=3779649</v>
      </c>
      <c r="K2244">
        <f>IF(LEN(TRIM(E2244))=0,"",VLOOKUP(E2244,Sheet2!$B$1:$E$19,2,FALSE))</f>
        <v>1073</v>
      </c>
      <c r="L2244">
        <f>IF(LEN(TRIM(E2244))=0,"",VLOOKUP(E2244,Sheet2!$B$1:$E$19,3,FALSE))</f>
        <v>1108956</v>
      </c>
      <c r="M2244">
        <f>IF(LEN(TRIM(E2244))=0,"",VLOOKUP(E2244,Sheet2!$B$1:$E$19,4,FALSE))+(F2244-1)</f>
        <v>3779649</v>
      </c>
    </row>
    <row r="2245" spans="1:17" s="1" customFormat="1" ht="15" customHeight="1" x14ac:dyDescent="0.25">
      <c r="A2245" s="28" t="s">
        <v>226</v>
      </c>
      <c r="B2245" s="28" t="s">
        <v>28</v>
      </c>
      <c r="C2245" s="6" t="s">
        <v>2620</v>
      </c>
      <c r="D2245" s="1" t="s">
        <v>454</v>
      </c>
      <c r="E2245" s="1">
        <v>2173</v>
      </c>
      <c r="F2245" s="28">
        <v>219</v>
      </c>
      <c r="G2245" s="9">
        <v>46</v>
      </c>
      <c r="H2245" s="1" t="s">
        <v>3073</v>
      </c>
      <c r="I2245" s="1" t="s">
        <v>3073</v>
      </c>
      <c r="J2245" t="str">
        <f t="shared" si="35"/>
        <v>http://www.badatelna.eu/reprodukce/?fondId=1073&amp;zaznamId=1108959&amp;reproId=3780212</v>
      </c>
      <c r="K2245">
        <f>IF(LEN(TRIM(E2245))=0,"",VLOOKUP(E2245,Sheet2!$B$1:$E$19,2,FALSE))</f>
        <v>1073</v>
      </c>
      <c r="L2245">
        <f>IF(LEN(TRIM(E2245))=0,"",VLOOKUP(E2245,Sheet2!$B$1:$E$19,3,FALSE))</f>
        <v>1108959</v>
      </c>
      <c r="M2245">
        <f>IF(LEN(TRIM(E2245))=0,"",VLOOKUP(E2245,Sheet2!$B$1:$E$19,4,FALSE))+(F2245-1)</f>
        <v>3780212</v>
      </c>
    </row>
    <row r="2246" spans="1:17" s="1" customFormat="1" ht="15" customHeight="1" x14ac:dyDescent="0.25">
      <c r="A2246" s="28" t="s">
        <v>27</v>
      </c>
      <c r="B2246" s="28" t="s">
        <v>33</v>
      </c>
      <c r="C2246" s="6" t="s">
        <v>1555</v>
      </c>
      <c r="D2246" s="1" t="s">
        <v>454</v>
      </c>
      <c r="E2246" s="1">
        <v>2172</v>
      </c>
      <c r="F2246" s="28">
        <v>18</v>
      </c>
      <c r="G2246" s="9">
        <v>17</v>
      </c>
      <c r="H2246" s="1" t="s">
        <v>3073</v>
      </c>
      <c r="I2246" s="1" t="s">
        <v>3073</v>
      </c>
      <c r="J2246" t="str">
        <f t="shared" si="35"/>
        <v>http://www.badatelna.eu/reprodukce/?fondId=1073&amp;zaznamId=1108958&amp;reproId=3779759</v>
      </c>
      <c r="K2246">
        <f>IF(LEN(TRIM(E2246))=0,"",VLOOKUP(E2246,Sheet2!$B$1:$E$19,2,FALSE))</f>
        <v>1073</v>
      </c>
      <c r="L2246">
        <f>IF(LEN(TRIM(E2246))=0,"",VLOOKUP(E2246,Sheet2!$B$1:$E$19,3,FALSE))</f>
        <v>1108958</v>
      </c>
      <c r="M2246">
        <f>IF(LEN(TRIM(E2246))=0,"",VLOOKUP(E2246,Sheet2!$B$1:$E$19,4,FALSE))+(F2246-1)</f>
        <v>3779759</v>
      </c>
      <c r="N2246"/>
      <c r="O2246"/>
      <c r="P2246"/>
      <c r="Q2246"/>
    </row>
    <row r="2247" spans="1:17" s="1" customFormat="1" ht="15" customHeight="1" x14ac:dyDescent="0.25">
      <c r="A2247" s="28" t="s">
        <v>27</v>
      </c>
      <c r="B2247" s="28" t="s">
        <v>363</v>
      </c>
      <c r="C2247" s="6" t="s">
        <v>2176</v>
      </c>
      <c r="D2247" s="1" t="s">
        <v>454</v>
      </c>
      <c r="E2247" s="1">
        <v>2173</v>
      </c>
      <c r="F2247" s="28">
        <v>177</v>
      </c>
      <c r="G2247" s="9">
        <v>1</v>
      </c>
      <c r="H2247" s="1">
        <v>192</v>
      </c>
      <c r="I2247" s="1">
        <v>427</v>
      </c>
      <c r="J2247" t="str">
        <f t="shared" si="35"/>
        <v>http://www.badatelna.eu/reprodukce/?fondId=1073&amp;zaznamId=1108959&amp;reproId=3780170</v>
      </c>
      <c r="K2247">
        <f>IF(LEN(TRIM(E2247))=0,"",VLOOKUP(E2247,Sheet2!$B$1:$E$19,2,FALSE))</f>
        <v>1073</v>
      </c>
      <c r="L2247">
        <f>IF(LEN(TRIM(E2247))=0,"",VLOOKUP(E2247,Sheet2!$B$1:$E$19,3,FALSE))</f>
        <v>1108959</v>
      </c>
      <c r="M2247">
        <f>IF(LEN(TRIM(E2247))=0,"",VLOOKUP(E2247,Sheet2!$B$1:$E$19,4,FALSE))+(F2247-1)</f>
        <v>3780170</v>
      </c>
      <c r="N2247"/>
      <c r="O2247"/>
      <c r="P2247"/>
      <c r="Q2247"/>
    </row>
    <row r="2248" spans="1:17" s="1" customFormat="1" ht="15" customHeight="1" x14ac:dyDescent="0.25">
      <c r="A2248" s="28" t="s">
        <v>27</v>
      </c>
      <c r="B2248" s="28" t="s">
        <v>1012</v>
      </c>
      <c r="C2248" s="1">
        <v>1886</v>
      </c>
      <c r="D2248" s="1" t="s">
        <v>454</v>
      </c>
      <c r="E2248" s="1">
        <v>2172</v>
      </c>
      <c r="F2248" s="28">
        <v>52</v>
      </c>
      <c r="G2248" s="9">
        <v>53</v>
      </c>
      <c r="H2248" s="1">
        <v>55</v>
      </c>
      <c r="I2248" s="1">
        <v>56</v>
      </c>
      <c r="J2248" t="str">
        <f t="shared" si="35"/>
        <v>http://www.badatelna.eu/reprodukce/?fondId=1073&amp;zaznamId=1108958&amp;reproId=3779793</v>
      </c>
      <c r="K2248">
        <f>IF(LEN(TRIM(E2248))=0,"",VLOOKUP(E2248,Sheet2!$B$1:$E$19,2,FALSE))</f>
        <v>1073</v>
      </c>
      <c r="L2248">
        <f>IF(LEN(TRIM(E2248))=0,"",VLOOKUP(E2248,Sheet2!$B$1:$E$19,3,FALSE))</f>
        <v>1108958</v>
      </c>
      <c r="M2248">
        <f>IF(LEN(TRIM(E2248))=0,"",VLOOKUP(E2248,Sheet2!$B$1:$E$19,4,FALSE))+(F2248-1)</f>
        <v>3779793</v>
      </c>
    </row>
    <row r="2249" spans="1:17" s="1" customFormat="1" ht="15" customHeight="1" x14ac:dyDescent="0.25">
      <c r="A2249" s="28" t="s">
        <v>27</v>
      </c>
      <c r="B2249" s="28" t="s">
        <v>19</v>
      </c>
      <c r="C2249" s="1">
        <v>1885</v>
      </c>
      <c r="D2249" s="1" t="s">
        <v>454</v>
      </c>
      <c r="E2249" s="1">
        <v>2172</v>
      </c>
      <c r="F2249" s="28">
        <v>46</v>
      </c>
      <c r="G2249" s="9">
        <v>45</v>
      </c>
      <c r="H2249" s="1">
        <v>49</v>
      </c>
      <c r="I2249" s="1">
        <v>50</v>
      </c>
      <c r="J2249" t="str">
        <f t="shared" si="35"/>
        <v>http://www.badatelna.eu/reprodukce/?fondId=1073&amp;zaznamId=1108958&amp;reproId=3779787</v>
      </c>
      <c r="K2249">
        <f>IF(LEN(TRIM(E2249))=0,"",VLOOKUP(E2249,Sheet2!$B$1:$E$19,2,FALSE))</f>
        <v>1073</v>
      </c>
      <c r="L2249">
        <f>IF(LEN(TRIM(E2249))=0,"",VLOOKUP(E2249,Sheet2!$B$1:$E$19,3,FALSE))</f>
        <v>1108958</v>
      </c>
      <c r="M2249">
        <f>IF(LEN(TRIM(E2249))=0,"",VLOOKUP(E2249,Sheet2!$B$1:$E$19,4,FALSE))+(F2249-1)</f>
        <v>3779787</v>
      </c>
    </row>
    <row r="2250" spans="1:17" s="1" customFormat="1" ht="15" customHeight="1" x14ac:dyDescent="0.25">
      <c r="A2250" s="28" t="s">
        <v>27</v>
      </c>
      <c r="B2250" s="28" t="s">
        <v>28</v>
      </c>
      <c r="C2250" s="6" t="s">
        <v>2223</v>
      </c>
      <c r="D2250" s="1" t="s">
        <v>454</v>
      </c>
      <c r="E2250" s="1">
        <v>2173</v>
      </c>
      <c r="F2250" s="28">
        <v>196</v>
      </c>
      <c r="G2250" s="9">
        <v>1</v>
      </c>
      <c r="H2250" s="1" t="s">
        <v>3073</v>
      </c>
      <c r="I2250" s="1" t="s">
        <v>3073</v>
      </c>
      <c r="J2250" t="str">
        <f t="shared" si="35"/>
        <v>http://www.badatelna.eu/reprodukce/?fondId=1073&amp;zaznamId=1108959&amp;reproId=3780189</v>
      </c>
      <c r="K2250">
        <f>IF(LEN(TRIM(E2250))=0,"",VLOOKUP(E2250,Sheet2!$B$1:$E$19,2,FALSE))</f>
        <v>1073</v>
      </c>
      <c r="L2250">
        <f>IF(LEN(TRIM(E2250))=0,"",VLOOKUP(E2250,Sheet2!$B$1:$E$19,3,FALSE))</f>
        <v>1108959</v>
      </c>
      <c r="M2250">
        <f>IF(LEN(TRIM(E2250))=0,"",VLOOKUP(E2250,Sheet2!$B$1:$E$19,4,FALSE))+(F2250-1)</f>
        <v>3780189</v>
      </c>
    </row>
    <row r="2251" spans="1:17" s="1" customFormat="1" ht="15" customHeight="1" x14ac:dyDescent="0.25">
      <c r="A2251" s="28" t="s">
        <v>27</v>
      </c>
      <c r="B2251" s="28" t="s">
        <v>1013</v>
      </c>
      <c r="C2251" s="6" t="s">
        <v>1746</v>
      </c>
      <c r="D2251" s="1" t="s">
        <v>454</v>
      </c>
      <c r="E2251" s="1">
        <v>2172</v>
      </c>
      <c r="F2251" s="28">
        <v>128</v>
      </c>
      <c r="G2251" s="9">
        <v>127</v>
      </c>
      <c r="H2251" s="1">
        <v>133</v>
      </c>
      <c r="I2251" s="1">
        <v>132</v>
      </c>
      <c r="J2251" t="str">
        <f t="shared" si="35"/>
        <v>http://www.badatelna.eu/reprodukce/?fondId=1073&amp;zaznamId=1108958&amp;reproId=3779869</v>
      </c>
      <c r="K2251">
        <f>IF(LEN(TRIM(E2251))=0,"",VLOOKUP(E2251,Sheet2!$B$1:$E$19,2,FALSE))</f>
        <v>1073</v>
      </c>
      <c r="L2251">
        <f>IF(LEN(TRIM(E2251))=0,"",VLOOKUP(E2251,Sheet2!$B$1:$E$19,3,FALSE))</f>
        <v>1108958</v>
      </c>
      <c r="M2251">
        <f>IF(LEN(TRIM(E2251))=0,"",VLOOKUP(E2251,Sheet2!$B$1:$E$19,4,FALSE))+(F2251-1)</f>
        <v>3779869</v>
      </c>
    </row>
    <row r="2252" spans="1:17" s="1" customFormat="1" ht="15" customHeight="1" x14ac:dyDescent="0.25">
      <c r="A2252" s="28" t="s">
        <v>27</v>
      </c>
      <c r="B2252" s="28" t="s">
        <v>1014</v>
      </c>
      <c r="C2252" s="1">
        <v>1883</v>
      </c>
      <c r="D2252" s="1" t="s">
        <v>454</v>
      </c>
      <c r="E2252" s="1">
        <v>2172</v>
      </c>
      <c r="F2252" s="28">
        <v>33</v>
      </c>
      <c r="G2252" s="9">
        <v>32</v>
      </c>
      <c r="H2252" s="1">
        <v>37</v>
      </c>
      <c r="I2252" s="1">
        <v>36</v>
      </c>
      <c r="J2252" t="str">
        <f t="shared" si="35"/>
        <v>http://www.badatelna.eu/reprodukce/?fondId=1073&amp;zaznamId=1108958&amp;reproId=3779774</v>
      </c>
      <c r="K2252">
        <f>IF(LEN(TRIM(E2252))=0,"",VLOOKUP(E2252,Sheet2!$B$1:$E$19,2,FALSE))</f>
        <v>1073</v>
      </c>
      <c r="L2252">
        <f>IF(LEN(TRIM(E2252))=0,"",VLOOKUP(E2252,Sheet2!$B$1:$E$19,3,FALSE))</f>
        <v>1108958</v>
      </c>
      <c r="M2252">
        <f>IF(LEN(TRIM(E2252))=0,"",VLOOKUP(E2252,Sheet2!$B$1:$E$19,4,FALSE))+(F2252-1)</f>
        <v>3779774</v>
      </c>
      <c r="N2252"/>
      <c r="O2252"/>
      <c r="P2252"/>
      <c r="Q2252"/>
    </row>
    <row r="2253" spans="1:17" s="1" customFormat="1" ht="15" customHeight="1" x14ac:dyDescent="0.25">
      <c r="A2253" s="28" t="s">
        <v>1015</v>
      </c>
      <c r="B2253" s="28" t="s">
        <v>1016</v>
      </c>
      <c r="C2253" s="1">
        <v>1887</v>
      </c>
      <c r="D2253" s="1" t="s">
        <v>454</v>
      </c>
      <c r="E2253" s="1">
        <v>2172</v>
      </c>
      <c r="F2253" s="28">
        <v>58</v>
      </c>
      <c r="G2253" s="9">
        <v>59</v>
      </c>
      <c r="H2253" s="1">
        <v>60</v>
      </c>
      <c r="I2253" s="1">
        <v>61</v>
      </c>
      <c r="J2253" t="str">
        <f t="shared" si="35"/>
        <v>http://www.badatelna.eu/reprodukce/?fondId=1073&amp;zaznamId=1108958&amp;reproId=3779799</v>
      </c>
      <c r="K2253">
        <f>IF(LEN(TRIM(E2253))=0,"",VLOOKUP(E2253,Sheet2!$B$1:$E$19,2,FALSE))</f>
        <v>1073</v>
      </c>
      <c r="L2253">
        <f>IF(LEN(TRIM(E2253))=0,"",VLOOKUP(E2253,Sheet2!$B$1:$E$19,3,FALSE))</f>
        <v>1108958</v>
      </c>
      <c r="M2253">
        <f>IF(LEN(TRIM(E2253))=0,"",VLOOKUP(E2253,Sheet2!$B$1:$E$19,4,FALSE))+(F2253-1)</f>
        <v>3779799</v>
      </c>
      <c r="N2253"/>
      <c r="O2253"/>
      <c r="P2253"/>
      <c r="Q2253"/>
    </row>
    <row r="2254" spans="1:17" s="1" customFormat="1" ht="15" customHeight="1" x14ac:dyDescent="0.25">
      <c r="A2254" s="29" t="s">
        <v>2809</v>
      </c>
      <c r="B2254" s="28" t="s">
        <v>56</v>
      </c>
      <c r="C2254" s="6" t="s">
        <v>2352</v>
      </c>
      <c r="D2254" s="1" t="s">
        <v>454</v>
      </c>
      <c r="E2254" s="1">
        <v>2173</v>
      </c>
      <c r="F2254" s="28">
        <v>200</v>
      </c>
      <c r="G2254" s="9">
        <v>10</v>
      </c>
      <c r="H2254" s="1" t="s">
        <v>3073</v>
      </c>
      <c r="I2254" s="1" t="s">
        <v>3073</v>
      </c>
      <c r="J2254" t="str">
        <f t="shared" si="35"/>
        <v>http://www.badatelna.eu/reprodukce/?fondId=1073&amp;zaznamId=1108959&amp;reproId=3780193</v>
      </c>
      <c r="K2254">
        <f>IF(LEN(TRIM(E2254))=0,"",VLOOKUP(E2254,Sheet2!$B$1:$E$19,2,FALSE))</f>
        <v>1073</v>
      </c>
      <c r="L2254">
        <f>IF(LEN(TRIM(E2254))=0,"",VLOOKUP(E2254,Sheet2!$B$1:$E$19,3,FALSE))</f>
        <v>1108959</v>
      </c>
      <c r="M2254">
        <f>IF(LEN(TRIM(E2254))=0,"",VLOOKUP(E2254,Sheet2!$B$1:$E$19,4,FALSE))+(F2254-1)</f>
        <v>3780193</v>
      </c>
      <c r="N2254"/>
      <c r="O2254"/>
      <c r="P2254"/>
      <c r="Q2254"/>
    </row>
    <row r="2255" spans="1:17" s="1" customFormat="1" ht="15" customHeight="1" x14ac:dyDescent="0.25">
      <c r="A2255" s="28" t="s">
        <v>107</v>
      </c>
      <c r="B2255" s="28" t="s">
        <v>420</v>
      </c>
      <c r="C2255" s="1">
        <v>1849</v>
      </c>
      <c r="D2255" s="1" t="s">
        <v>2919</v>
      </c>
      <c r="E2255" s="1">
        <v>998</v>
      </c>
      <c r="F2255" s="28">
        <v>20</v>
      </c>
      <c r="G2255" s="1">
        <v>18</v>
      </c>
      <c r="H2255" s="1">
        <v>78</v>
      </c>
      <c r="I2255" s="1">
        <v>76</v>
      </c>
      <c r="J2255" t="str">
        <f t="shared" si="35"/>
        <v>http://www.badatelna.eu/reprodukce/?fondId=241&amp;zaznamId=1133738&amp;reproId=3885666</v>
      </c>
      <c r="K2255">
        <f>IF(LEN(TRIM(E2255))=0,"",VLOOKUP(E2255,Sheet2!$B$1:$E$19,2,FALSE))</f>
        <v>241</v>
      </c>
      <c r="L2255">
        <f>IF(LEN(TRIM(E2255))=0,"",VLOOKUP(E2255,Sheet2!$B$1:$E$19,3,FALSE))</f>
        <v>1133738</v>
      </c>
      <c r="M2255">
        <f>IF(LEN(TRIM(E2255))=0,"",VLOOKUP(E2255,Sheet2!$B$1:$E$19,4,FALSE))+(F2255-1)</f>
        <v>3885666</v>
      </c>
    </row>
    <row r="2256" spans="1:17" s="1" customFormat="1" ht="15" customHeight="1" x14ac:dyDescent="0.25">
      <c r="A2256" s="28" t="s">
        <v>107</v>
      </c>
      <c r="B2256" s="28" t="s">
        <v>40</v>
      </c>
      <c r="C2256" s="6" t="s">
        <v>2547</v>
      </c>
      <c r="D2256" s="1" t="s">
        <v>454</v>
      </c>
      <c r="E2256" s="1">
        <v>2173</v>
      </c>
      <c r="F2256" s="28">
        <v>207</v>
      </c>
      <c r="G2256" s="1">
        <v>23</v>
      </c>
      <c r="H2256" s="1" t="s">
        <v>3073</v>
      </c>
      <c r="I2256" s="1" t="s">
        <v>3073</v>
      </c>
      <c r="J2256" t="str">
        <f t="shared" si="35"/>
        <v>http://www.badatelna.eu/reprodukce/?fondId=1073&amp;zaznamId=1108959&amp;reproId=3780200</v>
      </c>
      <c r="K2256">
        <f>IF(LEN(TRIM(E2256))=0,"",VLOOKUP(E2256,Sheet2!$B$1:$E$19,2,FALSE))</f>
        <v>1073</v>
      </c>
      <c r="L2256">
        <f>IF(LEN(TRIM(E2256))=0,"",VLOOKUP(E2256,Sheet2!$B$1:$E$19,3,FALSE))</f>
        <v>1108959</v>
      </c>
      <c r="M2256">
        <f>IF(LEN(TRIM(E2256))=0,"",VLOOKUP(E2256,Sheet2!$B$1:$E$19,4,FALSE))+(F2256-1)</f>
        <v>3780200</v>
      </c>
      <c r="N2256"/>
      <c r="O2256"/>
      <c r="P2256"/>
      <c r="Q2256"/>
    </row>
    <row r="2257" spans="1:17" s="1" customFormat="1" ht="15" customHeight="1" x14ac:dyDescent="0.25">
      <c r="A2257" s="28" t="s">
        <v>107</v>
      </c>
      <c r="B2257" s="28" t="s">
        <v>75</v>
      </c>
      <c r="C2257" s="6" t="s">
        <v>2331</v>
      </c>
      <c r="D2257" s="1" t="s">
        <v>454</v>
      </c>
      <c r="E2257" s="1">
        <v>2173</v>
      </c>
      <c r="F2257" s="31">
        <v>199</v>
      </c>
      <c r="G2257" s="9">
        <v>7</v>
      </c>
      <c r="H2257" s="1" t="s">
        <v>3073</v>
      </c>
      <c r="I2257" s="1" t="s">
        <v>3073</v>
      </c>
      <c r="J2257" t="str">
        <f t="shared" si="35"/>
        <v>http://www.badatelna.eu/reprodukce/?fondId=1073&amp;zaznamId=1108959&amp;reproId=3780192</v>
      </c>
      <c r="K2257">
        <f>IF(LEN(TRIM(E2257))=0,"",VLOOKUP(E2257,Sheet2!$B$1:$E$19,2,FALSE))</f>
        <v>1073</v>
      </c>
      <c r="L2257">
        <f>IF(LEN(TRIM(E2257))=0,"",VLOOKUP(E2257,Sheet2!$B$1:$E$19,3,FALSE))</f>
        <v>1108959</v>
      </c>
      <c r="M2257">
        <f>IF(LEN(TRIM(E2257))=0,"",VLOOKUP(E2257,Sheet2!$B$1:$E$19,4,FALSE))+(F2257-1)</f>
        <v>3780192</v>
      </c>
    </row>
    <row r="2258" spans="1:17" s="1" customFormat="1" ht="15" customHeight="1" x14ac:dyDescent="0.25">
      <c r="A2258" s="27" t="s">
        <v>612</v>
      </c>
      <c r="B2258" s="27" t="s">
        <v>13</v>
      </c>
      <c r="C2258" s="5" t="s">
        <v>1366</v>
      </c>
      <c r="D2258" s="3" t="s">
        <v>454</v>
      </c>
      <c r="E2258" s="3">
        <v>2170</v>
      </c>
      <c r="F2258" s="37">
        <v>21</v>
      </c>
      <c r="G2258" s="10">
        <v>17</v>
      </c>
      <c r="H2258" s="3">
        <v>70</v>
      </c>
      <c r="I2258" s="3">
        <v>66</v>
      </c>
      <c r="J2258" t="str">
        <f t="shared" si="35"/>
        <v>http://www.badatelna.eu/reprodukce/?fondId=1073&amp;zaznamId=1108956&amp;reproId=3779613</v>
      </c>
      <c r="K2258">
        <f>IF(LEN(TRIM(E2258))=0,"",VLOOKUP(E2258,Sheet2!$B$1:$E$19,2,FALSE))</f>
        <v>1073</v>
      </c>
      <c r="L2258">
        <f>IF(LEN(TRIM(E2258))=0,"",VLOOKUP(E2258,Sheet2!$B$1:$E$19,3,FALSE))</f>
        <v>1108956</v>
      </c>
      <c r="M2258">
        <f>IF(LEN(TRIM(E2258))=0,"",VLOOKUP(E2258,Sheet2!$B$1:$E$19,4,FALSE))+(F2258-1)</f>
        <v>3779613</v>
      </c>
    </row>
    <row r="2259" spans="1:17" s="1" customFormat="1" ht="15" customHeight="1" x14ac:dyDescent="0.25">
      <c r="A2259" s="28" t="s">
        <v>66</v>
      </c>
      <c r="B2259" s="28" t="s">
        <v>33</v>
      </c>
      <c r="C2259" s="1">
        <v>1886</v>
      </c>
      <c r="D2259" s="1" t="s">
        <v>454</v>
      </c>
      <c r="E2259" s="1">
        <v>2172</v>
      </c>
      <c r="F2259" s="28">
        <v>52</v>
      </c>
      <c r="G2259" s="9">
        <v>53</v>
      </c>
      <c r="H2259" s="1">
        <v>55</v>
      </c>
      <c r="I2259" s="1">
        <v>56</v>
      </c>
      <c r="J2259" t="str">
        <f t="shared" si="35"/>
        <v>http://www.badatelna.eu/reprodukce/?fondId=1073&amp;zaznamId=1108958&amp;reproId=3779793</v>
      </c>
      <c r="K2259">
        <f>IF(LEN(TRIM(E2259))=0,"",VLOOKUP(E2259,Sheet2!$B$1:$E$19,2,FALSE))</f>
        <v>1073</v>
      </c>
      <c r="L2259">
        <f>IF(LEN(TRIM(E2259))=0,"",VLOOKUP(E2259,Sheet2!$B$1:$E$19,3,FALSE))</f>
        <v>1108958</v>
      </c>
      <c r="M2259">
        <f>IF(LEN(TRIM(E2259))=0,"",VLOOKUP(E2259,Sheet2!$B$1:$E$19,4,FALSE))+(F2259-1)</f>
        <v>3779793</v>
      </c>
      <c r="N2259"/>
      <c r="O2259"/>
      <c r="P2259"/>
      <c r="Q2259"/>
    </row>
    <row r="2260" spans="1:17" s="1" customFormat="1" ht="15" customHeight="1" x14ac:dyDescent="0.25">
      <c r="A2260" s="28" t="s">
        <v>66</v>
      </c>
      <c r="B2260" s="28" t="s">
        <v>465</v>
      </c>
      <c r="C2260" s="1">
        <v>1855</v>
      </c>
      <c r="D2260" s="1" t="s">
        <v>2919</v>
      </c>
      <c r="E2260" s="1">
        <v>998</v>
      </c>
      <c r="F2260" s="28">
        <v>46</v>
      </c>
      <c r="G2260" s="1">
        <v>44</v>
      </c>
      <c r="H2260" s="1">
        <v>79</v>
      </c>
      <c r="I2260" s="1">
        <v>77</v>
      </c>
      <c r="J2260" t="str">
        <f t="shared" si="35"/>
        <v>http://www.badatelna.eu/reprodukce/?fondId=241&amp;zaznamId=1133738&amp;reproId=3885692</v>
      </c>
      <c r="K2260">
        <f>IF(LEN(TRIM(E2260))=0,"",VLOOKUP(E2260,Sheet2!$B$1:$E$19,2,FALSE))</f>
        <v>241</v>
      </c>
      <c r="L2260">
        <f>IF(LEN(TRIM(E2260))=0,"",VLOOKUP(E2260,Sheet2!$B$1:$E$19,3,FALSE))</f>
        <v>1133738</v>
      </c>
      <c r="M2260">
        <f>IF(LEN(TRIM(E2260))=0,"",VLOOKUP(E2260,Sheet2!$B$1:$E$19,4,FALSE))+(F2260-1)</f>
        <v>3885692</v>
      </c>
    </row>
    <row r="2261" spans="1:17" s="1" customFormat="1" ht="15" customHeight="1" x14ac:dyDescent="0.25">
      <c r="A2261" s="27" t="s">
        <v>66</v>
      </c>
      <c r="B2261" s="27" t="s">
        <v>613</v>
      </c>
      <c r="C2261" s="5" t="s">
        <v>1486</v>
      </c>
      <c r="D2261" s="3" t="s">
        <v>454</v>
      </c>
      <c r="E2261" s="3">
        <v>2171</v>
      </c>
      <c r="F2261" s="28">
        <v>42</v>
      </c>
      <c r="G2261" s="10">
        <v>39</v>
      </c>
      <c r="H2261" s="3">
        <v>52</v>
      </c>
      <c r="I2261" s="3">
        <v>39</v>
      </c>
      <c r="J2261" t="str">
        <f t="shared" si="35"/>
        <v>http://www.badatelna.eu/reprodukce/?fondId=1073&amp;zaznamId=1108957&amp;reproId=3779709</v>
      </c>
      <c r="K2261">
        <f>IF(LEN(TRIM(E2261))=0,"",VLOOKUP(E2261,Sheet2!$B$1:$E$19,2,FALSE))</f>
        <v>1073</v>
      </c>
      <c r="L2261">
        <f>IF(LEN(TRIM(E2261))=0,"",VLOOKUP(E2261,Sheet2!$B$1:$E$19,3,FALSE))</f>
        <v>1108957</v>
      </c>
      <c r="M2261">
        <f>IF(LEN(TRIM(E2261))=0,"",VLOOKUP(E2261,Sheet2!$B$1:$E$19,4,FALSE))+(F2261-1)</f>
        <v>3779709</v>
      </c>
    </row>
    <row r="2262" spans="1:17" s="1" customFormat="1" ht="15" customHeight="1" x14ac:dyDescent="0.25">
      <c r="A2262" s="28" t="s">
        <v>66</v>
      </c>
      <c r="B2262" s="29" t="s">
        <v>421</v>
      </c>
      <c r="C2262" s="6" t="s">
        <v>2435</v>
      </c>
      <c r="D2262" s="1" t="s">
        <v>454</v>
      </c>
      <c r="E2262" s="1">
        <v>2173</v>
      </c>
      <c r="F2262" s="28">
        <v>203</v>
      </c>
      <c r="G2262" s="1">
        <v>15</v>
      </c>
      <c r="H2262" s="1" t="s">
        <v>3073</v>
      </c>
      <c r="I2262" s="1" t="s">
        <v>3073</v>
      </c>
      <c r="J2262" t="str">
        <f t="shared" si="35"/>
        <v>http://www.badatelna.eu/reprodukce/?fondId=1073&amp;zaznamId=1108959&amp;reproId=3780196</v>
      </c>
      <c r="K2262">
        <f>IF(LEN(TRIM(E2262))=0,"",VLOOKUP(E2262,Sheet2!$B$1:$E$19,2,FALSE))</f>
        <v>1073</v>
      </c>
      <c r="L2262">
        <f>IF(LEN(TRIM(E2262))=0,"",VLOOKUP(E2262,Sheet2!$B$1:$E$19,3,FALSE))</f>
        <v>1108959</v>
      </c>
      <c r="M2262">
        <f>IF(LEN(TRIM(E2262))=0,"",VLOOKUP(E2262,Sheet2!$B$1:$E$19,4,FALSE))+(F2262-1)</f>
        <v>3780196</v>
      </c>
    </row>
    <row r="2263" spans="1:17" s="1" customFormat="1" ht="15" customHeight="1" x14ac:dyDescent="0.2">
      <c r="A2263" s="31" t="s">
        <v>66</v>
      </c>
      <c r="B2263" s="32" t="s">
        <v>459</v>
      </c>
      <c r="C2263" s="7" t="s">
        <v>2276</v>
      </c>
      <c r="D2263" s="1" t="s">
        <v>454</v>
      </c>
      <c r="E2263" s="1">
        <v>2173</v>
      </c>
      <c r="F2263" s="31">
        <v>197</v>
      </c>
      <c r="G2263" s="12">
        <v>3</v>
      </c>
      <c r="H2263" s="1" t="s">
        <v>3073</v>
      </c>
      <c r="I2263" s="1" t="s">
        <v>3073</v>
      </c>
      <c r="J2263" t="str">
        <f t="shared" si="35"/>
        <v>http://www.badatelna.eu/reprodukce/?fondId=1073&amp;zaznamId=1108959&amp;reproId=3780190</v>
      </c>
      <c r="K2263">
        <f>IF(LEN(TRIM(E2263))=0,"",VLOOKUP(E2263,Sheet2!$B$1:$E$19,2,FALSE))</f>
        <v>1073</v>
      </c>
      <c r="L2263">
        <f>IF(LEN(TRIM(E2263))=0,"",VLOOKUP(E2263,Sheet2!$B$1:$E$19,3,FALSE))</f>
        <v>1108959</v>
      </c>
      <c r="M2263">
        <f>IF(LEN(TRIM(E2263))=0,"",VLOOKUP(E2263,Sheet2!$B$1:$E$19,4,FALSE))+(F2263-1)</f>
        <v>3780190</v>
      </c>
      <c r="N2263"/>
      <c r="O2263"/>
      <c r="P2263"/>
      <c r="Q2263"/>
    </row>
    <row r="2264" spans="1:17" s="1" customFormat="1" ht="15" customHeight="1" x14ac:dyDescent="0.25">
      <c r="A2264" s="28" t="s">
        <v>66</v>
      </c>
      <c r="B2264" s="28" t="s">
        <v>364</v>
      </c>
      <c r="C2264" s="6" t="s">
        <v>2178</v>
      </c>
      <c r="D2264" s="1" t="s">
        <v>454</v>
      </c>
      <c r="E2264" s="1">
        <v>2173</v>
      </c>
      <c r="F2264" s="28">
        <v>178</v>
      </c>
      <c r="G2264" s="9">
        <v>3</v>
      </c>
      <c r="H2264" s="1">
        <v>192</v>
      </c>
      <c r="I2264" s="1">
        <v>427</v>
      </c>
      <c r="J2264" t="str">
        <f t="shared" si="35"/>
        <v>http://www.badatelna.eu/reprodukce/?fondId=1073&amp;zaznamId=1108959&amp;reproId=3780171</v>
      </c>
      <c r="K2264">
        <f>IF(LEN(TRIM(E2264))=0,"",VLOOKUP(E2264,Sheet2!$B$1:$E$19,2,FALSE))</f>
        <v>1073</v>
      </c>
      <c r="L2264">
        <f>IF(LEN(TRIM(E2264))=0,"",VLOOKUP(E2264,Sheet2!$B$1:$E$19,3,FALSE))</f>
        <v>1108959</v>
      </c>
      <c r="M2264">
        <f>IF(LEN(TRIM(E2264))=0,"",VLOOKUP(E2264,Sheet2!$B$1:$E$19,4,FALSE))+(F2264-1)</f>
        <v>3780171</v>
      </c>
    </row>
    <row r="2265" spans="1:17" s="1" customFormat="1" ht="15" customHeight="1" x14ac:dyDescent="0.25">
      <c r="A2265" s="28" t="s">
        <v>66</v>
      </c>
      <c r="B2265" s="28" t="s">
        <v>498</v>
      </c>
      <c r="C2265" s="6" t="s">
        <v>1770</v>
      </c>
      <c r="D2265" s="1" t="s">
        <v>454</v>
      </c>
      <c r="E2265" s="1">
        <v>2172</v>
      </c>
      <c r="F2265" s="28">
        <v>143</v>
      </c>
      <c r="G2265" s="9">
        <v>140</v>
      </c>
      <c r="H2265" s="1">
        <v>145</v>
      </c>
      <c r="I2265" s="1">
        <v>142</v>
      </c>
      <c r="J2265" t="str">
        <f t="shared" si="35"/>
        <v>http://www.badatelna.eu/reprodukce/?fondId=1073&amp;zaznamId=1108958&amp;reproId=3779884</v>
      </c>
      <c r="K2265">
        <f>IF(LEN(TRIM(E2265))=0,"",VLOOKUP(E2265,Sheet2!$B$1:$E$19,2,FALSE))</f>
        <v>1073</v>
      </c>
      <c r="L2265">
        <f>IF(LEN(TRIM(E2265))=0,"",VLOOKUP(E2265,Sheet2!$B$1:$E$19,3,FALSE))</f>
        <v>1108958</v>
      </c>
      <c r="M2265">
        <f>IF(LEN(TRIM(E2265))=0,"",VLOOKUP(E2265,Sheet2!$B$1:$E$19,4,FALSE))+(F2265-1)</f>
        <v>3779884</v>
      </c>
    </row>
    <row r="2266" spans="1:17" s="1" customFormat="1" ht="15" customHeight="1" x14ac:dyDescent="0.25">
      <c r="A2266" s="28" t="s">
        <v>66</v>
      </c>
      <c r="B2266" s="28" t="s">
        <v>415</v>
      </c>
      <c r="C2266" s="1">
        <v>1866</v>
      </c>
      <c r="D2266" s="1" t="s">
        <v>2919</v>
      </c>
      <c r="E2266" s="1">
        <v>999</v>
      </c>
      <c r="F2266" s="28">
        <v>91</v>
      </c>
      <c r="G2266" s="1">
        <v>12</v>
      </c>
      <c r="H2266" s="1">
        <v>108</v>
      </c>
      <c r="I2266" s="1">
        <v>168</v>
      </c>
      <c r="J2266" t="str">
        <f t="shared" si="35"/>
        <v>http://www.badatelna.eu/reprodukce/?fondId=241&amp;zaznamId=1133739&amp;reproId=3885820</v>
      </c>
      <c r="K2266">
        <f>IF(LEN(TRIM(E2266))=0,"",VLOOKUP(E2266,Sheet2!$B$1:$E$19,2,FALSE))</f>
        <v>241</v>
      </c>
      <c r="L2266">
        <f>IF(LEN(TRIM(E2266))=0,"",VLOOKUP(E2266,Sheet2!$B$1:$E$19,3,FALSE))</f>
        <v>1133739</v>
      </c>
      <c r="M2266">
        <f>IF(LEN(TRIM(E2266))=0,"",VLOOKUP(E2266,Sheet2!$B$1:$E$19,4,FALSE))+(F2266-1)</f>
        <v>3885820</v>
      </c>
    </row>
    <row r="2267" spans="1:17" s="1" customFormat="1" ht="15" customHeight="1" x14ac:dyDescent="0.25">
      <c r="A2267" s="27" t="s">
        <v>66</v>
      </c>
      <c r="B2267" s="27" t="s">
        <v>415</v>
      </c>
      <c r="C2267" s="5" t="s">
        <v>1367</v>
      </c>
      <c r="D2267" s="3" t="s">
        <v>454</v>
      </c>
      <c r="E2267" s="3">
        <v>2170</v>
      </c>
      <c r="F2267" s="31">
        <v>18</v>
      </c>
      <c r="G2267" s="10">
        <v>14</v>
      </c>
      <c r="H2267" s="3">
        <v>70</v>
      </c>
      <c r="I2267" s="3">
        <v>66</v>
      </c>
      <c r="J2267" t="str">
        <f t="shared" si="35"/>
        <v>http://www.badatelna.eu/reprodukce/?fondId=1073&amp;zaznamId=1108956&amp;reproId=3779610</v>
      </c>
      <c r="K2267">
        <f>IF(LEN(TRIM(E2267))=0,"",VLOOKUP(E2267,Sheet2!$B$1:$E$19,2,FALSE))</f>
        <v>1073</v>
      </c>
      <c r="L2267">
        <f>IF(LEN(TRIM(E2267))=0,"",VLOOKUP(E2267,Sheet2!$B$1:$E$19,3,FALSE))</f>
        <v>1108956</v>
      </c>
      <c r="M2267">
        <f>IF(LEN(TRIM(E2267))=0,"",VLOOKUP(E2267,Sheet2!$B$1:$E$19,4,FALSE))+(F2267-1)</f>
        <v>3779610</v>
      </c>
    </row>
    <row r="2268" spans="1:17" s="1" customFormat="1" ht="15" customHeight="1" x14ac:dyDescent="0.25">
      <c r="A2268" s="28" t="s">
        <v>66</v>
      </c>
      <c r="B2268" s="28" t="s">
        <v>522</v>
      </c>
      <c r="C2268" s="1">
        <v>1885</v>
      </c>
      <c r="D2268" s="1" t="s">
        <v>454</v>
      </c>
      <c r="E2268" s="1">
        <v>2172</v>
      </c>
      <c r="F2268" s="28">
        <v>48</v>
      </c>
      <c r="G2268" s="9">
        <v>47</v>
      </c>
      <c r="H2268" s="1">
        <v>49</v>
      </c>
      <c r="I2268" s="1">
        <v>50</v>
      </c>
      <c r="J2268" t="str">
        <f t="shared" si="35"/>
        <v>http://www.badatelna.eu/reprodukce/?fondId=1073&amp;zaznamId=1108958&amp;reproId=3779789</v>
      </c>
      <c r="K2268">
        <f>IF(LEN(TRIM(E2268))=0,"",VLOOKUP(E2268,Sheet2!$B$1:$E$19,2,FALSE))</f>
        <v>1073</v>
      </c>
      <c r="L2268">
        <f>IF(LEN(TRIM(E2268))=0,"",VLOOKUP(E2268,Sheet2!$B$1:$E$19,3,FALSE))</f>
        <v>1108958</v>
      </c>
      <c r="M2268">
        <f>IF(LEN(TRIM(E2268))=0,"",VLOOKUP(E2268,Sheet2!$B$1:$E$19,4,FALSE))+(F2268-1)</f>
        <v>3779789</v>
      </c>
      <c r="N2268"/>
      <c r="O2268"/>
      <c r="P2268"/>
      <c r="Q2268"/>
    </row>
    <row r="2269" spans="1:17" s="1" customFormat="1" ht="15" customHeight="1" x14ac:dyDescent="0.25">
      <c r="A2269" s="27" t="s">
        <v>66</v>
      </c>
      <c r="B2269" s="27" t="s">
        <v>272</v>
      </c>
      <c r="C2269" s="5" t="s">
        <v>1368</v>
      </c>
      <c r="D2269" s="3" t="s">
        <v>454</v>
      </c>
      <c r="E2269" s="3">
        <v>2170</v>
      </c>
      <c r="F2269" s="28">
        <v>16</v>
      </c>
      <c r="G2269" s="10">
        <v>12</v>
      </c>
      <c r="H2269" s="3">
        <v>70</v>
      </c>
      <c r="I2269" s="3">
        <v>66</v>
      </c>
      <c r="J2269" t="str">
        <f t="shared" si="35"/>
        <v>http://www.badatelna.eu/reprodukce/?fondId=1073&amp;zaznamId=1108956&amp;reproId=3779608</v>
      </c>
      <c r="K2269">
        <f>IF(LEN(TRIM(E2269))=0,"",VLOOKUP(E2269,Sheet2!$B$1:$E$19,2,FALSE))</f>
        <v>1073</v>
      </c>
      <c r="L2269">
        <f>IF(LEN(TRIM(E2269))=0,"",VLOOKUP(E2269,Sheet2!$B$1:$E$19,3,FALSE))</f>
        <v>1108956</v>
      </c>
      <c r="M2269">
        <f>IF(LEN(TRIM(E2269))=0,"",VLOOKUP(E2269,Sheet2!$B$1:$E$19,4,FALSE))+(F2269-1)</f>
        <v>3779608</v>
      </c>
    </row>
    <row r="2270" spans="1:17" s="1" customFormat="1" ht="15" customHeight="1" x14ac:dyDescent="0.25">
      <c r="A2270" s="28" t="s">
        <v>66</v>
      </c>
      <c r="B2270" s="28" t="s">
        <v>2964</v>
      </c>
      <c r="C2270" s="1">
        <v>1865</v>
      </c>
      <c r="D2270" s="1" t="s">
        <v>2919</v>
      </c>
      <c r="E2270" s="1">
        <v>999</v>
      </c>
      <c r="F2270" s="28">
        <v>89</v>
      </c>
      <c r="G2270" s="1">
        <v>10</v>
      </c>
      <c r="H2270" s="1">
        <v>108</v>
      </c>
      <c r="I2270" s="1">
        <v>168</v>
      </c>
      <c r="J2270" t="str">
        <f t="shared" si="35"/>
        <v>http://www.badatelna.eu/reprodukce/?fondId=241&amp;zaznamId=1133739&amp;reproId=3885818</v>
      </c>
      <c r="K2270">
        <f>IF(LEN(TRIM(E2270))=0,"",VLOOKUP(E2270,Sheet2!$B$1:$E$19,2,FALSE))</f>
        <v>241</v>
      </c>
      <c r="L2270">
        <f>IF(LEN(TRIM(E2270))=0,"",VLOOKUP(E2270,Sheet2!$B$1:$E$19,3,FALSE))</f>
        <v>1133739</v>
      </c>
      <c r="M2270">
        <f>IF(LEN(TRIM(E2270))=0,"",VLOOKUP(E2270,Sheet2!$B$1:$E$19,4,FALSE))+(F2270-1)</f>
        <v>3885818</v>
      </c>
      <c r="N2270"/>
      <c r="O2270"/>
      <c r="P2270"/>
      <c r="Q2270"/>
    </row>
    <row r="2271" spans="1:17" s="1" customFormat="1" ht="15" customHeight="1" x14ac:dyDescent="0.25">
      <c r="A2271" s="28" t="s">
        <v>66</v>
      </c>
      <c r="B2271" s="28" t="s">
        <v>362</v>
      </c>
      <c r="C2271" s="6" t="s">
        <v>2177</v>
      </c>
      <c r="D2271" s="1" t="s">
        <v>454</v>
      </c>
      <c r="E2271" s="1">
        <v>2173</v>
      </c>
      <c r="F2271" s="28">
        <v>177</v>
      </c>
      <c r="G2271" s="9">
        <v>1</v>
      </c>
      <c r="H2271" s="1">
        <v>192</v>
      </c>
      <c r="I2271" s="1">
        <v>427</v>
      </c>
      <c r="J2271" t="str">
        <f t="shared" si="35"/>
        <v>http://www.badatelna.eu/reprodukce/?fondId=1073&amp;zaznamId=1108959&amp;reproId=3780170</v>
      </c>
      <c r="K2271">
        <f>IF(LEN(TRIM(E2271))=0,"",VLOOKUP(E2271,Sheet2!$B$1:$E$19,2,FALSE))</f>
        <v>1073</v>
      </c>
      <c r="L2271">
        <f>IF(LEN(TRIM(E2271))=0,"",VLOOKUP(E2271,Sheet2!$B$1:$E$19,3,FALSE))</f>
        <v>1108959</v>
      </c>
      <c r="M2271">
        <f>IF(LEN(TRIM(E2271))=0,"",VLOOKUP(E2271,Sheet2!$B$1:$E$19,4,FALSE))+(F2271-1)</f>
        <v>3780170</v>
      </c>
      <c r="N2271"/>
      <c r="O2271"/>
      <c r="P2271"/>
      <c r="Q2271"/>
    </row>
    <row r="2272" spans="1:17" s="1" customFormat="1" ht="15" customHeight="1" x14ac:dyDescent="0.25">
      <c r="A2272" s="28" t="s">
        <v>1017</v>
      </c>
      <c r="B2272" s="28" t="s">
        <v>1018</v>
      </c>
      <c r="C2272" s="6" t="s">
        <v>1857</v>
      </c>
      <c r="D2272" s="1" t="s">
        <v>454</v>
      </c>
      <c r="E2272" s="1">
        <v>2172</v>
      </c>
      <c r="F2272" s="28">
        <v>184</v>
      </c>
      <c r="G2272" s="9">
        <v>175</v>
      </c>
      <c r="H2272" s="1" t="s">
        <v>3073</v>
      </c>
      <c r="I2272" s="1" t="s">
        <v>3073</v>
      </c>
      <c r="J2272" t="str">
        <f t="shared" si="35"/>
        <v>http://www.badatelna.eu/reprodukce/?fondId=1073&amp;zaznamId=1108958&amp;reproId=3779925</v>
      </c>
      <c r="K2272">
        <f>IF(LEN(TRIM(E2272))=0,"",VLOOKUP(E2272,Sheet2!$B$1:$E$19,2,FALSE))</f>
        <v>1073</v>
      </c>
      <c r="L2272">
        <f>IF(LEN(TRIM(E2272))=0,"",VLOOKUP(E2272,Sheet2!$B$1:$E$19,3,FALSE))</f>
        <v>1108958</v>
      </c>
      <c r="M2272">
        <f>IF(LEN(TRIM(E2272))=0,"",VLOOKUP(E2272,Sheet2!$B$1:$E$19,4,FALSE))+(F2272-1)</f>
        <v>3779925</v>
      </c>
    </row>
    <row r="2273" spans="1:17" s="1" customFormat="1" ht="15" customHeight="1" x14ac:dyDescent="0.25">
      <c r="A2273" s="28" t="s">
        <v>614</v>
      </c>
      <c r="B2273" s="28" t="s">
        <v>33</v>
      </c>
      <c r="C2273" s="1">
        <v>1862</v>
      </c>
      <c r="D2273" s="1" t="s">
        <v>2919</v>
      </c>
      <c r="E2273" s="1">
        <v>999</v>
      </c>
      <c r="F2273" s="28">
        <v>81</v>
      </c>
      <c r="G2273" s="1">
        <v>2</v>
      </c>
      <c r="H2273" s="1">
        <v>108</v>
      </c>
      <c r="I2273" s="1">
        <v>168</v>
      </c>
      <c r="J2273" t="str">
        <f t="shared" si="35"/>
        <v>http://www.badatelna.eu/reprodukce/?fondId=241&amp;zaznamId=1133739&amp;reproId=3885810</v>
      </c>
      <c r="K2273">
        <f>IF(LEN(TRIM(E2273))=0,"",VLOOKUP(E2273,Sheet2!$B$1:$E$19,2,FALSE))</f>
        <v>241</v>
      </c>
      <c r="L2273">
        <f>IF(LEN(TRIM(E2273))=0,"",VLOOKUP(E2273,Sheet2!$B$1:$E$19,3,FALSE))</f>
        <v>1133739</v>
      </c>
      <c r="M2273">
        <f>IF(LEN(TRIM(E2273))=0,"",VLOOKUP(E2273,Sheet2!$B$1:$E$19,4,FALSE))+(F2273-1)</f>
        <v>3885810</v>
      </c>
    </row>
    <row r="2274" spans="1:17" s="1" customFormat="1" ht="15" customHeight="1" x14ac:dyDescent="0.25">
      <c r="A2274" s="28" t="s">
        <v>614</v>
      </c>
      <c r="B2274" s="28" t="s">
        <v>538</v>
      </c>
      <c r="C2274" s="6" t="s">
        <v>1616</v>
      </c>
      <c r="D2274" s="1" t="s">
        <v>454</v>
      </c>
      <c r="E2274" s="1">
        <v>2172</v>
      </c>
      <c r="F2274" s="28">
        <v>75</v>
      </c>
      <c r="G2274" s="9">
        <v>74</v>
      </c>
      <c r="H2274" s="1">
        <v>77</v>
      </c>
      <c r="I2274" s="1">
        <v>76</v>
      </c>
      <c r="J2274" t="str">
        <f t="shared" si="35"/>
        <v>http://www.badatelna.eu/reprodukce/?fondId=1073&amp;zaznamId=1108958&amp;reproId=3779816</v>
      </c>
      <c r="K2274">
        <f>IF(LEN(TRIM(E2274))=0,"",VLOOKUP(E2274,Sheet2!$B$1:$E$19,2,FALSE))</f>
        <v>1073</v>
      </c>
      <c r="L2274">
        <f>IF(LEN(TRIM(E2274))=0,"",VLOOKUP(E2274,Sheet2!$B$1:$E$19,3,FALSE))</f>
        <v>1108958</v>
      </c>
      <c r="M2274">
        <f>IF(LEN(TRIM(E2274))=0,"",VLOOKUP(E2274,Sheet2!$B$1:$E$19,4,FALSE))+(F2274-1)</f>
        <v>3779816</v>
      </c>
      <c r="N2274"/>
      <c r="O2274"/>
      <c r="P2274"/>
      <c r="Q2274"/>
    </row>
    <row r="2275" spans="1:17" s="1" customFormat="1" ht="15" customHeight="1" x14ac:dyDescent="0.25">
      <c r="A2275" s="28" t="s">
        <v>614</v>
      </c>
      <c r="B2275" s="28" t="s">
        <v>575</v>
      </c>
      <c r="C2275" s="1">
        <v>1855</v>
      </c>
      <c r="D2275" s="1" t="s">
        <v>2919</v>
      </c>
      <c r="E2275" s="1">
        <v>998</v>
      </c>
      <c r="F2275" s="28">
        <v>44</v>
      </c>
      <c r="G2275" s="1">
        <v>42</v>
      </c>
      <c r="H2275" s="1">
        <v>79</v>
      </c>
      <c r="I2275" s="1">
        <v>77</v>
      </c>
      <c r="J2275" t="str">
        <f t="shared" si="35"/>
        <v>http://www.badatelna.eu/reprodukce/?fondId=241&amp;zaznamId=1133738&amp;reproId=3885690</v>
      </c>
      <c r="K2275">
        <f>IF(LEN(TRIM(E2275))=0,"",VLOOKUP(E2275,Sheet2!$B$1:$E$19,2,FALSE))</f>
        <v>241</v>
      </c>
      <c r="L2275">
        <f>IF(LEN(TRIM(E2275))=0,"",VLOOKUP(E2275,Sheet2!$B$1:$E$19,3,FALSE))</f>
        <v>1133738</v>
      </c>
      <c r="M2275">
        <f>IF(LEN(TRIM(E2275))=0,"",VLOOKUP(E2275,Sheet2!$B$1:$E$19,4,FALSE))+(F2275-1)</f>
        <v>3885690</v>
      </c>
    </row>
    <row r="2276" spans="1:17" s="1" customFormat="1" ht="15" customHeight="1" x14ac:dyDescent="0.25">
      <c r="A2276" s="28" t="s">
        <v>614</v>
      </c>
      <c r="B2276" s="28" t="s">
        <v>25</v>
      </c>
      <c r="C2276" s="6" t="s">
        <v>1893</v>
      </c>
      <c r="D2276" s="1" t="s">
        <v>454</v>
      </c>
      <c r="E2276" s="1">
        <v>2172</v>
      </c>
      <c r="F2276" s="28">
        <v>199</v>
      </c>
      <c r="G2276" s="9">
        <v>187</v>
      </c>
      <c r="H2276" s="1" t="s">
        <v>3073</v>
      </c>
      <c r="I2276" s="1" t="s">
        <v>3073</v>
      </c>
      <c r="J2276" t="str">
        <f t="shared" si="35"/>
        <v>http://www.badatelna.eu/reprodukce/?fondId=1073&amp;zaznamId=1108958&amp;reproId=3779940</v>
      </c>
      <c r="K2276">
        <f>IF(LEN(TRIM(E2276))=0,"",VLOOKUP(E2276,Sheet2!$B$1:$E$19,2,FALSE))</f>
        <v>1073</v>
      </c>
      <c r="L2276">
        <f>IF(LEN(TRIM(E2276))=0,"",VLOOKUP(E2276,Sheet2!$B$1:$E$19,3,FALSE))</f>
        <v>1108958</v>
      </c>
      <c r="M2276">
        <f>IF(LEN(TRIM(E2276))=0,"",VLOOKUP(E2276,Sheet2!$B$1:$E$19,4,FALSE))+(F2276-1)</f>
        <v>3779940</v>
      </c>
    </row>
    <row r="2277" spans="1:17" s="1" customFormat="1" ht="15" customHeight="1" x14ac:dyDescent="0.25">
      <c r="A2277" s="29" t="s">
        <v>614</v>
      </c>
      <c r="B2277" s="28" t="s">
        <v>54</v>
      </c>
      <c r="C2277" s="1">
        <v>1849</v>
      </c>
      <c r="D2277" s="1" t="s">
        <v>2919</v>
      </c>
      <c r="E2277" s="1">
        <v>998</v>
      </c>
      <c r="F2277" s="28">
        <v>18</v>
      </c>
      <c r="G2277" s="1">
        <v>16</v>
      </c>
      <c r="H2277" s="1">
        <v>78</v>
      </c>
      <c r="I2277" s="1">
        <v>76</v>
      </c>
      <c r="J2277" t="str">
        <f t="shared" si="35"/>
        <v>http://www.badatelna.eu/reprodukce/?fondId=241&amp;zaznamId=1133738&amp;reproId=3885664</v>
      </c>
      <c r="K2277">
        <f>IF(LEN(TRIM(E2277))=0,"",VLOOKUP(E2277,Sheet2!$B$1:$E$19,2,FALSE))</f>
        <v>241</v>
      </c>
      <c r="L2277">
        <f>IF(LEN(TRIM(E2277))=0,"",VLOOKUP(E2277,Sheet2!$B$1:$E$19,3,FALSE))</f>
        <v>1133738</v>
      </c>
      <c r="M2277">
        <f>IF(LEN(TRIM(E2277))=0,"",VLOOKUP(E2277,Sheet2!$B$1:$E$19,4,FALSE))+(F2277-1)</f>
        <v>3885664</v>
      </c>
    </row>
    <row r="2278" spans="1:17" s="1" customFormat="1" ht="15" customHeight="1" x14ac:dyDescent="0.25">
      <c r="A2278" s="28" t="s">
        <v>614</v>
      </c>
      <c r="B2278" s="28" t="s">
        <v>91</v>
      </c>
      <c r="C2278" s="6" t="s">
        <v>1607</v>
      </c>
      <c r="D2278" s="1" t="s">
        <v>454</v>
      </c>
      <c r="E2278" s="1">
        <v>2172</v>
      </c>
      <c r="F2278" s="28">
        <v>73</v>
      </c>
      <c r="G2278" s="9">
        <v>72</v>
      </c>
      <c r="H2278" s="1">
        <v>77</v>
      </c>
      <c r="I2278" s="1">
        <v>76</v>
      </c>
      <c r="J2278" t="str">
        <f t="shared" si="35"/>
        <v>http://www.badatelna.eu/reprodukce/?fondId=1073&amp;zaznamId=1108958&amp;reproId=3779814</v>
      </c>
      <c r="K2278">
        <f>IF(LEN(TRIM(E2278))=0,"",VLOOKUP(E2278,Sheet2!$B$1:$E$19,2,FALSE))</f>
        <v>1073</v>
      </c>
      <c r="L2278">
        <f>IF(LEN(TRIM(E2278))=0,"",VLOOKUP(E2278,Sheet2!$B$1:$E$19,3,FALSE))</f>
        <v>1108958</v>
      </c>
      <c r="M2278">
        <f>IF(LEN(TRIM(E2278))=0,"",VLOOKUP(E2278,Sheet2!$B$1:$E$19,4,FALSE))+(F2278-1)</f>
        <v>3779814</v>
      </c>
    </row>
    <row r="2279" spans="1:17" s="1" customFormat="1" ht="15" customHeight="1" x14ac:dyDescent="0.25">
      <c r="A2279" s="27" t="s">
        <v>614</v>
      </c>
      <c r="B2279" s="27" t="s">
        <v>289</v>
      </c>
      <c r="C2279" s="5" t="s">
        <v>1414</v>
      </c>
      <c r="D2279" s="3" t="s">
        <v>454</v>
      </c>
      <c r="E2279" s="3">
        <v>2170</v>
      </c>
      <c r="F2279" s="28">
        <v>47</v>
      </c>
      <c r="G2279" s="10">
        <v>43</v>
      </c>
      <c r="H2279" s="3">
        <v>71</v>
      </c>
      <c r="I2279" s="3">
        <v>67</v>
      </c>
      <c r="J2279" t="str">
        <f t="shared" si="35"/>
        <v>http://www.badatelna.eu/reprodukce/?fondId=1073&amp;zaznamId=1108956&amp;reproId=3779639</v>
      </c>
      <c r="K2279">
        <f>IF(LEN(TRIM(E2279))=0,"",VLOOKUP(E2279,Sheet2!$B$1:$E$19,2,FALSE))</f>
        <v>1073</v>
      </c>
      <c r="L2279">
        <f>IF(LEN(TRIM(E2279))=0,"",VLOOKUP(E2279,Sheet2!$B$1:$E$19,3,FALSE))</f>
        <v>1108956</v>
      </c>
      <c r="M2279">
        <f>IF(LEN(TRIM(E2279))=0,"",VLOOKUP(E2279,Sheet2!$B$1:$E$19,4,FALSE))+(F2279-1)</f>
        <v>3779639</v>
      </c>
    </row>
    <row r="2280" spans="1:17" s="1" customFormat="1" ht="15" customHeight="1" x14ac:dyDescent="0.25">
      <c r="A2280" s="27"/>
      <c r="B2280" s="27"/>
      <c r="C2280" s="35" t="s">
        <v>3138</v>
      </c>
      <c r="D2280" s="3"/>
      <c r="E2280" s="3"/>
      <c r="F2280" s="28"/>
      <c r="G2280" s="10"/>
      <c r="H2280" s="3"/>
      <c r="I2280" s="3"/>
      <c r="J2280" t="str">
        <f t="shared" si="35"/>
        <v/>
      </c>
      <c r="K2280" t="str">
        <f>IF(LEN(TRIM(E2280))=0,"",VLOOKUP(E2280,Sheet2!$B$1:$E$19,2,FALSE))</f>
        <v/>
      </c>
      <c r="L2280" t="str">
        <f>IF(LEN(TRIM(E2280))=0,"",VLOOKUP(E2280,Sheet2!$B$1:$E$19,3,FALSE))</f>
        <v/>
      </c>
      <c r="M2280" t="e">
        <f>IF(LEN(TRIM(E2280))=0,"",VLOOKUP(E2280,Sheet2!$B$1:$E$19,4,FALSE))+(F2280-1)</f>
        <v>#VALUE!</v>
      </c>
    </row>
    <row r="2281" spans="1:17" s="1" customFormat="1" ht="15" customHeight="1" x14ac:dyDescent="0.25">
      <c r="A2281" s="28" t="s">
        <v>81</v>
      </c>
      <c r="B2281" s="28" t="s">
        <v>29</v>
      </c>
      <c r="C2281" s="6" t="s">
        <v>2461</v>
      </c>
      <c r="D2281" s="1" t="s">
        <v>454</v>
      </c>
      <c r="E2281" s="1">
        <v>2173</v>
      </c>
      <c r="F2281" s="28">
        <v>204</v>
      </c>
      <c r="G2281" s="1">
        <v>18</v>
      </c>
      <c r="H2281" s="1" t="s">
        <v>3073</v>
      </c>
      <c r="I2281" s="1" t="s">
        <v>3073</v>
      </c>
      <c r="J2281" t="str">
        <f t="shared" si="35"/>
        <v>http://www.badatelna.eu/reprodukce/?fondId=1073&amp;zaznamId=1108959&amp;reproId=3780197</v>
      </c>
      <c r="K2281">
        <f>IF(LEN(TRIM(E2281))=0,"",VLOOKUP(E2281,Sheet2!$B$1:$E$19,2,FALSE))</f>
        <v>1073</v>
      </c>
      <c r="L2281">
        <f>IF(LEN(TRIM(E2281))=0,"",VLOOKUP(E2281,Sheet2!$B$1:$E$19,3,FALSE))</f>
        <v>1108959</v>
      </c>
      <c r="M2281">
        <f>IF(LEN(TRIM(E2281))=0,"",VLOOKUP(E2281,Sheet2!$B$1:$E$19,4,FALSE))+(F2281-1)</f>
        <v>3780197</v>
      </c>
    </row>
    <row r="2282" spans="1:17" s="1" customFormat="1" ht="15" customHeight="1" x14ac:dyDescent="0.25">
      <c r="A2282" s="28" t="s">
        <v>81</v>
      </c>
      <c r="B2282" s="28" t="s">
        <v>369</v>
      </c>
      <c r="C2282" s="6" t="s">
        <v>2179</v>
      </c>
      <c r="D2282" s="1" t="s">
        <v>454</v>
      </c>
      <c r="E2282" s="1">
        <v>2173</v>
      </c>
      <c r="F2282" s="28">
        <v>180</v>
      </c>
      <c r="G2282" s="9">
        <v>7</v>
      </c>
      <c r="H2282" s="1">
        <v>192</v>
      </c>
      <c r="I2282" s="1">
        <v>427</v>
      </c>
      <c r="J2282" t="str">
        <f t="shared" si="35"/>
        <v>http://www.badatelna.eu/reprodukce/?fondId=1073&amp;zaznamId=1108959&amp;reproId=3780173</v>
      </c>
      <c r="K2282">
        <f>IF(LEN(TRIM(E2282))=0,"",VLOOKUP(E2282,Sheet2!$B$1:$E$19,2,FALSE))</f>
        <v>1073</v>
      </c>
      <c r="L2282">
        <f>IF(LEN(TRIM(E2282))=0,"",VLOOKUP(E2282,Sheet2!$B$1:$E$19,3,FALSE))</f>
        <v>1108959</v>
      </c>
      <c r="M2282">
        <f>IF(LEN(TRIM(E2282))=0,"",VLOOKUP(E2282,Sheet2!$B$1:$E$19,4,FALSE))+(F2282-1)</f>
        <v>3780173</v>
      </c>
    </row>
    <row r="2283" spans="1:17" s="1" customFormat="1" ht="15" customHeight="1" x14ac:dyDescent="0.25">
      <c r="A2283" s="28" t="s">
        <v>81</v>
      </c>
      <c r="B2283" s="28" t="s">
        <v>129</v>
      </c>
      <c r="C2283" s="6" t="s">
        <v>2181</v>
      </c>
      <c r="D2283" s="1" t="s">
        <v>454</v>
      </c>
      <c r="E2283" s="1">
        <v>2173</v>
      </c>
      <c r="F2283" s="28">
        <v>210</v>
      </c>
      <c r="G2283" s="9" t="s">
        <v>2863</v>
      </c>
      <c r="H2283" s="1" t="s">
        <v>3073</v>
      </c>
      <c r="I2283" s="1" t="s">
        <v>3073</v>
      </c>
      <c r="J2283" t="str">
        <f t="shared" si="35"/>
        <v>http://www.badatelna.eu/reprodukce/?fondId=1073&amp;zaznamId=1108959&amp;reproId=3780203</v>
      </c>
      <c r="K2283">
        <f>IF(LEN(TRIM(E2283))=0,"",VLOOKUP(E2283,Sheet2!$B$1:$E$19,2,FALSE))</f>
        <v>1073</v>
      </c>
      <c r="L2283">
        <f>IF(LEN(TRIM(E2283))=0,"",VLOOKUP(E2283,Sheet2!$B$1:$E$19,3,FALSE))</f>
        <v>1108959</v>
      </c>
      <c r="M2283">
        <f>IF(LEN(TRIM(E2283))=0,"",VLOOKUP(E2283,Sheet2!$B$1:$E$19,4,FALSE))+(F2283-1)</f>
        <v>3780203</v>
      </c>
    </row>
    <row r="2284" spans="1:17" s="1" customFormat="1" ht="15" customHeight="1" x14ac:dyDescent="0.25">
      <c r="A2284" s="28" t="s">
        <v>81</v>
      </c>
      <c r="B2284" s="28" t="s">
        <v>2883</v>
      </c>
      <c r="C2284" s="6" t="s">
        <v>2884</v>
      </c>
      <c r="D2284" s="1" t="s">
        <v>454</v>
      </c>
      <c r="E2284" s="1">
        <v>2173</v>
      </c>
      <c r="F2284" s="28">
        <v>211</v>
      </c>
      <c r="G2284" s="9" t="s">
        <v>2881</v>
      </c>
      <c r="H2284" s="1" t="s">
        <v>3073</v>
      </c>
      <c r="I2284" s="1" t="s">
        <v>3073</v>
      </c>
      <c r="J2284" t="str">
        <f t="shared" si="35"/>
        <v>http://www.badatelna.eu/reprodukce/?fondId=1073&amp;zaznamId=1108959&amp;reproId=3780204</v>
      </c>
      <c r="K2284">
        <f>IF(LEN(TRIM(E2284))=0,"",VLOOKUP(E2284,Sheet2!$B$1:$E$19,2,FALSE))</f>
        <v>1073</v>
      </c>
      <c r="L2284">
        <f>IF(LEN(TRIM(E2284))=0,"",VLOOKUP(E2284,Sheet2!$B$1:$E$19,3,FALSE))</f>
        <v>1108959</v>
      </c>
      <c r="M2284">
        <f>IF(LEN(TRIM(E2284))=0,"",VLOOKUP(E2284,Sheet2!$B$1:$E$19,4,FALSE))+(F2284-1)</f>
        <v>3780204</v>
      </c>
      <c r="N2284"/>
      <c r="O2284"/>
      <c r="P2284"/>
      <c r="Q2284"/>
    </row>
    <row r="2285" spans="1:17" s="1" customFormat="1" ht="15" customHeight="1" x14ac:dyDescent="0.25">
      <c r="A2285" s="28" t="s">
        <v>81</v>
      </c>
      <c r="B2285" s="28" t="s">
        <v>48</v>
      </c>
      <c r="C2285" s="6" t="s">
        <v>2277</v>
      </c>
      <c r="D2285" s="1" t="s">
        <v>454</v>
      </c>
      <c r="E2285" s="1">
        <v>2173</v>
      </c>
      <c r="F2285" s="31">
        <v>197</v>
      </c>
      <c r="G2285" s="12">
        <v>4</v>
      </c>
      <c r="H2285" s="1" t="s">
        <v>3073</v>
      </c>
      <c r="I2285" s="1" t="s">
        <v>3073</v>
      </c>
      <c r="J2285" t="str">
        <f t="shared" si="35"/>
        <v>http://www.badatelna.eu/reprodukce/?fondId=1073&amp;zaznamId=1108959&amp;reproId=3780190</v>
      </c>
      <c r="K2285">
        <f>IF(LEN(TRIM(E2285))=0,"",VLOOKUP(E2285,Sheet2!$B$1:$E$19,2,FALSE))</f>
        <v>1073</v>
      </c>
      <c r="L2285">
        <f>IF(LEN(TRIM(E2285))=0,"",VLOOKUP(E2285,Sheet2!$B$1:$E$19,3,FALSE))</f>
        <v>1108959</v>
      </c>
      <c r="M2285">
        <f>IF(LEN(TRIM(E2285))=0,"",VLOOKUP(E2285,Sheet2!$B$1:$E$19,4,FALSE))+(F2285-1)</f>
        <v>3780190</v>
      </c>
      <c r="N2285"/>
      <c r="O2285"/>
      <c r="P2285"/>
      <c r="Q2285"/>
    </row>
    <row r="2286" spans="1:17" s="1" customFormat="1" ht="15" customHeight="1" x14ac:dyDescent="0.25">
      <c r="A2286" s="28" t="s">
        <v>163</v>
      </c>
      <c r="B2286" s="28" t="s">
        <v>33</v>
      </c>
      <c r="C2286" s="6" t="s">
        <v>2610</v>
      </c>
      <c r="D2286" s="1" t="s">
        <v>454</v>
      </c>
      <c r="E2286" s="1">
        <v>2173</v>
      </c>
      <c r="F2286" s="28">
        <v>218</v>
      </c>
      <c r="G2286" s="9">
        <v>45</v>
      </c>
      <c r="H2286" s="1" t="s">
        <v>3073</v>
      </c>
      <c r="I2286" s="1" t="s">
        <v>3073</v>
      </c>
      <c r="J2286" t="str">
        <f t="shared" si="35"/>
        <v>http://www.badatelna.eu/reprodukce/?fondId=1073&amp;zaznamId=1108959&amp;reproId=3780211</v>
      </c>
      <c r="K2286">
        <f>IF(LEN(TRIM(E2286))=0,"",VLOOKUP(E2286,Sheet2!$B$1:$E$19,2,FALSE))</f>
        <v>1073</v>
      </c>
      <c r="L2286">
        <f>IF(LEN(TRIM(E2286))=0,"",VLOOKUP(E2286,Sheet2!$B$1:$E$19,3,FALSE))</f>
        <v>1108959</v>
      </c>
      <c r="M2286">
        <f>IF(LEN(TRIM(E2286))=0,"",VLOOKUP(E2286,Sheet2!$B$1:$E$19,4,FALSE))+(F2286-1)</f>
        <v>3780211</v>
      </c>
    </row>
    <row r="2287" spans="1:17" s="1" customFormat="1" ht="15" customHeight="1" x14ac:dyDescent="0.25">
      <c r="A2287" s="28" t="s">
        <v>163</v>
      </c>
      <c r="B2287" s="28" t="s">
        <v>528</v>
      </c>
      <c r="C2287" s="1">
        <v>1854</v>
      </c>
      <c r="D2287" s="1" t="s">
        <v>2919</v>
      </c>
      <c r="E2287" s="1">
        <v>998</v>
      </c>
      <c r="F2287" s="28">
        <v>41</v>
      </c>
      <c r="G2287" s="1">
        <v>39</v>
      </c>
      <c r="H2287" s="1">
        <v>78</v>
      </c>
      <c r="I2287" s="1">
        <v>76</v>
      </c>
      <c r="J2287" t="str">
        <f t="shared" si="35"/>
        <v>http://www.badatelna.eu/reprodukce/?fondId=241&amp;zaznamId=1133738&amp;reproId=3885687</v>
      </c>
      <c r="K2287">
        <f>IF(LEN(TRIM(E2287))=0,"",VLOOKUP(E2287,Sheet2!$B$1:$E$19,2,FALSE))</f>
        <v>241</v>
      </c>
      <c r="L2287">
        <f>IF(LEN(TRIM(E2287))=0,"",VLOOKUP(E2287,Sheet2!$B$1:$E$19,3,FALSE))</f>
        <v>1133738</v>
      </c>
      <c r="M2287">
        <f>IF(LEN(TRIM(E2287))=0,"",VLOOKUP(E2287,Sheet2!$B$1:$E$19,4,FALSE))+(F2287-1)</f>
        <v>3885687</v>
      </c>
    </row>
    <row r="2288" spans="1:17" s="1" customFormat="1" ht="15" customHeight="1" x14ac:dyDescent="0.25">
      <c r="A2288" s="28" t="s">
        <v>163</v>
      </c>
      <c r="B2288" s="28" t="s">
        <v>29</v>
      </c>
      <c r="C2288" s="1">
        <v>1854</v>
      </c>
      <c r="D2288" s="1" t="s">
        <v>2919</v>
      </c>
      <c r="E2288" s="1">
        <v>998</v>
      </c>
      <c r="F2288" s="28">
        <v>43</v>
      </c>
      <c r="G2288" s="1">
        <v>41</v>
      </c>
      <c r="H2288" s="1">
        <v>78</v>
      </c>
      <c r="I2288" s="1">
        <v>76</v>
      </c>
      <c r="J2288" t="str">
        <f t="shared" si="35"/>
        <v>http://www.badatelna.eu/reprodukce/?fondId=241&amp;zaznamId=1133738&amp;reproId=3885689</v>
      </c>
      <c r="K2288">
        <f>IF(LEN(TRIM(E2288))=0,"",VLOOKUP(E2288,Sheet2!$B$1:$E$19,2,FALSE))</f>
        <v>241</v>
      </c>
      <c r="L2288">
        <f>IF(LEN(TRIM(E2288))=0,"",VLOOKUP(E2288,Sheet2!$B$1:$E$19,3,FALSE))</f>
        <v>1133738</v>
      </c>
      <c r="M2288">
        <f>IF(LEN(TRIM(E2288))=0,"",VLOOKUP(E2288,Sheet2!$B$1:$E$19,4,FALSE))+(F2288-1)</f>
        <v>3885689</v>
      </c>
    </row>
    <row r="2289" spans="1:17" s="1" customFormat="1" ht="15" customHeight="1" x14ac:dyDescent="0.25">
      <c r="A2289" s="28" t="s">
        <v>163</v>
      </c>
      <c r="B2289" s="28" t="s">
        <v>363</v>
      </c>
      <c r="C2289" s="1">
        <v>1887</v>
      </c>
      <c r="D2289" s="1" t="s">
        <v>454</v>
      </c>
      <c r="E2289" s="1">
        <v>2172</v>
      </c>
      <c r="F2289" s="28">
        <v>57</v>
      </c>
      <c r="G2289" s="9">
        <v>58</v>
      </c>
      <c r="H2289" s="1">
        <v>60</v>
      </c>
      <c r="I2289" s="1">
        <v>61</v>
      </c>
      <c r="J2289" t="str">
        <f t="shared" si="35"/>
        <v>http://www.badatelna.eu/reprodukce/?fondId=1073&amp;zaznamId=1108958&amp;reproId=3779798</v>
      </c>
      <c r="K2289">
        <f>IF(LEN(TRIM(E2289))=0,"",VLOOKUP(E2289,Sheet2!$B$1:$E$19,2,FALSE))</f>
        <v>1073</v>
      </c>
      <c r="L2289">
        <f>IF(LEN(TRIM(E2289))=0,"",VLOOKUP(E2289,Sheet2!$B$1:$E$19,3,FALSE))</f>
        <v>1108958</v>
      </c>
      <c r="M2289">
        <f>IF(LEN(TRIM(E2289))=0,"",VLOOKUP(E2289,Sheet2!$B$1:$E$19,4,FALSE))+(F2289-1)</f>
        <v>3779798</v>
      </c>
    </row>
    <row r="2290" spans="1:17" s="1" customFormat="1" ht="15" customHeight="1" x14ac:dyDescent="0.25">
      <c r="A2290" s="27" t="s">
        <v>163</v>
      </c>
      <c r="B2290" s="27" t="s">
        <v>594</v>
      </c>
      <c r="C2290" s="5" t="s">
        <v>1370</v>
      </c>
      <c r="D2290" s="3" t="s">
        <v>454</v>
      </c>
      <c r="E2290" s="3">
        <v>2170</v>
      </c>
      <c r="F2290" s="28">
        <v>32</v>
      </c>
      <c r="G2290" s="10">
        <v>28</v>
      </c>
      <c r="H2290" s="3">
        <v>70</v>
      </c>
      <c r="I2290" s="3">
        <v>66</v>
      </c>
      <c r="J2290" t="str">
        <f t="shared" si="35"/>
        <v>http://www.badatelna.eu/reprodukce/?fondId=1073&amp;zaznamId=1108956&amp;reproId=3779624</v>
      </c>
      <c r="K2290">
        <f>IF(LEN(TRIM(E2290))=0,"",VLOOKUP(E2290,Sheet2!$B$1:$E$19,2,FALSE))</f>
        <v>1073</v>
      </c>
      <c r="L2290">
        <f>IF(LEN(TRIM(E2290))=0,"",VLOOKUP(E2290,Sheet2!$B$1:$E$19,3,FALSE))</f>
        <v>1108956</v>
      </c>
      <c r="M2290">
        <f>IF(LEN(TRIM(E2290))=0,"",VLOOKUP(E2290,Sheet2!$B$1:$E$19,4,FALSE))+(F2290-1)</f>
        <v>3779624</v>
      </c>
    </row>
    <row r="2291" spans="1:17" s="1" customFormat="1" ht="15" customHeight="1" x14ac:dyDescent="0.25">
      <c r="A2291" s="28" t="s">
        <v>163</v>
      </c>
      <c r="B2291" s="28" t="s">
        <v>707</v>
      </c>
      <c r="C2291" s="1">
        <v>1856</v>
      </c>
      <c r="D2291" s="1" t="s">
        <v>2919</v>
      </c>
      <c r="E2291" s="1">
        <v>998</v>
      </c>
      <c r="F2291" s="28">
        <v>48</v>
      </c>
      <c r="G2291" s="1">
        <v>46</v>
      </c>
      <c r="H2291" s="1">
        <v>79</v>
      </c>
      <c r="I2291" s="1">
        <v>77</v>
      </c>
      <c r="J2291" t="str">
        <f t="shared" si="35"/>
        <v>http://www.badatelna.eu/reprodukce/?fondId=241&amp;zaznamId=1133738&amp;reproId=3885694</v>
      </c>
      <c r="K2291">
        <f>IF(LEN(TRIM(E2291))=0,"",VLOOKUP(E2291,Sheet2!$B$1:$E$19,2,FALSE))</f>
        <v>241</v>
      </c>
      <c r="L2291">
        <f>IF(LEN(TRIM(E2291))=0,"",VLOOKUP(E2291,Sheet2!$B$1:$E$19,3,FALSE))</f>
        <v>1133738</v>
      </c>
      <c r="M2291">
        <f>IF(LEN(TRIM(E2291))=0,"",VLOOKUP(E2291,Sheet2!$B$1:$E$19,4,FALSE))+(F2291-1)</f>
        <v>3885694</v>
      </c>
      <c r="N2291"/>
      <c r="O2291"/>
      <c r="P2291"/>
      <c r="Q2291"/>
    </row>
    <row r="2292" spans="1:17" s="1" customFormat="1" ht="15" customHeight="1" x14ac:dyDescent="0.25">
      <c r="A2292" s="27" t="s">
        <v>163</v>
      </c>
      <c r="B2292" s="27" t="s">
        <v>373</v>
      </c>
      <c r="C2292" s="5" t="s">
        <v>1417</v>
      </c>
      <c r="D2292" s="3" t="s">
        <v>454</v>
      </c>
      <c r="E2292" s="3">
        <v>2170</v>
      </c>
      <c r="F2292" s="28">
        <v>50</v>
      </c>
      <c r="G2292" s="10">
        <v>46</v>
      </c>
      <c r="H2292" s="3">
        <v>71</v>
      </c>
      <c r="I2292" s="3">
        <v>67</v>
      </c>
      <c r="J2292" t="str">
        <f t="shared" si="35"/>
        <v>http://www.badatelna.eu/reprodukce/?fondId=1073&amp;zaznamId=1108956&amp;reproId=3779642</v>
      </c>
      <c r="K2292">
        <f>IF(LEN(TRIM(E2292))=0,"",VLOOKUP(E2292,Sheet2!$B$1:$E$19,2,FALSE))</f>
        <v>1073</v>
      </c>
      <c r="L2292">
        <f>IF(LEN(TRIM(E2292))=0,"",VLOOKUP(E2292,Sheet2!$B$1:$E$19,3,FALSE))</f>
        <v>1108956</v>
      </c>
      <c r="M2292">
        <f>IF(LEN(TRIM(E2292))=0,"",VLOOKUP(E2292,Sheet2!$B$1:$E$19,4,FALSE))+(F2292-1)</f>
        <v>3779642</v>
      </c>
    </row>
    <row r="2293" spans="1:17" s="1" customFormat="1" ht="15" customHeight="1" x14ac:dyDescent="0.25">
      <c r="A2293" s="28" t="s">
        <v>163</v>
      </c>
      <c r="B2293" s="28" t="s">
        <v>477</v>
      </c>
      <c r="C2293" s="6" t="s">
        <v>1507</v>
      </c>
      <c r="D2293" s="1" t="s">
        <v>454</v>
      </c>
      <c r="E2293" s="1">
        <v>2172</v>
      </c>
      <c r="F2293" s="28">
        <v>6</v>
      </c>
      <c r="G2293" s="9">
        <v>3</v>
      </c>
      <c r="H2293" s="1">
        <v>9</v>
      </c>
      <c r="I2293" s="1">
        <v>2</v>
      </c>
      <c r="J2293" t="str">
        <f t="shared" si="35"/>
        <v>http://www.badatelna.eu/reprodukce/?fondId=1073&amp;zaznamId=1108958&amp;reproId=3779747</v>
      </c>
      <c r="K2293">
        <f>IF(LEN(TRIM(E2293))=0,"",VLOOKUP(E2293,Sheet2!$B$1:$E$19,2,FALSE))</f>
        <v>1073</v>
      </c>
      <c r="L2293">
        <f>IF(LEN(TRIM(E2293))=0,"",VLOOKUP(E2293,Sheet2!$B$1:$E$19,3,FALSE))</f>
        <v>1108958</v>
      </c>
      <c r="M2293">
        <f>IF(LEN(TRIM(E2293))=0,"",VLOOKUP(E2293,Sheet2!$B$1:$E$19,4,FALSE))+(F2293-1)</f>
        <v>3779747</v>
      </c>
      <c r="N2293"/>
      <c r="O2293"/>
      <c r="P2293"/>
      <c r="Q2293"/>
    </row>
    <row r="2294" spans="1:17" s="1" customFormat="1" ht="15" customHeight="1" x14ac:dyDescent="0.25">
      <c r="A2294" s="28" t="s">
        <v>163</v>
      </c>
      <c r="B2294" s="28" t="s">
        <v>382</v>
      </c>
      <c r="C2294" s="1">
        <v>1885</v>
      </c>
      <c r="D2294" s="1" t="s">
        <v>454</v>
      </c>
      <c r="E2294" s="1">
        <v>2172</v>
      </c>
      <c r="F2294" s="28">
        <v>46</v>
      </c>
      <c r="G2294" s="9">
        <v>45</v>
      </c>
      <c r="H2294" s="1">
        <v>49</v>
      </c>
      <c r="I2294" s="1">
        <v>50</v>
      </c>
      <c r="J2294" t="str">
        <f t="shared" si="35"/>
        <v>http://www.badatelna.eu/reprodukce/?fondId=1073&amp;zaznamId=1108958&amp;reproId=3779787</v>
      </c>
      <c r="K2294">
        <f>IF(LEN(TRIM(E2294))=0,"",VLOOKUP(E2294,Sheet2!$B$1:$E$19,2,FALSE))</f>
        <v>1073</v>
      </c>
      <c r="L2294">
        <f>IF(LEN(TRIM(E2294))=0,"",VLOOKUP(E2294,Sheet2!$B$1:$E$19,3,FALSE))</f>
        <v>1108958</v>
      </c>
      <c r="M2294">
        <f>IF(LEN(TRIM(E2294))=0,"",VLOOKUP(E2294,Sheet2!$B$1:$E$19,4,FALSE))+(F2294-1)</f>
        <v>3779787</v>
      </c>
      <c r="N2294"/>
      <c r="O2294"/>
      <c r="P2294"/>
      <c r="Q2294"/>
    </row>
    <row r="2295" spans="1:17" s="1" customFormat="1" ht="15" customHeight="1" x14ac:dyDescent="0.25">
      <c r="A2295" s="28" t="s">
        <v>163</v>
      </c>
      <c r="B2295" s="28" t="s">
        <v>332</v>
      </c>
      <c r="C2295" s="1">
        <v>1848</v>
      </c>
      <c r="D2295" s="1" t="s">
        <v>2919</v>
      </c>
      <c r="E2295" s="1">
        <v>998</v>
      </c>
      <c r="F2295" s="28">
        <v>12</v>
      </c>
      <c r="G2295" s="1">
        <v>10</v>
      </c>
      <c r="H2295" s="1">
        <v>78</v>
      </c>
      <c r="I2295" s="1">
        <v>76</v>
      </c>
      <c r="J2295" t="str">
        <f t="shared" si="35"/>
        <v>http://www.badatelna.eu/reprodukce/?fondId=241&amp;zaznamId=1133738&amp;reproId=3885658</v>
      </c>
      <c r="K2295">
        <f>IF(LEN(TRIM(E2295))=0,"",VLOOKUP(E2295,Sheet2!$B$1:$E$19,2,FALSE))</f>
        <v>241</v>
      </c>
      <c r="L2295">
        <f>IF(LEN(TRIM(E2295))=0,"",VLOOKUP(E2295,Sheet2!$B$1:$E$19,3,FALSE))</f>
        <v>1133738</v>
      </c>
      <c r="M2295">
        <f>IF(LEN(TRIM(E2295))=0,"",VLOOKUP(E2295,Sheet2!$B$1:$E$19,4,FALSE))+(F2295-1)</f>
        <v>3885658</v>
      </c>
    </row>
    <row r="2296" spans="1:17" s="1" customFormat="1" ht="15" customHeight="1" x14ac:dyDescent="0.25">
      <c r="A2296" s="28" t="s">
        <v>163</v>
      </c>
      <c r="B2296" s="28" t="s">
        <v>129</v>
      </c>
      <c r="C2296" s="6" t="s">
        <v>2410</v>
      </c>
      <c r="D2296" s="1" t="s">
        <v>454</v>
      </c>
      <c r="E2296" s="1">
        <v>2173</v>
      </c>
      <c r="F2296" s="28">
        <v>202</v>
      </c>
      <c r="G2296" s="9">
        <v>13</v>
      </c>
      <c r="H2296" s="1" t="s">
        <v>3073</v>
      </c>
      <c r="I2296" s="1" t="s">
        <v>3073</v>
      </c>
      <c r="J2296" t="str">
        <f t="shared" si="35"/>
        <v>http://www.badatelna.eu/reprodukce/?fondId=1073&amp;zaznamId=1108959&amp;reproId=3780195</v>
      </c>
      <c r="K2296">
        <f>IF(LEN(TRIM(E2296))=0,"",VLOOKUP(E2296,Sheet2!$B$1:$E$19,2,FALSE))</f>
        <v>1073</v>
      </c>
      <c r="L2296">
        <f>IF(LEN(TRIM(E2296))=0,"",VLOOKUP(E2296,Sheet2!$B$1:$E$19,3,FALSE))</f>
        <v>1108959</v>
      </c>
      <c r="M2296">
        <f>IF(LEN(TRIM(E2296))=0,"",VLOOKUP(E2296,Sheet2!$B$1:$E$19,4,FALSE))+(F2296-1)</f>
        <v>3780195</v>
      </c>
      <c r="N2296"/>
      <c r="O2296"/>
      <c r="P2296"/>
      <c r="Q2296"/>
    </row>
    <row r="2297" spans="1:17" s="1" customFormat="1" ht="15" customHeight="1" x14ac:dyDescent="0.25">
      <c r="A2297" s="28" t="s">
        <v>163</v>
      </c>
      <c r="B2297" s="28" t="s">
        <v>3006</v>
      </c>
      <c r="C2297" s="1">
        <v>1849</v>
      </c>
      <c r="D2297" s="1" t="s">
        <v>2919</v>
      </c>
      <c r="E2297" s="1">
        <v>998</v>
      </c>
      <c r="F2297" s="28">
        <v>19</v>
      </c>
      <c r="G2297" s="1">
        <v>17</v>
      </c>
      <c r="H2297" s="1">
        <v>78</v>
      </c>
      <c r="I2297" s="1">
        <v>76</v>
      </c>
      <c r="J2297" t="str">
        <f t="shared" si="35"/>
        <v>http://www.badatelna.eu/reprodukce/?fondId=241&amp;zaznamId=1133738&amp;reproId=3885665</v>
      </c>
      <c r="K2297">
        <f>IF(LEN(TRIM(E2297))=0,"",VLOOKUP(E2297,Sheet2!$B$1:$E$19,2,FALSE))</f>
        <v>241</v>
      </c>
      <c r="L2297">
        <f>IF(LEN(TRIM(E2297))=0,"",VLOOKUP(E2297,Sheet2!$B$1:$E$19,3,FALSE))</f>
        <v>1133738</v>
      </c>
      <c r="M2297">
        <f>IF(LEN(TRIM(E2297))=0,"",VLOOKUP(E2297,Sheet2!$B$1:$E$19,4,FALSE))+(F2297-1)</f>
        <v>3885665</v>
      </c>
    </row>
    <row r="2298" spans="1:17" s="1" customFormat="1" ht="15" customHeight="1" x14ac:dyDescent="0.25">
      <c r="A2298" s="28" t="s">
        <v>163</v>
      </c>
      <c r="B2298" s="28" t="s">
        <v>974</v>
      </c>
      <c r="C2298" s="6" t="s">
        <v>1702</v>
      </c>
      <c r="D2298" s="1" t="s">
        <v>454</v>
      </c>
      <c r="E2298" s="1">
        <v>2172</v>
      </c>
      <c r="F2298" s="28">
        <v>113</v>
      </c>
      <c r="G2298" s="9" t="s">
        <v>2769</v>
      </c>
      <c r="H2298" s="1">
        <v>117</v>
      </c>
      <c r="I2298" s="1">
        <v>116</v>
      </c>
      <c r="J2298" t="str">
        <f t="shared" si="35"/>
        <v>http://www.badatelna.eu/reprodukce/?fondId=1073&amp;zaznamId=1108958&amp;reproId=3779854</v>
      </c>
      <c r="K2298">
        <f>IF(LEN(TRIM(E2298))=0,"",VLOOKUP(E2298,Sheet2!$B$1:$E$19,2,FALSE))</f>
        <v>1073</v>
      </c>
      <c r="L2298">
        <f>IF(LEN(TRIM(E2298))=0,"",VLOOKUP(E2298,Sheet2!$B$1:$E$19,3,FALSE))</f>
        <v>1108958</v>
      </c>
      <c r="M2298">
        <f>IF(LEN(TRIM(E2298))=0,"",VLOOKUP(E2298,Sheet2!$B$1:$E$19,4,FALSE))+(F2298-1)</f>
        <v>3779854</v>
      </c>
      <c r="N2298"/>
      <c r="O2298"/>
      <c r="P2298"/>
      <c r="Q2298"/>
    </row>
    <row r="2299" spans="1:17" s="1" customFormat="1" ht="15" customHeight="1" x14ac:dyDescent="0.25">
      <c r="A2299" s="28" t="s">
        <v>163</v>
      </c>
      <c r="B2299" s="28" t="s">
        <v>205</v>
      </c>
      <c r="C2299" s="6" t="s">
        <v>1873</v>
      </c>
      <c r="D2299" s="1" t="s">
        <v>454</v>
      </c>
      <c r="E2299" s="1">
        <v>2172</v>
      </c>
      <c r="F2299" s="28">
        <v>190</v>
      </c>
      <c r="G2299" s="9">
        <v>180</v>
      </c>
      <c r="H2299" s="1" t="s">
        <v>3073</v>
      </c>
      <c r="I2299" s="1" t="s">
        <v>3073</v>
      </c>
      <c r="J2299" t="str">
        <f t="shared" si="35"/>
        <v>http://www.badatelna.eu/reprodukce/?fondId=1073&amp;zaznamId=1108958&amp;reproId=3779931</v>
      </c>
      <c r="K2299">
        <f>IF(LEN(TRIM(E2299))=0,"",VLOOKUP(E2299,Sheet2!$B$1:$E$19,2,FALSE))</f>
        <v>1073</v>
      </c>
      <c r="L2299">
        <f>IF(LEN(TRIM(E2299))=0,"",VLOOKUP(E2299,Sheet2!$B$1:$E$19,3,FALSE))</f>
        <v>1108958</v>
      </c>
      <c r="M2299">
        <f>IF(LEN(TRIM(E2299))=0,"",VLOOKUP(E2299,Sheet2!$B$1:$E$19,4,FALSE))+(F2299-1)</f>
        <v>3779931</v>
      </c>
    </row>
    <row r="2300" spans="1:17" s="1" customFormat="1" ht="15" customHeight="1" x14ac:dyDescent="0.25">
      <c r="A2300" s="28" t="s">
        <v>163</v>
      </c>
      <c r="B2300" s="28" t="s">
        <v>19</v>
      </c>
      <c r="C2300" s="6" t="s">
        <v>2864</v>
      </c>
      <c r="D2300" s="1" t="s">
        <v>454</v>
      </c>
      <c r="E2300" s="1">
        <v>2173</v>
      </c>
      <c r="F2300" s="28">
        <v>210</v>
      </c>
      <c r="G2300" s="9" t="s">
        <v>2863</v>
      </c>
      <c r="H2300" s="1" t="s">
        <v>3073</v>
      </c>
      <c r="I2300" s="1" t="s">
        <v>3073</v>
      </c>
      <c r="J2300" t="str">
        <f t="shared" si="35"/>
        <v>http://www.badatelna.eu/reprodukce/?fondId=1073&amp;zaznamId=1108959&amp;reproId=3780203</v>
      </c>
      <c r="K2300">
        <f>IF(LEN(TRIM(E2300))=0,"",VLOOKUP(E2300,Sheet2!$B$1:$E$19,2,FALSE))</f>
        <v>1073</v>
      </c>
      <c r="L2300">
        <f>IF(LEN(TRIM(E2300))=0,"",VLOOKUP(E2300,Sheet2!$B$1:$E$19,3,FALSE))</f>
        <v>1108959</v>
      </c>
      <c r="M2300">
        <f>IF(LEN(TRIM(E2300))=0,"",VLOOKUP(E2300,Sheet2!$B$1:$E$19,4,FALSE))+(F2300-1)</f>
        <v>3780203</v>
      </c>
    </row>
    <row r="2301" spans="1:17" s="1" customFormat="1" ht="15" customHeight="1" x14ac:dyDescent="0.25">
      <c r="A2301" s="28" t="s">
        <v>163</v>
      </c>
      <c r="B2301" s="28" t="s">
        <v>19</v>
      </c>
      <c r="C2301" s="6" t="s">
        <v>1976</v>
      </c>
      <c r="D2301" s="1" t="s">
        <v>454</v>
      </c>
      <c r="E2301" s="1">
        <v>2173</v>
      </c>
      <c r="F2301" s="28">
        <v>228</v>
      </c>
      <c r="G2301" s="9">
        <v>61</v>
      </c>
      <c r="H2301" s="1" t="s">
        <v>3073</v>
      </c>
      <c r="I2301" s="1" t="s">
        <v>3073</v>
      </c>
      <c r="J2301" t="str">
        <f t="shared" si="35"/>
        <v>http://www.badatelna.eu/reprodukce/?fondId=1073&amp;zaznamId=1108959&amp;reproId=3780221</v>
      </c>
      <c r="K2301">
        <f>IF(LEN(TRIM(E2301))=0,"",VLOOKUP(E2301,Sheet2!$B$1:$E$19,2,FALSE))</f>
        <v>1073</v>
      </c>
      <c r="L2301">
        <f>IF(LEN(TRIM(E2301))=0,"",VLOOKUP(E2301,Sheet2!$B$1:$E$19,3,FALSE))</f>
        <v>1108959</v>
      </c>
      <c r="M2301">
        <f>IF(LEN(TRIM(E2301))=0,"",VLOOKUP(E2301,Sheet2!$B$1:$E$19,4,FALSE))+(F2301-1)</f>
        <v>3780221</v>
      </c>
      <c r="N2301"/>
      <c r="O2301"/>
      <c r="P2301"/>
      <c r="Q2301"/>
    </row>
    <row r="2302" spans="1:17" s="1" customFormat="1" ht="15" customHeight="1" x14ac:dyDescent="0.25">
      <c r="A2302" s="28" t="s">
        <v>163</v>
      </c>
      <c r="B2302" s="28" t="s">
        <v>25</v>
      </c>
      <c r="C2302" s="6" t="s">
        <v>1580</v>
      </c>
      <c r="D2302" s="1" t="s">
        <v>454</v>
      </c>
      <c r="E2302" s="1">
        <v>2172</v>
      </c>
      <c r="F2302" s="28">
        <v>20</v>
      </c>
      <c r="G2302" s="9">
        <v>19</v>
      </c>
      <c r="H2302" s="1">
        <v>25</v>
      </c>
      <c r="I2302" s="1">
        <v>24</v>
      </c>
      <c r="J2302" t="str">
        <f t="shared" si="35"/>
        <v>http://www.badatelna.eu/reprodukce/?fondId=1073&amp;zaznamId=1108958&amp;reproId=3779761</v>
      </c>
      <c r="K2302">
        <f>IF(LEN(TRIM(E2302))=0,"",VLOOKUP(E2302,Sheet2!$B$1:$E$19,2,FALSE))</f>
        <v>1073</v>
      </c>
      <c r="L2302">
        <f>IF(LEN(TRIM(E2302))=0,"",VLOOKUP(E2302,Sheet2!$B$1:$E$19,3,FALSE))</f>
        <v>1108958</v>
      </c>
      <c r="M2302">
        <f>IF(LEN(TRIM(E2302))=0,"",VLOOKUP(E2302,Sheet2!$B$1:$E$19,4,FALSE))+(F2302-1)</f>
        <v>3779761</v>
      </c>
    </row>
    <row r="2303" spans="1:17" s="1" customFormat="1" ht="15" customHeight="1" x14ac:dyDescent="0.25">
      <c r="A2303" s="28" t="s">
        <v>163</v>
      </c>
      <c r="B2303" s="28" t="s">
        <v>10</v>
      </c>
      <c r="C2303" s="6" t="s">
        <v>1626</v>
      </c>
      <c r="D2303" s="1" t="s">
        <v>454</v>
      </c>
      <c r="E2303" s="1">
        <v>2172</v>
      </c>
      <c r="F2303" s="28">
        <v>88</v>
      </c>
      <c r="G2303" s="9">
        <v>87</v>
      </c>
      <c r="H2303" s="1">
        <v>90</v>
      </c>
      <c r="I2303" s="1">
        <v>89</v>
      </c>
      <c r="J2303" t="str">
        <f t="shared" si="35"/>
        <v>http://www.badatelna.eu/reprodukce/?fondId=1073&amp;zaznamId=1108958&amp;reproId=3779829</v>
      </c>
      <c r="K2303">
        <f>IF(LEN(TRIM(E2303))=0,"",VLOOKUP(E2303,Sheet2!$B$1:$E$19,2,FALSE))</f>
        <v>1073</v>
      </c>
      <c r="L2303">
        <f>IF(LEN(TRIM(E2303))=0,"",VLOOKUP(E2303,Sheet2!$B$1:$E$19,3,FALSE))</f>
        <v>1108958</v>
      </c>
      <c r="M2303">
        <f>IF(LEN(TRIM(E2303))=0,"",VLOOKUP(E2303,Sheet2!$B$1:$E$19,4,FALSE))+(F2303-1)</f>
        <v>3779829</v>
      </c>
      <c r="N2303"/>
      <c r="O2303"/>
      <c r="P2303"/>
      <c r="Q2303"/>
    </row>
    <row r="2304" spans="1:17" s="1" customFormat="1" ht="15" customHeight="1" x14ac:dyDescent="0.25">
      <c r="A2304" s="28" t="s">
        <v>163</v>
      </c>
      <c r="B2304" s="29" t="s">
        <v>631</v>
      </c>
      <c r="C2304" s="1">
        <v>1850</v>
      </c>
      <c r="D2304" s="1" t="s">
        <v>2919</v>
      </c>
      <c r="E2304" s="1">
        <v>998</v>
      </c>
      <c r="F2304" s="28">
        <v>29</v>
      </c>
      <c r="G2304" s="1">
        <v>27</v>
      </c>
      <c r="H2304" s="1">
        <v>78</v>
      </c>
      <c r="I2304" s="1">
        <v>76</v>
      </c>
      <c r="J2304" t="str">
        <f t="shared" si="35"/>
        <v>http://www.badatelna.eu/reprodukce/?fondId=241&amp;zaznamId=1133738&amp;reproId=3885675</v>
      </c>
      <c r="K2304">
        <f>IF(LEN(TRIM(E2304))=0,"",VLOOKUP(E2304,Sheet2!$B$1:$E$19,2,FALSE))</f>
        <v>241</v>
      </c>
      <c r="L2304">
        <f>IF(LEN(TRIM(E2304))=0,"",VLOOKUP(E2304,Sheet2!$B$1:$E$19,3,FALSE))</f>
        <v>1133738</v>
      </c>
      <c r="M2304">
        <f>IF(LEN(TRIM(E2304))=0,"",VLOOKUP(E2304,Sheet2!$B$1:$E$19,4,FALSE))+(F2304-1)</f>
        <v>3885675</v>
      </c>
      <c r="N2304"/>
      <c r="O2304"/>
      <c r="P2304"/>
      <c r="Q2304"/>
    </row>
    <row r="2305" spans="1:17" s="1" customFormat="1" ht="15" customHeight="1" x14ac:dyDescent="0.25">
      <c r="A2305" s="28" t="s">
        <v>163</v>
      </c>
      <c r="B2305" s="28" t="s">
        <v>198</v>
      </c>
      <c r="C2305" s="1">
        <v>1862</v>
      </c>
      <c r="D2305" s="1" t="s">
        <v>2919</v>
      </c>
      <c r="E2305" s="1">
        <v>999</v>
      </c>
      <c r="F2305" s="28">
        <v>81</v>
      </c>
      <c r="G2305" s="1">
        <v>2</v>
      </c>
      <c r="H2305" s="1">
        <v>108</v>
      </c>
      <c r="I2305" s="1">
        <v>168</v>
      </c>
      <c r="J2305" t="str">
        <f t="shared" si="35"/>
        <v>http://www.badatelna.eu/reprodukce/?fondId=241&amp;zaznamId=1133739&amp;reproId=3885810</v>
      </c>
      <c r="K2305">
        <f>IF(LEN(TRIM(E2305))=0,"",VLOOKUP(E2305,Sheet2!$B$1:$E$19,2,FALSE))</f>
        <v>241</v>
      </c>
      <c r="L2305">
        <f>IF(LEN(TRIM(E2305))=0,"",VLOOKUP(E2305,Sheet2!$B$1:$E$19,3,FALSE))</f>
        <v>1133739</v>
      </c>
      <c r="M2305">
        <f>IF(LEN(TRIM(E2305))=0,"",VLOOKUP(E2305,Sheet2!$B$1:$E$19,4,FALSE))+(F2305-1)</f>
        <v>3885810</v>
      </c>
    </row>
    <row r="2306" spans="1:17" s="1" customFormat="1" ht="15" customHeight="1" x14ac:dyDescent="0.25">
      <c r="A2306" s="28" t="s">
        <v>163</v>
      </c>
      <c r="B2306" s="28" t="s">
        <v>512</v>
      </c>
      <c r="C2306" s="1">
        <v>1854</v>
      </c>
      <c r="D2306" s="1" t="s">
        <v>2919</v>
      </c>
      <c r="E2306" s="1">
        <v>998</v>
      </c>
      <c r="F2306" s="28">
        <v>41</v>
      </c>
      <c r="G2306" s="1">
        <v>39</v>
      </c>
      <c r="H2306" s="1">
        <v>78</v>
      </c>
      <c r="I2306" s="1">
        <v>76</v>
      </c>
      <c r="J2306" t="str">
        <f t="shared" si="35"/>
        <v>http://www.badatelna.eu/reprodukce/?fondId=241&amp;zaznamId=1133738&amp;reproId=3885687</v>
      </c>
      <c r="K2306">
        <f>IF(LEN(TRIM(E2306))=0,"",VLOOKUP(E2306,Sheet2!$B$1:$E$19,2,FALSE))</f>
        <v>241</v>
      </c>
      <c r="L2306">
        <f>IF(LEN(TRIM(E2306))=0,"",VLOOKUP(E2306,Sheet2!$B$1:$E$19,3,FALSE))</f>
        <v>1133738</v>
      </c>
      <c r="M2306">
        <f>IF(LEN(TRIM(E2306))=0,"",VLOOKUP(E2306,Sheet2!$B$1:$E$19,4,FALSE))+(F2306-1)</f>
        <v>3885687</v>
      </c>
      <c r="N2306"/>
      <c r="O2306"/>
      <c r="P2306"/>
      <c r="Q2306"/>
    </row>
    <row r="2307" spans="1:17" s="1" customFormat="1" ht="15" customHeight="1" x14ac:dyDescent="0.25">
      <c r="A2307" s="27" t="s">
        <v>163</v>
      </c>
      <c r="B2307" s="27" t="s">
        <v>16</v>
      </c>
      <c r="C2307" s="5" t="s">
        <v>1369</v>
      </c>
      <c r="D2307" s="3" t="s">
        <v>454</v>
      </c>
      <c r="E2307" s="3">
        <v>2170</v>
      </c>
      <c r="F2307" s="28">
        <v>5</v>
      </c>
      <c r="G2307" s="10">
        <v>1</v>
      </c>
      <c r="H2307" s="3">
        <v>70</v>
      </c>
      <c r="I2307" s="3">
        <v>66</v>
      </c>
      <c r="J2307" t="str">
        <f t="shared" ref="J2307:J2370" si="36">IF(LEN(TRIM(E2307))=0,"","http://www.badatelna.eu/reprodukce/?fondId="&amp;K2307&amp;"&amp;zaznamId="&amp;L2307&amp;"&amp;reproId="&amp;M2307)</f>
        <v>http://www.badatelna.eu/reprodukce/?fondId=1073&amp;zaznamId=1108956&amp;reproId=3779597</v>
      </c>
      <c r="K2307">
        <f>IF(LEN(TRIM(E2307))=0,"",VLOOKUP(E2307,Sheet2!$B$1:$E$19,2,FALSE))</f>
        <v>1073</v>
      </c>
      <c r="L2307">
        <f>IF(LEN(TRIM(E2307))=0,"",VLOOKUP(E2307,Sheet2!$B$1:$E$19,3,FALSE))</f>
        <v>1108956</v>
      </c>
      <c r="M2307">
        <f>IF(LEN(TRIM(E2307))=0,"",VLOOKUP(E2307,Sheet2!$B$1:$E$19,4,FALSE))+(F2307-1)</f>
        <v>3779597</v>
      </c>
    </row>
    <row r="2308" spans="1:17" s="1" customFormat="1" ht="15" customHeight="1" x14ac:dyDescent="0.25">
      <c r="A2308" s="28" t="s">
        <v>163</v>
      </c>
      <c r="B2308" s="28" t="s">
        <v>16</v>
      </c>
      <c r="C2308" s="6" t="s">
        <v>2664</v>
      </c>
      <c r="D2308" s="1" t="s">
        <v>454</v>
      </c>
      <c r="E2308" s="1">
        <v>2173</v>
      </c>
      <c r="F2308" s="28">
        <v>222</v>
      </c>
      <c r="G2308" s="9">
        <v>49</v>
      </c>
      <c r="H2308" s="1" t="s">
        <v>3073</v>
      </c>
      <c r="I2308" s="1" t="s">
        <v>3073</v>
      </c>
      <c r="J2308" t="str">
        <f t="shared" si="36"/>
        <v>http://www.badatelna.eu/reprodukce/?fondId=1073&amp;zaznamId=1108959&amp;reproId=3780215</v>
      </c>
      <c r="K2308">
        <f>IF(LEN(TRIM(E2308))=0,"",VLOOKUP(E2308,Sheet2!$B$1:$E$19,2,FALSE))</f>
        <v>1073</v>
      </c>
      <c r="L2308">
        <f>IF(LEN(TRIM(E2308))=0,"",VLOOKUP(E2308,Sheet2!$B$1:$E$19,3,FALSE))</f>
        <v>1108959</v>
      </c>
      <c r="M2308">
        <f>IF(LEN(TRIM(E2308))=0,"",VLOOKUP(E2308,Sheet2!$B$1:$E$19,4,FALSE))+(F2308-1)</f>
        <v>3780215</v>
      </c>
    </row>
    <row r="2309" spans="1:17" s="1" customFormat="1" ht="15" customHeight="1" x14ac:dyDescent="0.25">
      <c r="A2309" s="28" t="s">
        <v>163</v>
      </c>
      <c r="B2309" s="28" t="s">
        <v>16</v>
      </c>
      <c r="C2309" s="6" t="s">
        <v>2463</v>
      </c>
      <c r="D2309" s="1" t="s">
        <v>454</v>
      </c>
      <c r="E2309" s="1">
        <v>2173</v>
      </c>
      <c r="F2309" s="28">
        <v>204</v>
      </c>
      <c r="G2309" s="1">
        <v>18</v>
      </c>
      <c r="H2309" s="1" t="s">
        <v>3073</v>
      </c>
      <c r="I2309" s="1" t="s">
        <v>3073</v>
      </c>
      <c r="J2309" t="str">
        <f t="shared" si="36"/>
        <v>http://www.badatelna.eu/reprodukce/?fondId=1073&amp;zaznamId=1108959&amp;reproId=3780197</v>
      </c>
      <c r="K2309">
        <f>IF(LEN(TRIM(E2309))=0,"",VLOOKUP(E2309,Sheet2!$B$1:$E$19,2,FALSE))</f>
        <v>1073</v>
      </c>
      <c r="L2309">
        <f>IF(LEN(TRIM(E2309))=0,"",VLOOKUP(E2309,Sheet2!$B$1:$E$19,3,FALSE))</f>
        <v>1108959</v>
      </c>
      <c r="M2309">
        <f>IF(LEN(TRIM(E2309))=0,"",VLOOKUP(E2309,Sheet2!$B$1:$E$19,4,FALSE))+(F2309-1)</f>
        <v>3780197</v>
      </c>
    </row>
    <row r="2310" spans="1:17" s="1" customFormat="1" ht="15" customHeight="1" x14ac:dyDescent="0.25">
      <c r="A2310" s="28" t="s">
        <v>163</v>
      </c>
      <c r="B2310" s="28" t="s">
        <v>1019</v>
      </c>
      <c r="C2310" s="6" t="s">
        <v>1788</v>
      </c>
      <c r="D2310" s="1" t="s">
        <v>454</v>
      </c>
      <c r="E2310" s="1">
        <v>2172</v>
      </c>
      <c r="F2310" s="28">
        <v>153</v>
      </c>
      <c r="G2310" s="9">
        <v>148</v>
      </c>
      <c r="H2310" s="1">
        <v>154</v>
      </c>
      <c r="I2310" s="1">
        <v>149</v>
      </c>
      <c r="J2310" t="str">
        <f t="shared" si="36"/>
        <v>http://www.badatelna.eu/reprodukce/?fondId=1073&amp;zaznamId=1108958&amp;reproId=3779894</v>
      </c>
      <c r="K2310">
        <f>IF(LEN(TRIM(E2310))=0,"",VLOOKUP(E2310,Sheet2!$B$1:$E$19,2,FALSE))</f>
        <v>1073</v>
      </c>
      <c r="L2310">
        <f>IF(LEN(TRIM(E2310))=0,"",VLOOKUP(E2310,Sheet2!$B$1:$E$19,3,FALSE))</f>
        <v>1108958</v>
      </c>
      <c r="M2310">
        <f>IF(LEN(TRIM(E2310))=0,"",VLOOKUP(E2310,Sheet2!$B$1:$E$19,4,FALSE))+(F2310-1)</f>
        <v>3779894</v>
      </c>
    </row>
    <row r="2311" spans="1:17" s="1" customFormat="1" ht="15" customHeight="1" x14ac:dyDescent="0.25">
      <c r="A2311" s="28" t="s">
        <v>163</v>
      </c>
      <c r="B2311" s="28" t="s">
        <v>3002</v>
      </c>
      <c r="C2311" s="1">
        <v>1848</v>
      </c>
      <c r="D2311" s="1" t="s">
        <v>2919</v>
      </c>
      <c r="E2311" s="1">
        <v>998</v>
      </c>
      <c r="F2311" s="28">
        <v>11</v>
      </c>
      <c r="G2311" s="1">
        <v>9</v>
      </c>
      <c r="H2311" s="1">
        <v>78</v>
      </c>
      <c r="I2311" s="1">
        <v>76</v>
      </c>
      <c r="J2311" t="str">
        <f t="shared" si="36"/>
        <v>http://www.badatelna.eu/reprodukce/?fondId=241&amp;zaznamId=1133738&amp;reproId=3885657</v>
      </c>
      <c r="K2311">
        <f>IF(LEN(TRIM(E2311))=0,"",VLOOKUP(E2311,Sheet2!$B$1:$E$19,2,FALSE))</f>
        <v>241</v>
      </c>
      <c r="L2311">
        <f>IF(LEN(TRIM(E2311))=0,"",VLOOKUP(E2311,Sheet2!$B$1:$E$19,3,FALSE))</f>
        <v>1133738</v>
      </c>
      <c r="M2311">
        <f>IF(LEN(TRIM(E2311))=0,"",VLOOKUP(E2311,Sheet2!$B$1:$E$19,4,FALSE))+(F2311-1)</f>
        <v>3885657</v>
      </c>
    </row>
    <row r="2312" spans="1:17" s="1" customFormat="1" ht="15" customHeight="1" x14ac:dyDescent="0.25">
      <c r="A2312" s="27" t="s">
        <v>163</v>
      </c>
      <c r="B2312" s="27" t="s">
        <v>314</v>
      </c>
      <c r="C2312" s="5" t="s">
        <v>1415</v>
      </c>
      <c r="D2312" s="3" t="s">
        <v>454</v>
      </c>
      <c r="E2312" s="3">
        <v>2170</v>
      </c>
      <c r="F2312" s="28">
        <v>45</v>
      </c>
      <c r="G2312" s="10">
        <v>41</v>
      </c>
      <c r="H2312" s="3">
        <v>71</v>
      </c>
      <c r="I2312" s="3">
        <v>67</v>
      </c>
      <c r="J2312" t="str">
        <f t="shared" si="36"/>
        <v>http://www.badatelna.eu/reprodukce/?fondId=1073&amp;zaznamId=1108956&amp;reproId=3779637</v>
      </c>
      <c r="K2312">
        <f>IF(LEN(TRIM(E2312))=0,"",VLOOKUP(E2312,Sheet2!$B$1:$E$19,2,FALSE))</f>
        <v>1073</v>
      </c>
      <c r="L2312">
        <f>IF(LEN(TRIM(E2312))=0,"",VLOOKUP(E2312,Sheet2!$B$1:$E$19,3,FALSE))</f>
        <v>1108956</v>
      </c>
      <c r="M2312">
        <f>IF(LEN(TRIM(E2312))=0,"",VLOOKUP(E2312,Sheet2!$B$1:$E$19,4,FALSE))+(F2312-1)</f>
        <v>3779637</v>
      </c>
    </row>
    <row r="2313" spans="1:17" s="1" customFormat="1" ht="15" customHeight="1" x14ac:dyDescent="0.25">
      <c r="A2313" s="27" t="s">
        <v>163</v>
      </c>
      <c r="B2313" s="27" t="s">
        <v>314</v>
      </c>
      <c r="C2313" s="5" t="s">
        <v>1419</v>
      </c>
      <c r="D2313" s="3" t="s">
        <v>454</v>
      </c>
      <c r="E2313" s="3">
        <v>2170</v>
      </c>
      <c r="F2313" s="31">
        <v>46</v>
      </c>
      <c r="G2313" s="10">
        <v>42</v>
      </c>
      <c r="H2313" s="3">
        <v>71</v>
      </c>
      <c r="I2313" s="3">
        <v>67</v>
      </c>
      <c r="J2313" t="str">
        <f t="shared" si="36"/>
        <v>http://www.badatelna.eu/reprodukce/?fondId=1073&amp;zaznamId=1108956&amp;reproId=3779638</v>
      </c>
      <c r="K2313">
        <f>IF(LEN(TRIM(E2313))=0,"",VLOOKUP(E2313,Sheet2!$B$1:$E$19,2,FALSE))</f>
        <v>1073</v>
      </c>
      <c r="L2313">
        <f>IF(LEN(TRIM(E2313))=0,"",VLOOKUP(E2313,Sheet2!$B$1:$E$19,3,FALSE))</f>
        <v>1108956</v>
      </c>
      <c r="M2313">
        <f>IF(LEN(TRIM(E2313))=0,"",VLOOKUP(E2313,Sheet2!$B$1:$E$19,4,FALSE))+(F2313-1)</f>
        <v>3779638</v>
      </c>
    </row>
    <row r="2314" spans="1:17" s="1" customFormat="1" ht="15" customHeight="1" x14ac:dyDescent="0.25">
      <c r="A2314" s="28" t="s">
        <v>163</v>
      </c>
      <c r="B2314" s="28" t="s">
        <v>39</v>
      </c>
      <c r="C2314" s="6" t="s">
        <v>2180</v>
      </c>
      <c r="D2314" s="1" t="s">
        <v>454</v>
      </c>
      <c r="E2314" s="1">
        <v>2173</v>
      </c>
      <c r="F2314" s="28">
        <v>177</v>
      </c>
      <c r="G2314" s="9">
        <v>1</v>
      </c>
      <c r="H2314" s="1">
        <v>192</v>
      </c>
      <c r="I2314" s="1">
        <v>427</v>
      </c>
      <c r="J2314" t="str">
        <f t="shared" si="36"/>
        <v>http://www.badatelna.eu/reprodukce/?fondId=1073&amp;zaznamId=1108959&amp;reproId=3780170</v>
      </c>
      <c r="K2314">
        <f>IF(LEN(TRIM(E2314))=0,"",VLOOKUP(E2314,Sheet2!$B$1:$E$19,2,FALSE))</f>
        <v>1073</v>
      </c>
      <c r="L2314">
        <f>IF(LEN(TRIM(E2314))=0,"",VLOOKUP(E2314,Sheet2!$B$1:$E$19,3,FALSE))</f>
        <v>1108959</v>
      </c>
      <c r="M2314">
        <f>IF(LEN(TRIM(E2314))=0,"",VLOOKUP(E2314,Sheet2!$B$1:$E$19,4,FALSE))+(F2314-1)</f>
        <v>3780170</v>
      </c>
    </row>
    <row r="2315" spans="1:17" s="1" customFormat="1" ht="15" customHeight="1" x14ac:dyDescent="0.25">
      <c r="A2315" s="28" t="s">
        <v>163</v>
      </c>
      <c r="B2315" s="28" t="s">
        <v>22</v>
      </c>
      <c r="C2315" s="1">
        <v>1855</v>
      </c>
      <c r="D2315" s="1" t="s">
        <v>2919</v>
      </c>
      <c r="E2315" s="1">
        <v>998</v>
      </c>
      <c r="F2315" s="28">
        <v>45</v>
      </c>
      <c r="G2315" s="1">
        <v>43</v>
      </c>
      <c r="H2315" s="1">
        <v>79</v>
      </c>
      <c r="I2315" s="1">
        <v>77</v>
      </c>
      <c r="J2315" t="str">
        <f t="shared" si="36"/>
        <v>http://www.badatelna.eu/reprodukce/?fondId=241&amp;zaznamId=1133738&amp;reproId=3885691</v>
      </c>
      <c r="K2315">
        <f>IF(LEN(TRIM(E2315))=0,"",VLOOKUP(E2315,Sheet2!$B$1:$E$19,2,FALSE))</f>
        <v>241</v>
      </c>
      <c r="L2315">
        <f>IF(LEN(TRIM(E2315))=0,"",VLOOKUP(E2315,Sheet2!$B$1:$E$19,3,FALSE))</f>
        <v>1133738</v>
      </c>
      <c r="M2315">
        <f>IF(LEN(TRIM(E2315))=0,"",VLOOKUP(E2315,Sheet2!$B$1:$E$19,4,FALSE))+(F2315-1)</f>
        <v>3885691</v>
      </c>
    </row>
    <row r="2316" spans="1:17" s="1" customFormat="1" ht="15" customHeight="1" x14ac:dyDescent="0.25">
      <c r="A2316" s="27" t="s">
        <v>163</v>
      </c>
      <c r="B2316" s="27" t="s">
        <v>483</v>
      </c>
      <c r="C2316" s="5" t="s">
        <v>1372</v>
      </c>
      <c r="D2316" s="3" t="s">
        <v>454</v>
      </c>
      <c r="E2316" s="3">
        <v>2170</v>
      </c>
      <c r="F2316" s="28">
        <v>27</v>
      </c>
      <c r="G2316" s="10">
        <v>23</v>
      </c>
      <c r="H2316" s="3">
        <v>70</v>
      </c>
      <c r="I2316" s="3">
        <v>66</v>
      </c>
      <c r="J2316" t="str">
        <f t="shared" si="36"/>
        <v>http://www.badatelna.eu/reprodukce/?fondId=1073&amp;zaznamId=1108956&amp;reproId=3779619</v>
      </c>
      <c r="K2316">
        <f>IF(LEN(TRIM(E2316))=0,"",VLOOKUP(E2316,Sheet2!$B$1:$E$19,2,FALSE))</f>
        <v>1073</v>
      </c>
      <c r="L2316">
        <f>IF(LEN(TRIM(E2316))=0,"",VLOOKUP(E2316,Sheet2!$B$1:$E$19,3,FALSE))</f>
        <v>1108956</v>
      </c>
      <c r="M2316">
        <f>IF(LEN(TRIM(E2316))=0,"",VLOOKUP(E2316,Sheet2!$B$1:$E$19,4,FALSE))+(F2316-1)</f>
        <v>3779619</v>
      </c>
    </row>
    <row r="2317" spans="1:17" s="1" customFormat="1" ht="15" customHeight="1" x14ac:dyDescent="0.25">
      <c r="A2317" s="28" t="s">
        <v>163</v>
      </c>
      <c r="B2317" s="28" t="s">
        <v>48</v>
      </c>
      <c r="C2317" s="6" t="s">
        <v>2848</v>
      </c>
      <c r="D2317" s="1" t="s">
        <v>454</v>
      </c>
      <c r="E2317" s="1">
        <v>2173</v>
      </c>
      <c r="F2317" s="28">
        <v>209</v>
      </c>
      <c r="G2317" s="9" t="s">
        <v>2758</v>
      </c>
      <c r="H2317" s="1" t="s">
        <v>3073</v>
      </c>
      <c r="I2317" s="1" t="s">
        <v>3073</v>
      </c>
      <c r="J2317" t="str">
        <f t="shared" si="36"/>
        <v>http://www.badatelna.eu/reprodukce/?fondId=1073&amp;zaznamId=1108959&amp;reproId=3780202</v>
      </c>
      <c r="K2317">
        <f>IF(LEN(TRIM(E2317))=0,"",VLOOKUP(E2317,Sheet2!$B$1:$E$19,2,FALSE))</f>
        <v>1073</v>
      </c>
      <c r="L2317">
        <f>IF(LEN(TRIM(E2317))=0,"",VLOOKUP(E2317,Sheet2!$B$1:$E$19,3,FALSE))</f>
        <v>1108959</v>
      </c>
      <c r="M2317">
        <f>IF(LEN(TRIM(E2317))=0,"",VLOOKUP(E2317,Sheet2!$B$1:$E$19,4,FALSE))+(F2317-1)</f>
        <v>3780202</v>
      </c>
    </row>
    <row r="2318" spans="1:17" s="1" customFormat="1" ht="15" customHeight="1" x14ac:dyDescent="0.25">
      <c r="A2318" s="28" t="s">
        <v>163</v>
      </c>
      <c r="B2318" s="28" t="s">
        <v>328</v>
      </c>
      <c r="C2318" s="1">
        <v>1855</v>
      </c>
      <c r="D2318" s="1" t="s">
        <v>2919</v>
      </c>
      <c r="E2318" s="1">
        <v>998</v>
      </c>
      <c r="F2318" s="28">
        <v>48</v>
      </c>
      <c r="G2318" s="1">
        <v>46</v>
      </c>
      <c r="H2318" s="1">
        <v>79</v>
      </c>
      <c r="I2318" s="1">
        <v>77</v>
      </c>
      <c r="J2318" t="str">
        <f t="shared" si="36"/>
        <v>http://www.badatelna.eu/reprodukce/?fondId=241&amp;zaznamId=1133738&amp;reproId=3885694</v>
      </c>
      <c r="K2318">
        <f>IF(LEN(TRIM(E2318))=0,"",VLOOKUP(E2318,Sheet2!$B$1:$E$19,2,FALSE))</f>
        <v>241</v>
      </c>
      <c r="L2318">
        <f>IF(LEN(TRIM(E2318))=0,"",VLOOKUP(E2318,Sheet2!$B$1:$E$19,3,FALSE))</f>
        <v>1133738</v>
      </c>
      <c r="M2318">
        <f>IF(LEN(TRIM(E2318))=0,"",VLOOKUP(E2318,Sheet2!$B$1:$E$19,4,FALSE))+(F2318-1)</f>
        <v>3885694</v>
      </c>
    </row>
    <row r="2319" spans="1:17" s="1" customFormat="1" ht="15" customHeight="1" x14ac:dyDescent="0.25">
      <c r="A2319" s="27" t="s">
        <v>163</v>
      </c>
      <c r="B2319" s="27" t="s">
        <v>259</v>
      </c>
      <c r="C2319" s="5" t="s">
        <v>1371</v>
      </c>
      <c r="D2319" s="3" t="s">
        <v>454</v>
      </c>
      <c r="E2319" s="3">
        <v>2170</v>
      </c>
      <c r="F2319" s="28">
        <v>30</v>
      </c>
      <c r="G2319" s="10">
        <v>26</v>
      </c>
      <c r="H2319" s="3">
        <v>70</v>
      </c>
      <c r="I2319" s="3">
        <v>66</v>
      </c>
      <c r="J2319" t="str">
        <f t="shared" si="36"/>
        <v>http://www.badatelna.eu/reprodukce/?fondId=1073&amp;zaznamId=1108956&amp;reproId=3779622</v>
      </c>
      <c r="K2319">
        <f>IF(LEN(TRIM(E2319))=0,"",VLOOKUP(E2319,Sheet2!$B$1:$E$19,2,FALSE))</f>
        <v>1073</v>
      </c>
      <c r="L2319">
        <f>IF(LEN(TRIM(E2319))=0,"",VLOOKUP(E2319,Sheet2!$B$1:$E$19,3,FALSE))</f>
        <v>1108956</v>
      </c>
      <c r="M2319">
        <f>IF(LEN(TRIM(E2319))=0,"",VLOOKUP(E2319,Sheet2!$B$1:$E$19,4,FALSE))+(F2319-1)</f>
        <v>3779622</v>
      </c>
    </row>
    <row r="2320" spans="1:17" s="1" customFormat="1" ht="15" customHeight="1" x14ac:dyDescent="0.25">
      <c r="A2320" s="28" t="s">
        <v>163</v>
      </c>
      <c r="B2320" s="28" t="s">
        <v>597</v>
      </c>
      <c r="C2320" s="1">
        <v>1854</v>
      </c>
      <c r="D2320" s="1" t="s">
        <v>2919</v>
      </c>
      <c r="E2320" s="1">
        <v>998</v>
      </c>
      <c r="F2320" s="28">
        <v>39</v>
      </c>
      <c r="G2320" s="1">
        <v>37</v>
      </c>
      <c r="H2320" s="1">
        <v>78</v>
      </c>
      <c r="I2320" s="1">
        <v>76</v>
      </c>
      <c r="J2320" t="str">
        <f t="shared" si="36"/>
        <v>http://www.badatelna.eu/reprodukce/?fondId=241&amp;zaznamId=1133738&amp;reproId=3885685</v>
      </c>
      <c r="K2320">
        <f>IF(LEN(TRIM(E2320))=0,"",VLOOKUP(E2320,Sheet2!$B$1:$E$19,2,FALSE))</f>
        <v>241</v>
      </c>
      <c r="L2320">
        <f>IF(LEN(TRIM(E2320))=0,"",VLOOKUP(E2320,Sheet2!$B$1:$E$19,3,FALSE))</f>
        <v>1133738</v>
      </c>
      <c r="M2320">
        <f>IF(LEN(TRIM(E2320))=0,"",VLOOKUP(E2320,Sheet2!$B$1:$E$19,4,FALSE))+(F2320-1)</f>
        <v>3885685</v>
      </c>
    </row>
    <row r="2321" spans="1:13" s="1" customFormat="1" ht="15" customHeight="1" x14ac:dyDescent="0.25">
      <c r="A2321" s="27" t="s">
        <v>163</v>
      </c>
      <c r="B2321" s="27" t="s">
        <v>306</v>
      </c>
      <c r="C2321" s="5" t="s">
        <v>1374</v>
      </c>
      <c r="D2321" s="3" t="s">
        <v>454</v>
      </c>
      <c r="E2321" s="3">
        <v>2170</v>
      </c>
      <c r="F2321" s="37">
        <v>21</v>
      </c>
      <c r="G2321" s="10">
        <v>17</v>
      </c>
      <c r="H2321" s="3">
        <v>70</v>
      </c>
      <c r="I2321" s="3">
        <v>66</v>
      </c>
      <c r="J2321" t="str">
        <f t="shared" si="36"/>
        <v>http://www.badatelna.eu/reprodukce/?fondId=1073&amp;zaznamId=1108956&amp;reproId=3779613</v>
      </c>
      <c r="K2321">
        <f>IF(LEN(TRIM(E2321))=0,"",VLOOKUP(E2321,Sheet2!$B$1:$E$19,2,FALSE))</f>
        <v>1073</v>
      </c>
      <c r="L2321">
        <f>IF(LEN(TRIM(E2321))=0,"",VLOOKUP(E2321,Sheet2!$B$1:$E$19,3,FALSE))</f>
        <v>1108956</v>
      </c>
      <c r="M2321">
        <f>IF(LEN(TRIM(E2321))=0,"",VLOOKUP(E2321,Sheet2!$B$1:$E$19,4,FALSE))+(F2321-1)</f>
        <v>3779613</v>
      </c>
    </row>
    <row r="2322" spans="1:13" s="1" customFormat="1" ht="15" customHeight="1" x14ac:dyDescent="0.25">
      <c r="A2322" s="28" t="s">
        <v>163</v>
      </c>
      <c r="B2322" s="28" t="s">
        <v>601</v>
      </c>
      <c r="C2322" s="1">
        <v>1866</v>
      </c>
      <c r="D2322" s="1" t="s">
        <v>2919</v>
      </c>
      <c r="E2322" s="1">
        <v>999</v>
      </c>
      <c r="F2322" s="28">
        <v>93</v>
      </c>
      <c r="G2322" s="1">
        <v>14</v>
      </c>
      <c r="H2322" s="1">
        <v>108</v>
      </c>
      <c r="I2322" s="1">
        <v>168</v>
      </c>
      <c r="J2322" t="str">
        <f t="shared" si="36"/>
        <v>http://www.badatelna.eu/reprodukce/?fondId=241&amp;zaznamId=1133739&amp;reproId=3885822</v>
      </c>
      <c r="K2322">
        <f>IF(LEN(TRIM(E2322))=0,"",VLOOKUP(E2322,Sheet2!$B$1:$E$19,2,FALSE))</f>
        <v>241</v>
      </c>
      <c r="L2322">
        <f>IF(LEN(TRIM(E2322))=0,"",VLOOKUP(E2322,Sheet2!$B$1:$E$19,3,FALSE))</f>
        <v>1133739</v>
      </c>
      <c r="M2322">
        <f>IF(LEN(TRIM(E2322))=0,"",VLOOKUP(E2322,Sheet2!$B$1:$E$19,4,FALSE))+(F2322-1)</f>
        <v>3885822</v>
      </c>
    </row>
    <row r="2323" spans="1:13" s="1" customFormat="1" ht="15" customHeight="1" x14ac:dyDescent="0.25">
      <c r="A2323" s="28" t="s">
        <v>163</v>
      </c>
      <c r="B2323" s="28" t="s">
        <v>469</v>
      </c>
      <c r="C2323" s="1">
        <v>1849</v>
      </c>
      <c r="D2323" s="1" t="s">
        <v>2919</v>
      </c>
      <c r="E2323" s="1">
        <v>998</v>
      </c>
      <c r="F2323" s="28">
        <v>22</v>
      </c>
      <c r="G2323" s="1">
        <v>20</v>
      </c>
      <c r="H2323" s="1">
        <v>78</v>
      </c>
      <c r="I2323" s="1">
        <v>76</v>
      </c>
      <c r="J2323" t="str">
        <f t="shared" si="36"/>
        <v>http://www.badatelna.eu/reprodukce/?fondId=241&amp;zaznamId=1133738&amp;reproId=3885668</v>
      </c>
      <c r="K2323">
        <f>IF(LEN(TRIM(E2323))=0,"",VLOOKUP(E2323,Sheet2!$B$1:$E$19,2,FALSE))</f>
        <v>241</v>
      </c>
      <c r="L2323">
        <f>IF(LEN(TRIM(E2323))=0,"",VLOOKUP(E2323,Sheet2!$B$1:$E$19,3,FALSE))</f>
        <v>1133738</v>
      </c>
      <c r="M2323">
        <f>IF(LEN(TRIM(E2323))=0,"",VLOOKUP(E2323,Sheet2!$B$1:$E$19,4,FALSE))+(F2323-1)</f>
        <v>3885668</v>
      </c>
    </row>
    <row r="2324" spans="1:13" s="1" customFormat="1" ht="15" customHeight="1" x14ac:dyDescent="0.25">
      <c r="A2324" s="28" t="s">
        <v>163</v>
      </c>
      <c r="B2324" s="28" t="s">
        <v>469</v>
      </c>
      <c r="C2324" s="1">
        <v>1855</v>
      </c>
      <c r="D2324" s="1" t="s">
        <v>2919</v>
      </c>
      <c r="E2324" s="1">
        <v>998</v>
      </c>
      <c r="F2324" s="28">
        <v>45</v>
      </c>
      <c r="G2324" s="1">
        <v>43</v>
      </c>
      <c r="H2324" s="1">
        <v>79</v>
      </c>
      <c r="I2324" s="1">
        <v>77</v>
      </c>
      <c r="J2324" t="str">
        <f t="shared" si="36"/>
        <v>http://www.badatelna.eu/reprodukce/?fondId=241&amp;zaznamId=1133738&amp;reproId=3885691</v>
      </c>
      <c r="K2324">
        <f>IF(LEN(TRIM(E2324))=0,"",VLOOKUP(E2324,Sheet2!$B$1:$E$19,2,FALSE))</f>
        <v>241</v>
      </c>
      <c r="L2324">
        <f>IF(LEN(TRIM(E2324))=0,"",VLOOKUP(E2324,Sheet2!$B$1:$E$19,3,FALSE))</f>
        <v>1133738</v>
      </c>
      <c r="M2324">
        <f>IF(LEN(TRIM(E2324))=0,"",VLOOKUP(E2324,Sheet2!$B$1:$E$19,4,FALSE))+(F2324-1)</f>
        <v>3885691</v>
      </c>
    </row>
    <row r="2325" spans="1:13" s="1" customFormat="1" ht="15" customHeight="1" x14ac:dyDescent="0.25">
      <c r="A2325" s="28" t="s">
        <v>163</v>
      </c>
      <c r="B2325" s="28" t="s">
        <v>21</v>
      </c>
      <c r="C2325" s="6" t="s">
        <v>2462</v>
      </c>
      <c r="D2325" s="1" t="s">
        <v>454</v>
      </c>
      <c r="E2325" s="1">
        <v>2173</v>
      </c>
      <c r="F2325" s="28">
        <v>204</v>
      </c>
      <c r="G2325" s="1">
        <v>17</v>
      </c>
      <c r="H2325" s="1" t="s">
        <v>3073</v>
      </c>
      <c r="I2325" s="1" t="s">
        <v>3073</v>
      </c>
      <c r="J2325" t="str">
        <f t="shared" si="36"/>
        <v>http://www.badatelna.eu/reprodukce/?fondId=1073&amp;zaznamId=1108959&amp;reproId=3780197</v>
      </c>
      <c r="K2325">
        <f>IF(LEN(TRIM(E2325))=0,"",VLOOKUP(E2325,Sheet2!$B$1:$E$19,2,FALSE))</f>
        <v>1073</v>
      </c>
      <c r="L2325">
        <f>IF(LEN(TRIM(E2325))=0,"",VLOOKUP(E2325,Sheet2!$B$1:$E$19,3,FALSE))</f>
        <v>1108959</v>
      </c>
      <c r="M2325">
        <f>IF(LEN(TRIM(E2325))=0,"",VLOOKUP(E2325,Sheet2!$B$1:$E$19,4,FALSE))+(F2325-1)</f>
        <v>3780197</v>
      </c>
    </row>
    <row r="2326" spans="1:13" s="1" customFormat="1" ht="15" customHeight="1" x14ac:dyDescent="0.25">
      <c r="A2326" s="28" t="s">
        <v>163</v>
      </c>
      <c r="B2326" s="28" t="s">
        <v>370</v>
      </c>
      <c r="C2326" s="6" t="s">
        <v>2181</v>
      </c>
      <c r="D2326" s="1" t="s">
        <v>454</v>
      </c>
      <c r="E2326" s="1">
        <v>2173</v>
      </c>
      <c r="F2326" s="28">
        <v>180</v>
      </c>
      <c r="G2326" s="9">
        <v>7</v>
      </c>
      <c r="H2326" s="1">
        <v>192</v>
      </c>
      <c r="I2326" s="1">
        <v>427</v>
      </c>
      <c r="J2326" t="str">
        <f t="shared" si="36"/>
        <v>http://www.badatelna.eu/reprodukce/?fondId=1073&amp;zaznamId=1108959&amp;reproId=3780173</v>
      </c>
      <c r="K2326">
        <f>IF(LEN(TRIM(E2326))=0,"",VLOOKUP(E2326,Sheet2!$B$1:$E$19,2,FALSE))</f>
        <v>1073</v>
      </c>
      <c r="L2326">
        <f>IF(LEN(TRIM(E2326))=0,"",VLOOKUP(E2326,Sheet2!$B$1:$E$19,3,FALSE))</f>
        <v>1108959</v>
      </c>
      <c r="M2326">
        <f>IF(LEN(TRIM(E2326))=0,"",VLOOKUP(E2326,Sheet2!$B$1:$E$19,4,FALSE))+(F2326-1)</f>
        <v>3780173</v>
      </c>
    </row>
    <row r="2327" spans="1:13" s="1" customFormat="1" ht="15" customHeight="1" x14ac:dyDescent="0.25">
      <c r="A2327" s="27" t="s">
        <v>163</v>
      </c>
      <c r="B2327" s="27" t="s">
        <v>500</v>
      </c>
      <c r="C2327" s="5" t="s">
        <v>1416</v>
      </c>
      <c r="D2327" s="3" t="s">
        <v>454</v>
      </c>
      <c r="E2327" s="3">
        <v>2170</v>
      </c>
      <c r="F2327" s="28">
        <v>45</v>
      </c>
      <c r="G2327" s="10">
        <v>41</v>
      </c>
      <c r="H2327" s="3">
        <v>71</v>
      </c>
      <c r="I2327" s="3">
        <v>67</v>
      </c>
      <c r="J2327" t="str">
        <f t="shared" si="36"/>
        <v>http://www.badatelna.eu/reprodukce/?fondId=1073&amp;zaznamId=1108956&amp;reproId=3779637</v>
      </c>
      <c r="K2327">
        <f>IF(LEN(TRIM(E2327))=0,"",VLOOKUP(E2327,Sheet2!$B$1:$E$19,2,FALSE))</f>
        <v>1073</v>
      </c>
      <c r="L2327">
        <f>IF(LEN(TRIM(E2327))=0,"",VLOOKUP(E2327,Sheet2!$B$1:$E$19,3,FALSE))</f>
        <v>1108956</v>
      </c>
      <c r="M2327">
        <f>IF(LEN(TRIM(E2327))=0,"",VLOOKUP(E2327,Sheet2!$B$1:$E$19,4,FALSE))+(F2327-1)</f>
        <v>3779637</v>
      </c>
    </row>
    <row r="2328" spans="1:13" s="1" customFormat="1" ht="15" customHeight="1" x14ac:dyDescent="0.25">
      <c r="A2328" s="27" t="s">
        <v>163</v>
      </c>
      <c r="B2328" s="27" t="s">
        <v>514</v>
      </c>
      <c r="C2328" s="5" t="s">
        <v>1418</v>
      </c>
      <c r="D2328" s="3" t="s">
        <v>454</v>
      </c>
      <c r="E2328" s="3">
        <v>2170</v>
      </c>
      <c r="F2328" s="31">
        <v>37</v>
      </c>
      <c r="G2328" s="10">
        <v>33</v>
      </c>
      <c r="H2328" s="3">
        <v>71</v>
      </c>
      <c r="I2328" s="3">
        <v>67</v>
      </c>
      <c r="J2328" t="str">
        <f t="shared" si="36"/>
        <v>http://www.badatelna.eu/reprodukce/?fondId=1073&amp;zaznamId=1108956&amp;reproId=3779629</v>
      </c>
      <c r="K2328">
        <f>IF(LEN(TRIM(E2328))=0,"",VLOOKUP(E2328,Sheet2!$B$1:$E$19,2,FALSE))</f>
        <v>1073</v>
      </c>
      <c r="L2328">
        <f>IF(LEN(TRIM(E2328))=0,"",VLOOKUP(E2328,Sheet2!$B$1:$E$19,3,FALSE))</f>
        <v>1108956</v>
      </c>
      <c r="M2328">
        <f>IF(LEN(TRIM(E2328))=0,"",VLOOKUP(E2328,Sheet2!$B$1:$E$19,4,FALSE))+(F2328-1)</f>
        <v>3779629</v>
      </c>
    </row>
    <row r="2329" spans="1:13" s="1" customFormat="1" ht="15" customHeight="1" x14ac:dyDescent="0.25">
      <c r="A2329" s="28" t="s">
        <v>163</v>
      </c>
      <c r="B2329" s="28" t="s">
        <v>82</v>
      </c>
      <c r="C2329" s="6" t="s">
        <v>2400</v>
      </c>
      <c r="D2329" s="1" t="s">
        <v>454</v>
      </c>
      <c r="E2329" s="1">
        <v>2173</v>
      </c>
      <c r="F2329" s="28">
        <v>202</v>
      </c>
      <c r="G2329" s="9">
        <v>14</v>
      </c>
      <c r="H2329" s="1" t="s">
        <v>3073</v>
      </c>
      <c r="I2329" s="1" t="s">
        <v>3073</v>
      </c>
      <c r="J2329" t="str">
        <f t="shared" si="36"/>
        <v>http://www.badatelna.eu/reprodukce/?fondId=1073&amp;zaznamId=1108959&amp;reproId=3780195</v>
      </c>
      <c r="K2329">
        <f>IF(LEN(TRIM(E2329))=0,"",VLOOKUP(E2329,Sheet2!$B$1:$E$19,2,FALSE))</f>
        <v>1073</v>
      </c>
      <c r="L2329">
        <f>IF(LEN(TRIM(E2329))=0,"",VLOOKUP(E2329,Sheet2!$B$1:$E$19,3,FALSE))</f>
        <v>1108959</v>
      </c>
      <c r="M2329">
        <f>IF(LEN(TRIM(E2329))=0,"",VLOOKUP(E2329,Sheet2!$B$1:$E$19,4,FALSE))+(F2329-1)</f>
        <v>3780195</v>
      </c>
    </row>
    <row r="2330" spans="1:13" s="1" customFormat="1" ht="15" customHeight="1" x14ac:dyDescent="0.25">
      <c r="A2330" s="27" t="s">
        <v>163</v>
      </c>
      <c r="B2330" s="27" t="s">
        <v>82</v>
      </c>
      <c r="C2330" s="5" t="s">
        <v>1373</v>
      </c>
      <c r="D2330" s="3" t="s">
        <v>454</v>
      </c>
      <c r="E2330" s="3">
        <v>2170</v>
      </c>
      <c r="F2330" s="28">
        <v>30</v>
      </c>
      <c r="G2330" s="10">
        <v>26</v>
      </c>
      <c r="H2330" s="3">
        <v>70</v>
      </c>
      <c r="I2330" s="3">
        <v>66</v>
      </c>
      <c r="J2330" t="str">
        <f t="shared" si="36"/>
        <v>http://www.badatelna.eu/reprodukce/?fondId=1073&amp;zaznamId=1108956&amp;reproId=3779622</v>
      </c>
      <c r="K2330">
        <f>IF(LEN(TRIM(E2330))=0,"",VLOOKUP(E2330,Sheet2!$B$1:$E$19,2,FALSE))</f>
        <v>1073</v>
      </c>
      <c r="L2330">
        <f>IF(LEN(TRIM(E2330))=0,"",VLOOKUP(E2330,Sheet2!$B$1:$E$19,3,FALSE))</f>
        <v>1108956</v>
      </c>
      <c r="M2330">
        <f>IF(LEN(TRIM(E2330))=0,"",VLOOKUP(E2330,Sheet2!$B$1:$E$19,4,FALSE))+(F2330-1)</f>
        <v>3779622</v>
      </c>
    </row>
    <row r="2331" spans="1:13" s="1" customFormat="1" ht="15" customHeight="1" x14ac:dyDescent="0.25">
      <c r="A2331" s="28" t="s">
        <v>163</v>
      </c>
      <c r="B2331" s="28" t="s">
        <v>3010</v>
      </c>
      <c r="C2331" s="1">
        <v>1854</v>
      </c>
      <c r="D2331" s="1" t="s">
        <v>2919</v>
      </c>
      <c r="E2331" s="1">
        <v>998</v>
      </c>
      <c r="F2331" s="28">
        <v>41</v>
      </c>
      <c r="G2331" s="1">
        <v>39</v>
      </c>
      <c r="H2331" s="1">
        <v>78</v>
      </c>
      <c r="I2331" s="1">
        <v>76</v>
      </c>
      <c r="J2331" t="str">
        <f t="shared" si="36"/>
        <v>http://www.badatelna.eu/reprodukce/?fondId=241&amp;zaznamId=1133738&amp;reproId=3885687</v>
      </c>
      <c r="K2331">
        <f>IF(LEN(TRIM(E2331))=0,"",VLOOKUP(E2331,Sheet2!$B$1:$E$19,2,FALSE))</f>
        <v>241</v>
      </c>
      <c r="L2331">
        <f>IF(LEN(TRIM(E2331))=0,"",VLOOKUP(E2331,Sheet2!$B$1:$E$19,3,FALSE))</f>
        <v>1133738</v>
      </c>
      <c r="M2331">
        <f>IF(LEN(TRIM(E2331))=0,"",VLOOKUP(E2331,Sheet2!$B$1:$E$19,4,FALSE))+(F2331-1)</f>
        <v>3885687</v>
      </c>
    </row>
    <row r="2332" spans="1:13" s="1" customFormat="1" ht="15" customHeight="1" x14ac:dyDescent="0.25">
      <c r="A2332" s="28" t="s">
        <v>1021</v>
      </c>
      <c r="B2332" s="28" t="s">
        <v>1022</v>
      </c>
      <c r="C2332" s="6" t="s">
        <v>1972</v>
      </c>
      <c r="D2332" s="1" t="s">
        <v>454</v>
      </c>
      <c r="E2332" s="1">
        <v>2172</v>
      </c>
      <c r="F2332" s="28">
        <v>239</v>
      </c>
      <c r="G2332" s="9">
        <v>219</v>
      </c>
      <c r="H2332" s="1" t="s">
        <v>3073</v>
      </c>
      <c r="I2332" s="1" t="s">
        <v>3073</v>
      </c>
      <c r="J2332" t="str">
        <f t="shared" si="36"/>
        <v>http://www.badatelna.eu/reprodukce/?fondId=1073&amp;zaznamId=1108958&amp;reproId=3779980</v>
      </c>
      <c r="K2332">
        <f>IF(LEN(TRIM(E2332))=0,"",VLOOKUP(E2332,Sheet2!$B$1:$E$19,2,FALSE))</f>
        <v>1073</v>
      </c>
      <c r="L2332">
        <f>IF(LEN(TRIM(E2332))=0,"",VLOOKUP(E2332,Sheet2!$B$1:$E$19,3,FALSE))</f>
        <v>1108958</v>
      </c>
      <c r="M2332">
        <f>IF(LEN(TRIM(E2332))=0,"",VLOOKUP(E2332,Sheet2!$B$1:$E$19,4,FALSE))+(F2332-1)</f>
        <v>3779980</v>
      </c>
    </row>
    <row r="2333" spans="1:13" s="1" customFormat="1" ht="15" customHeight="1" x14ac:dyDescent="0.25">
      <c r="A2333" s="28" t="s">
        <v>1021</v>
      </c>
      <c r="B2333" s="28" t="s">
        <v>253</v>
      </c>
      <c r="C2333" s="6" t="s">
        <v>1944</v>
      </c>
      <c r="D2333" s="1" t="s">
        <v>454</v>
      </c>
      <c r="E2333" s="1">
        <v>2172</v>
      </c>
      <c r="F2333" s="28">
        <v>225</v>
      </c>
      <c r="G2333" s="9">
        <v>206</v>
      </c>
      <c r="H2333" s="1" t="s">
        <v>3073</v>
      </c>
      <c r="I2333" s="1" t="s">
        <v>3073</v>
      </c>
      <c r="J2333" t="str">
        <f t="shared" si="36"/>
        <v>http://www.badatelna.eu/reprodukce/?fondId=1073&amp;zaznamId=1108958&amp;reproId=3779966</v>
      </c>
      <c r="K2333">
        <f>IF(LEN(TRIM(E2333))=0,"",VLOOKUP(E2333,Sheet2!$B$1:$E$19,2,FALSE))</f>
        <v>1073</v>
      </c>
      <c r="L2333">
        <f>IF(LEN(TRIM(E2333))=0,"",VLOOKUP(E2333,Sheet2!$B$1:$E$19,3,FALSE))</f>
        <v>1108958</v>
      </c>
      <c r="M2333">
        <f>IF(LEN(TRIM(E2333))=0,"",VLOOKUP(E2333,Sheet2!$B$1:$E$19,4,FALSE))+(F2333-1)</f>
        <v>3779966</v>
      </c>
    </row>
    <row r="2334" spans="1:13" s="1" customFormat="1" ht="15" customHeight="1" x14ac:dyDescent="0.25">
      <c r="A2334" s="28" t="s">
        <v>1020</v>
      </c>
      <c r="B2334" s="28" t="s">
        <v>838</v>
      </c>
      <c r="C2334" s="1">
        <v>1884</v>
      </c>
      <c r="D2334" s="1" t="s">
        <v>454</v>
      </c>
      <c r="E2334" s="1">
        <v>2172</v>
      </c>
      <c r="F2334" s="28">
        <v>39</v>
      </c>
      <c r="G2334" s="9" t="s">
        <v>3080</v>
      </c>
      <c r="H2334" s="1">
        <v>43</v>
      </c>
      <c r="I2334" s="1">
        <v>42</v>
      </c>
      <c r="J2334" t="str">
        <f t="shared" si="36"/>
        <v>http://www.badatelna.eu/reprodukce/?fondId=1073&amp;zaznamId=1108958&amp;reproId=3779780</v>
      </c>
      <c r="K2334">
        <f>IF(LEN(TRIM(E2334))=0,"",VLOOKUP(E2334,Sheet2!$B$1:$E$19,2,FALSE))</f>
        <v>1073</v>
      </c>
      <c r="L2334">
        <f>IF(LEN(TRIM(E2334))=0,"",VLOOKUP(E2334,Sheet2!$B$1:$E$19,3,FALSE))</f>
        <v>1108958</v>
      </c>
      <c r="M2334">
        <f>IF(LEN(TRIM(E2334))=0,"",VLOOKUP(E2334,Sheet2!$B$1:$E$19,4,FALSE))+(F2334-1)</f>
        <v>3779780</v>
      </c>
    </row>
    <row r="2335" spans="1:13" s="1" customFormat="1" ht="15" customHeight="1" x14ac:dyDescent="0.25">
      <c r="A2335" s="28" t="s">
        <v>615</v>
      </c>
      <c r="B2335" s="28" t="s">
        <v>594</v>
      </c>
      <c r="C2335" s="6" t="s">
        <v>1508</v>
      </c>
      <c r="D2335" s="1" t="s">
        <v>454</v>
      </c>
      <c r="E2335" s="1">
        <v>2172</v>
      </c>
      <c r="F2335" s="28">
        <v>6</v>
      </c>
      <c r="G2335" s="9">
        <v>3</v>
      </c>
      <c r="H2335" s="1">
        <v>9</v>
      </c>
      <c r="I2335" s="1">
        <v>2</v>
      </c>
      <c r="J2335" t="str">
        <f t="shared" si="36"/>
        <v>http://www.badatelna.eu/reprodukce/?fondId=1073&amp;zaznamId=1108958&amp;reproId=3779747</v>
      </c>
      <c r="K2335">
        <f>IF(LEN(TRIM(E2335))=0,"",VLOOKUP(E2335,Sheet2!$B$1:$E$19,2,FALSE))</f>
        <v>1073</v>
      </c>
      <c r="L2335">
        <f>IF(LEN(TRIM(E2335))=0,"",VLOOKUP(E2335,Sheet2!$B$1:$E$19,3,FALSE))</f>
        <v>1108958</v>
      </c>
      <c r="M2335">
        <f>IF(LEN(TRIM(E2335))=0,"",VLOOKUP(E2335,Sheet2!$B$1:$E$19,4,FALSE))+(F2335-1)</f>
        <v>3779747</v>
      </c>
    </row>
    <row r="2336" spans="1:13" s="1" customFormat="1" ht="15" customHeight="1" x14ac:dyDescent="0.25">
      <c r="A2336" s="28" t="s">
        <v>615</v>
      </c>
      <c r="B2336" s="28" t="s">
        <v>462</v>
      </c>
      <c r="C2336" s="1">
        <v>1882</v>
      </c>
      <c r="D2336" s="1" t="s">
        <v>454</v>
      </c>
      <c r="E2336" s="1">
        <v>2172</v>
      </c>
      <c r="F2336" s="29">
        <v>27</v>
      </c>
      <c r="G2336" s="20" t="s">
        <v>2759</v>
      </c>
      <c r="H2336" s="1">
        <v>31</v>
      </c>
      <c r="I2336" s="1">
        <v>30</v>
      </c>
      <c r="J2336" t="str">
        <f t="shared" si="36"/>
        <v>http://www.badatelna.eu/reprodukce/?fondId=1073&amp;zaznamId=1108958&amp;reproId=3779768</v>
      </c>
      <c r="K2336">
        <f>IF(LEN(TRIM(E2336))=0,"",VLOOKUP(E2336,Sheet2!$B$1:$E$19,2,FALSE))</f>
        <v>1073</v>
      </c>
      <c r="L2336">
        <f>IF(LEN(TRIM(E2336))=0,"",VLOOKUP(E2336,Sheet2!$B$1:$E$19,3,FALSE))</f>
        <v>1108958</v>
      </c>
      <c r="M2336">
        <f>IF(LEN(TRIM(E2336))=0,"",VLOOKUP(E2336,Sheet2!$B$1:$E$19,4,FALSE))+(F2336-1)</f>
        <v>3779768</v>
      </c>
    </row>
    <row r="2337" spans="1:13" s="1" customFormat="1" ht="15" customHeight="1" x14ac:dyDescent="0.25">
      <c r="A2337" s="28" t="s">
        <v>615</v>
      </c>
      <c r="B2337" s="28" t="s">
        <v>3100</v>
      </c>
      <c r="C2337" s="1">
        <v>1882</v>
      </c>
      <c r="D2337" s="1" t="s">
        <v>454</v>
      </c>
      <c r="E2337" s="1">
        <v>2172</v>
      </c>
      <c r="F2337" s="29">
        <v>27</v>
      </c>
      <c r="G2337" s="20" t="s">
        <v>2759</v>
      </c>
      <c r="H2337" s="1">
        <v>31</v>
      </c>
      <c r="I2337" s="1">
        <v>30</v>
      </c>
      <c r="J2337" t="str">
        <f t="shared" si="36"/>
        <v>http://www.badatelna.eu/reprodukce/?fondId=1073&amp;zaznamId=1108958&amp;reproId=3779768</v>
      </c>
      <c r="K2337">
        <f>IF(LEN(TRIM(E2337))=0,"",VLOOKUP(E2337,Sheet2!$B$1:$E$19,2,FALSE))</f>
        <v>1073</v>
      </c>
      <c r="L2337">
        <f>IF(LEN(TRIM(E2337))=0,"",VLOOKUP(E2337,Sheet2!$B$1:$E$19,3,FALSE))</f>
        <v>1108958</v>
      </c>
      <c r="M2337">
        <f>IF(LEN(TRIM(E2337))=0,"",VLOOKUP(E2337,Sheet2!$B$1:$E$19,4,FALSE))+(F2337-1)</f>
        <v>3779768</v>
      </c>
    </row>
    <row r="2338" spans="1:13" s="1" customFormat="1" ht="15" customHeight="1" x14ac:dyDescent="0.25">
      <c r="A2338" s="28" t="s">
        <v>615</v>
      </c>
      <c r="B2338" s="28" t="s">
        <v>746</v>
      </c>
      <c r="C2338" s="1">
        <v>1885</v>
      </c>
      <c r="D2338" s="1" t="s">
        <v>454</v>
      </c>
      <c r="E2338" s="1">
        <v>2172</v>
      </c>
      <c r="F2338" s="28">
        <v>47</v>
      </c>
      <c r="G2338" s="9">
        <v>46</v>
      </c>
      <c r="H2338" s="1">
        <v>49</v>
      </c>
      <c r="I2338" s="1">
        <v>50</v>
      </c>
      <c r="J2338" t="str">
        <f t="shared" si="36"/>
        <v>http://www.badatelna.eu/reprodukce/?fondId=1073&amp;zaznamId=1108958&amp;reproId=3779788</v>
      </c>
      <c r="K2338">
        <f>IF(LEN(TRIM(E2338))=0,"",VLOOKUP(E2338,Sheet2!$B$1:$E$19,2,FALSE))</f>
        <v>1073</v>
      </c>
      <c r="L2338">
        <f>IF(LEN(TRIM(E2338))=0,"",VLOOKUP(E2338,Sheet2!$B$1:$E$19,3,FALSE))</f>
        <v>1108958</v>
      </c>
      <c r="M2338">
        <f>IF(LEN(TRIM(E2338))=0,"",VLOOKUP(E2338,Sheet2!$B$1:$E$19,4,FALSE))+(F2338-1)</f>
        <v>3779788</v>
      </c>
    </row>
    <row r="2339" spans="1:13" s="1" customFormat="1" ht="15" customHeight="1" x14ac:dyDescent="0.25">
      <c r="A2339" s="28" t="s">
        <v>1023</v>
      </c>
      <c r="B2339" s="28" t="s">
        <v>84</v>
      </c>
      <c r="C2339" s="6" t="s">
        <v>1799</v>
      </c>
      <c r="D2339" s="1" t="s">
        <v>454</v>
      </c>
      <c r="E2339" s="1">
        <v>2172</v>
      </c>
      <c r="F2339" s="28">
        <v>159</v>
      </c>
      <c r="G2339" s="9">
        <v>153</v>
      </c>
      <c r="H2339" s="1">
        <v>161</v>
      </c>
      <c r="I2339" s="1">
        <v>155</v>
      </c>
      <c r="J2339" t="str">
        <f t="shared" si="36"/>
        <v>http://www.badatelna.eu/reprodukce/?fondId=1073&amp;zaznamId=1108958&amp;reproId=3779900</v>
      </c>
      <c r="K2339">
        <f>IF(LEN(TRIM(E2339))=0,"",VLOOKUP(E2339,Sheet2!$B$1:$E$19,2,FALSE))</f>
        <v>1073</v>
      </c>
      <c r="L2339">
        <f>IF(LEN(TRIM(E2339))=0,"",VLOOKUP(E2339,Sheet2!$B$1:$E$19,3,FALSE))</f>
        <v>1108958</v>
      </c>
      <c r="M2339">
        <f>IF(LEN(TRIM(E2339))=0,"",VLOOKUP(E2339,Sheet2!$B$1:$E$19,4,FALSE))+(F2339-1)</f>
        <v>3779900</v>
      </c>
    </row>
    <row r="2340" spans="1:13" s="1" customFormat="1" ht="15" customHeight="1" x14ac:dyDescent="0.25">
      <c r="A2340" s="28" t="s">
        <v>1023</v>
      </c>
      <c r="B2340" s="28" t="s">
        <v>265</v>
      </c>
      <c r="C2340" s="1">
        <v>1891</v>
      </c>
      <c r="D2340" s="1" t="s">
        <v>454</v>
      </c>
      <c r="E2340" s="1">
        <v>2172</v>
      </c>
      <c r="F2340" s="28">
        <v>82</v>
      </c>
      <c r="G2340" s="9">
        <v>81</v>
      </c>
      <c r="H2340" s="1">
        <v>83</v>
      </c>
      <c r="I2340" s="1">
        <v>82</v>
      </c>
      <c r="J2340" t="str">
        <f t="shared" si="36"/>
        <v>http://www.badatelna.eu/reprodukce/?fondId=1073&amp;zaznamId=1108958&amp;reproId=3779823</v>
      </c>
      <c r="K2340">
        <f>IF(LEN(TRIM(E2340))=0,"",VLOOKUP(E2340,Sheet2!$B$1:$E$19,2,FALSE))</f>
        <v>1073</v>
      </c>
      <c r="L2340">
        <f>IF(LEN(TRIM(E2340))=0,"",VLOOKUP(E2340,Sheet2!$B$1:$E$19,3,FALSE))</f>
        <v>1108958</v>
      </c>
      <c r="M2340">
        <f>IF(LEN(TRIM(E2340))=0,"",VLOOKUP(E2340,Sheet2!$B$1:$E$19,4,FALSE))+(F2340-1)</f>
        <v>3779823</v>
      </c>
    </row>
    <row r="2341" spans="1:13" s="1" customFormat="1" ht="15" customHeight="1" x14ac:dyDescent="0.25">
      <c r="A2341" s="27" t="s">
        <v>616</v>
      </c>
      <c r="B2341" s="27" t="s">
        <v>33</v>
      </c>
      <c r="C2341" s="5" t="s">
        <v>1420</v>
      </c>
      <c r="D2341" s="3" t="s">
        <v>454</v>
      </c>
      <c r="E2341" s="3">
        <v>2170</v>
      </c>
      <c r="F2341" s="28">
        <v>52</v>
      </c>
      <c r="G2341" s="10">
        <v>48</v>
      </c>
      <c r="H2341" s="3">
        <v>71</v>
      </c>
      <c r="I2341" s="3">
        <v>67</v>
      </c>
      <c r="J2341" t="str">
        <f t="shared" si="36"/>
        <v>http://www.badatelna.eu/reprodukce/?fondId=1073&amp;zaznamId=1108956&amp;reproId=3779644</v>
      </c>
      <c r="K2341">
        <f>IF(LEN(TRIM(E2341))=0,"",VLOOKUP(E2341,Sheet2!$B$1:$E$19,2,FALSE))</f>
        <v>1073</v>
      </c>
      <c r="L2341">
        <f>IF(LEN(TRIM(E2341))=0,"",VLOOKUP(E2341,Sheet2!$B$1:$E$19,3,FALSE))</f>
        <v>1108956</v>
      </c>
      <c r="M2341">
        <f>IF(LEN(TRIM(E2341))=0,"",VLOOKUP(E2341,Sheet2!$B$1:$E$19,4,FALSE))+(F2341-1)</f>
        <v>3779644</v>
      </c>
    </row>
    <row r="2342" spans="1:13" s="1" customFormat="1" ht="15" customHeight="1" x14ac:dyDescent="0.25">
      <c r="A2342" s="28" t="s">
        <v>616</v>
      </c>
      <c r="B2342" s="28" t="s">
        <v>673</v>
      </c>
      <c r="C2342" s="6" t="s">
        <v>1116</v>
      </c>
      <c r="D2342" s="1" t="s">
        <v>454</v>
      </c>
      <c r="E2342" s="1">
        <v>2172</v>
      </c>
      <c r="F2342" s="28">
        <v>4</v>
      </c>
      <c r="G2342" s="9">
        <v>1</v>
      </c>
      <c r="H2342" s="1">
        <v>9</v>
      </c>
      <c r="I2342" s="1">
        <v>2</v>
      </c>
      <c r="J2342" t="str">
        <f t="shared" si="36"/>
        <v>http://www.badatelna.eu/reprodukce/?fondId=1073&amp;zaznamId=1108958&amp;reproId=3779745</v>
      </c>
      <c r="K2342">
        <f>IF(LEN(TRIM(E2342))=0,"",VLOOKUP(E2342,Sheet2!$B$1:$E$19,2,FALSE))</f>
        <v>1073</v>
      </c>
      <c r="L2342">
        <f>IF(LEN(TRIM(E2342))=0,"",VLOOKUP(E2342,Sheet2!$B$1:$E$19,3,FALSE))</f>
        <v>1108958</v>
      </c>
      <c r="M2342">
        <f>IF(LEN(TRIM(E2342))=0,"",VLOOKUP(E2342,Sheet2!$B$1:$E$19,4,FALSE))+(F2342-1)</f>
        <v>3779745</v>
      </c>
    </row>
    <row r="2343" spans="1:13" s="1" customFormat="1" ht="15" customHeight="1" x14ac:dyDescent="0.25">
      <c r="A2343" s="28" t="s">
        <v>616</v>
      </c>
      <c r="B2343" s="28" t="s">
        <v>673</v>
      </c>
      <c r="C2343" s="6" t="s">
        <v>1870</v>
      </c>
      <c r="D2343" s="1" t="s">
        <v>454</v>
      </c>
      <c r="E2343" s="1">
        <v>2172</v>
      </c>
      <c r="F2343" s="28">
        <v>189</v>
      </c>
      <c r="G2343" s="9">
        <v>179</v>
      </c>
      <c r="H2343" s="1" t="s">
        <v>3073</v>
      </c>
      <c r="I2343" s="1" t="s">
        <v>3073</v>
      </c>
      <c r="J2343" t="str">
        <f t="shared" si="36"/>
        <v>http://www.badatelna.eu/reprodukce/?fondId=1073&amp;zaznamId=1108958&amp;reproId=3779930</v>
      </c>
      <c r="K2343">
        <f>IF(LEN(TRIM(E2343))=0,"",VLOOKUP(E2343,Sheet2!$B$1:$E$19,2,FALSE))</f>
        <v>1073</v>
      </c>
      <c r="L2343">
        <f>IF(LEN(TRIM(E2343))=0,"",VLOOKUP(E2343,Sheet2!$B$1:$E$19,3,FALSE))</f>
        <v>1108958</v>
      </c>
      <c r="M2343">
        <f>IF(LEN(TRIM(E2343))=0,"",VLOOKUP(E2343,Sheet2!$B$1:$E$19,4,FALSE))+(F2343-1)</f>
        <v>3779930</v>
      </c>
    </row>
    <row r="2344" spans="1:13" s="1" customFormat="1" ht="15" customHeight="1" x14ac:dyDescent="0.25">
      <c r="A2344" s="28" t="s">
        <v>616</v>
      </c>
      <c r="B2344" s="28" t="s">
        <v>496</v>
      </c>
      <c r="C2344" s="6" t="s">
        <v>1547</v>
      </c>
      <c r="D2344" s="1" t="s">
        <v>454</v>
      </c>
      <c r="E2344" s="1">
        <v>2172</v>
      </c>
      <c r="F2344" s="28">
        <v>17</v>
      </c>
      <c r="G2344" s="9">
        <v>16</v>
      </c>
      <c r="H2344" s="1" t="s">
        <v>3073</v>
      </c>
      <c r="I2344" s="1" t="s">
        <v>3073</v>
      </c>
      <c r="J2344" t="str">
        <f t="shared" si="36"/>
        <v>http://www.badatelna.eu/reprodukce/?fondId=1073&amp;zaznamId=1108958&amp;reproId=3779758</v>
      </c>
      <c r="K2344">
        <f>IF(LEN(TRIM(E2344))=0,"",VLOOKUP(E2344,Sheet2!$B$1:$E$19,2,FALSE))</f>
        <v>1073</v>
      </c>
      <c r="L2344">
        <f>IF(LEN(TRIM(E2344))=0,"",VLOOKUP(E2344,Sheet2!$B$1:$E$19,3,FALSE))</f>
        <v>1108958</v>
      </c>
      <c r="M2344">
        <f>IF(LEN(TRIM(E2344))=0,"",VLOOKUP(E2344,Sheet2!$B$1:$E$19,4,FALSE))+(F2344-1)</f>
        <v>3779758</v>
      </c>
    </row>
    <row r="2345" spans="1:13" s="1" customFormat="1" ht="15" customHeight="1" x14ac:dyDescent="0.25">
      <c r="A2345" s="28" t="s">
        <v>1024</v>
      </c>
      <c r="B2345" s="28" t="s">
        <v>551</v>
      </c>
      <c r="C2345" s="1">
        <v>1887</v>
      </c>
      <c r="D2345" s="1" t="s">
        <v>454</v>
      </c>
      <c r="E2345" s="1">
        <v>2172</v>
      </c>
      <c r="F2345" s="28">
        <v>59</v>
      </c>
      <c r="G2345" s="9">
        <v>60</v>
      </c>
      <c r="H2345" s="1">
        <v>60</v>
      </c>
      <c r="I2345" s="1">
        <v>61</v>
      </c>
      <c r="J2345" t="str">
        <f t="shared" si="36"/>
        <v>http://www.badatelna.eu/reprodukce/?fondId=1073&amp;zaznamId=1108958&amp;reproId=3779800</v>
      </c>
      <c r="K2345">
        <f>IF(LEN(TRIM(E2345))=0,"",VLOOKUP(E2345,Sheet2!$B$1:$E$19,2,FALSE))</f>
        <v>1073</v>
      </c>
      <c r="L2345">
        <f>IF(LEN(TRIM(E2345))=0,"",VLOOKUP(E2345,Sheet2!$B$1:$E$19,3,FALSE))</f>
        <v>1108958</v>
      </c>
      <c r="M2345">
        <f>IF(LEN(TRIM(E2345))=0,"",VLOOKUP(E2345,Sheet2!$B$1:$E$19,4,FALSE))+(F2345-1)</f>
        <v>3779800</v>
      </c>
    </row>
    <row r="2346" spans="1:13" s="1" customFormat="1" ht="15" customHeight="1" x14ac:dyDescent="0.25">
      <c r="A2346" s="28" t="s">
        <v>143</v>
      </c>
      <c r="B2346" s="28" t="s">
        <v>129</v>
      </c>
      <c r="C2346" s="6" t="s">
        <v>2247</v>
      </c>
      <c r="D2346" s="1" t="s">
        <v>454</v>
      </c>
      <c r="E2346" s="1">
        <v>2173</v>
      </c>
      <c r="F2346" s="28">
        <v>196</v>
      </c>
      <c r="G2346" s="9">
        <v>2</v>
      </c>
      <c r="H2346" s="1" t="s">
        <v>3073</v>
      </c>
      <c r="I2346" s="1" t="s">
        <v>3073</v>
      </c>
      <c r="J2346" t="str">
        <f t="shared" si="36"/>
        <v>http://www.badatelna.eu/reprodukce/?fondId=1073&amp;zaznamId=1108959&amp;reproId=3780189</v>
      </c>
      <c r="K2346">
        <f>IF(LEN(TRIM(E2346))=0,"",VLOOKUP(E2346,Sheet2!$B$1:$E$19,2,FALSE))</f>
        <v>1073</v>
      </c>
      <c r="L2346">
        <f>IF(LEN(TRIM(E2346))=0,"",VLOOKUP(E2346,Sheet2!$B$1:$E$19,3,FALSE))</f>
        <v>1108959</v>
      </c>
      <c r="M2346">
        <f>IF(LEN(TRIM(E2346))=0,"",VLOOKUP(E2346,Sheet2!$B$1:$E$19,4,FALSE))+(F2346-1)</f>
        <v>3780189</v>
      </c>
    </row>
    <row r="2347" spans="1:13" s="1" customFormat="1" ht="15" customHeight="1" x14ac:dyDescent="0.25">
      <c r="A2347" s="28" t="s">
        <v>1032</v>
      </c>
      <c r="B2347" s="28" t="s">
        <v>198</v>
      </c>
      <c r="C2347" s="6" t="s">
        <v>1839</v>
      </c>
      <c r="D2347" s="1" t="s">
        <v>454</v>
      </c>
      <c r="E2347" s="1">
        <v>2172</v>
      </c>
      <c r="F2347" s="28">
        <v>174</v>
      </c>
      <c r="G2347" s="9">
        <v>167</v>
      </c>
      <c r="H2347" s="1" t="s">
        <v>3073</v>
      </c>
      <c r="I2347" s="1" t="s">
        <v>3073</v>
      </c>
      <c r="J2347" t="str">
        <f t="shared" si="36"/>
        <v>http://www.badatelna.eu/reprodukce/?fondId=1073&amp;zaznamId=1108958&amp;reproId=3779915</v>
      </c>
      <c r="K2347">
        <f>IF(LEN(TRIM(E2347))=0,"",VLOOKUP(E2347,Sheet2!$B$1:$E$19,2,FALSE))</f>
        <v>1073</v>
      </c>
      <c r="L2347">
        <f>IF(LEN(TRIM(E2347))=0,"",VLOOKUP(E2347,Sheet2!$B$1:$E$19,3,FALSE))</f>
        <v>1108958</v>
      </c>
      <c r="M2347">
        <f>IF(LEN(TRIM(E2347))=0,"",VLOOKUP(E2347,Sheet2!$B$1:$E$19,4,FALSE))+(F2347-1)</f>
        <v>3779915</v>
      </c>
    </row>
    <row r="2348" spans="1:13" s="1" customFormat="1" ht="15" customHeight="1" x14ac:dyDescent="0.25">
      <c r="A2348" s="28" t="s">
        <v>1031</v>
      </c>
      <c r="B2348" s="28" t="s">
        <v>91</v>
      </c>
      <c r="C2348" s="6" t="s">
        <v>2524</v>
      </c>
      <c r="D2348" s="1" t="s">
        <v>454</v>
      </c>
      <c r="E2348" s="1">
        <v>2173</v>
      </c>
      <c r="F2348" s="28">
        <v>206</v>
      </c>
      <c r="G2348" s="1">
        <v>22</v>
      </c>
      <c r="H2348" s="1" t="s">
        <v>3073</v>
      </c>
      <c r="I2348" s="1" t="s">
        <v>3073</v>
      </c>
      <c r="J2348" t="str">
        <f t="shared" si="36"/>
        <v>http://www.badatelna.eu/reprodukce/?fondId=1073&amp;zaznamId=1108959&amp;reproId=3780199</v>
      </c>
      <c r="K2348">
        <f>IF(LEN(TRIM(E2348))=0,"",VLOOKUP(E2348,Sheet2!$B$1:$E$19,2,FALSE))</f>
        <v>1073</v>
      </c>
      <c r="L2348">
        <f>IF(LEN(TRIM(E2348))=0,"",VLOOKUP(E2348,Sheet2!$B$1:$E$19,3,FALSE))</f>
        <v>1108959</v>
      </c>
      <c r="M2348">
        <f>IF(LEN(TRIM(E2348))=0,"",VLOOKUP(E2348,Sheet2!$B$1:$E$19,4,FALSE))+(F2348-1)</f>
        <v>3780199</v>
      </c>
    </row>
    <row r="2349" spans="1:13" s="1" customFormat="1" ht="15" customHeight="1" x14ac:dyDescent="0.25">
      <c r="A2349" s="28" t="s">
        <v>1025</v>
      </c>
      <c r="B2349" s="28" t="s">
        <v>293</v>
      </c>
      <c r="C2349" s="6" t="s">
        <v>1874</v>
      </c>
      <c r="D2349" s="1" t="s">
        <v>454</v>
      </c>
      <c r="E2349" s="1">
        <v>2172</v>
      </c>
      <c r="F2349" s="28">
        <v>190</v>
      </c>
      <c r="G2349" s="9">
        <v>180</v>
      </c>
      <c r="H2349" s="1" t="s">
        <v>3073</v>
      </c>
      <c r="I2349" s="1" t="s">
        <v>3073</v>
      </c>
      <c r="J2349" t="str">
        <f t="shared" si="36"/>
        <v>http://www.badatelna.eu/reprodukce/?fondId=1073&amp;zaznamId=1108958&amp;reproId=3779931</v>
      </c>
      <c r="K2349">
        <f>IF(LEN(TRIM(E2349))=0,"",VLOOKUP(E2349,Sheet2!$B$1:$E$19,2,FALSE))</f>
        <v>1073</v>
      </c>
      <c r="L2349">
        <f>IF(LEN(TRIM(E2349))=0,"",VLOOKUP(E2349,Sheet2!$B$1:$E$19,3,FALSE))</f>
        <v>1108958</v>
      </c>
      <c r="M2349">
        <f>IF(LEN(TRIM(E2349))=0,"",VLOOKUP(E2349,Sheet2!$B$1:$E$19,4,FALSE))+(F2349-1)</f>
        <v>3779931</v>
      </c>
    </row>
    <row r="2350" spans="1:13" s="1" customFormat="1" ht="15" customHeight="1" x14ac:dyDescent="0.25">
      <c r="A2350" s="28" t="s">
        <v>441</v>
      </c>
      <c r="B2350" s="28" t="s">
        <v>620</v>
      </c>
      <c r="C2350" s="6" t="s">
        <v>1696</v>
      </c>
      <c r="D2350" s="1" t="s">
        <v>454</v>
      </c>
      <c r="E2350" s="1">
        <v>2172</v>
      </c>
      <c r="F2350" s="28">
        <v>113</v>
      </c>
      <c r="G2350" s="9" t="s">
        <v>2769</v>
      </c>
      <c r="H2350" s="1">
        <v>117</v>
      </c>
      <c r="I2350" s="1">
        <v>116</v>
      </c>
      <c r="J2350" t="str">
        <f t="shared" si="36"/>
        <v>http://www.badatelna.eu/reprodukce/?fondId=1073&amp;zaznamId=1108958&amp;reproId=3779854</v>
      </c>
      <c r="K2350">
        <f>IF(LEN(TRIM(E2350))=0,"",VLOOKUP(E2350,Sheet2!$B$1:$E$19,2,FALSE))</f>
        <v>1073</v>
      </c>
      <c r="L2350">
        <f>IF(LEN(TRIM(E2350))=0,"",VLOOKUP(E2350,Sheet2!$B$1:$E$19,3,FALSE))</f>
        <v>1108958</v>
      </c>
      <c r="M2350">
        <f>IF(LEN(TRIM(E2350))=0,"",VLOOKUP(E2350,Sheet2!$B$1:$E$19,4,FALSE))+(F2350-1)</f>
        <v>3779854</v>
      </c>
    </row>
    <row r="2351" spans="1:13" s="1" customFormat="1" ht="15" customHeight="1" x14ac:dyDescent="0.25">
      <c r="A2351" s="28" t="s">
        <v>441</v>
      </c>
      <c r="B2351" s="28" t="s">
        <v>420</v>
      </c>
      <c r="C2351" s="1">
        <v>1849</v>
      </c>
      <c r="D2351" s="1" t="s">
        <v>2919</v>
      </c>
      <c r="E2351" s="1">
        <v>998</v>
      </c>
      <c r="F2351" s="28">
        <v>26</v>
      </c>
      <c r="G2351" s="1">
        <v>24</v>
      </c>
      <c r="H2351" s="1">
        <v>78</v>
      </c>
      <c r="I2351" s="1">
        <v>76</v>
      </c>
      <c r="J2351" t="str">
        <f t="shared" si="36"/>
        <v>http://www.badatelna.eu/reprodukce/?fondId=241&amp;zaznamId=1133738&amp;reproId=3885672</v>
      </c>
      <c r="K2351">
        <f>IF(LEN(TRIM(E2351))=0,"",VLOOKUP(E2351,Sheet2!$B$1:$E$19,2,FALSE))</f>
        <v>241</v>
      </c>
      <c r="L2351">
        <f>IF(LEN(TRIM(E2351))=0,"",VLOOKUP(E2351,Sheet2!$B$1:$E$19,3,FALSE))</f>
        <v>1133738</v>
      </c>
      <c r="M2351">
        <f>IF(LEN(TRIM(E2351))=0,"",VLOOKUP(E2351,Sheet2!$B$1:$E$19,4,FALSE))+(F2351-1)</f>
        <v>3885672</v>
      </c>
    </row>
    <row r="2352" spans="1:13" s="1" customFormat="1" ht="15" customHeight="1" x14ac:dyDescent="0.25">
      <c r="A2352" s="28" t="s">
        <v>441</v>
      </c>
      <c r="B2352" s="28" t="s">
        <v>420</v>
      </c>
      <c r="C2352" s="18" t="s">
        <v>2708</v>
      </c>
      <c r="D2352" s="1" t="s">
        <v>454</v>
      </c>
      <c r="E2352" s="1">
        <v>2173</v>
      </c>
      <c r="F2352" s="28">
        <v>225</v>
      </c>
      <c r="G2352" s="9">
        <v>55</v>
      </c>
      <c r="H2352" s="1" t="s">
        <v>3073</v>
      </c>
      <c r="I2352" s="1" t="s">
        <v>3073</v>
      </c>
      <c r="J2352" t="str">
        <f t="shared" si="36"/>
        <v>http://www.badatelna.eu/reprodukce/?fondId=1073&amp;zaznamId=1108959&amp;reproId=3780218</v>
      </c>
      <c r="K2352">
        <f>IF(LEN(TRIM(E2352))=0,"",VLOOKUP(E2352,Sheet2!$B$1:$E$19,2,FALSE))</f>
        <v>1073</v>
      </c>
      <c r="L2352">
        <f>IF(LEN(TRIM(E2352))=0,"",VLOOKUP(E2352,Sheet2!$B$1:$E$19,3,FALSE))</f>
        <v>1108959</v>
      </c>
      <c r="M2352">
        <f>IF(LEN(TRIM(E2352))=0,"",VLOOKUP(E2352,Sheet2!$B$1:$E$19,4,FALSE))+(F2352-1)</f>
        <v>3780218</v>
      </c>
    </row>
    <row r="2353" spans="1:13" s="1" customFormat="1" ht="15" customHeight="1" x14ac:dyDescent="0.25">
      <c r="A2353" s="28" t="s">
        <v>441</v>
      </c>
      <c r="B2353" s="28" t="s">
        <v>668</v>
      </c>
      <c r="C2353" s="6" t="s">
        <v>1649</v>
      </c>
      <c r="D2353" s="1" t="s">
        <v>454</v>
      </c>
      <c r="E2353" s="1">
        <v>2172</v>
      </c>
      <c r="F2353" s="28">
        <v>95</v>
      </c>
      <c r="G2353" s="9">
        <v>94</v>
      </c>
      <c r="H2353" s="1">
        <v>97</v>
      </c>
      <c r="I2353" s="1">
        <v>96</v>
      </c>
      <c r="J2353" t="str">
        <f t="shared" si="36"/>
        <v>http://www.badatelna.eu/reprodukce/?fondId=1073&amp;zaznamId=1108958&amp;reproId=3779836</v>
      </c>
      <c r="K2353">
        <f>IF(LEN(TRIM(E2353))=0,"",VLOOKUP(E2353,Sheet2!$B$1:$E$19,2,FALSE))</f>
        <v>1073</v>
      </c>
      <c r="L2353">
        <f>IF(LEN(TRIM(E2353))=0,"",VLOOKUP(E2353,Sheet2!$B$1:$E$19,3,FALSE))</f>
        <v>1108958</v>
      </c>
      <c r="M2353">
        <f>IF(LEN(TRIM(E2353))=0,"",VLOOKUP(E2353,Sheet2!$B$1:$E$19,4,FALSE))+(F2353-1)</f>
        <v>3779836</v>
      </c>
    </row>
    <row r="2354" spans="1:13" s="1" customFormat="1" ht="15" customHeight="1" x14ac:dyDescent="0.25">
      <c r="A2354" s="28" t="s">
        <v>441</v>
      </c>
      <c r="B2354" s="28" t="s">
        <v>927</v>
      </c>
      <c r="C2354" s="6" t="s">
        <v>1757</v>
      </c>
      <c r="D2354" s="1" t="s">
        <v>454</v>
      </c>
      <c r="E2354" s="1">
        <v>2172</v>
      </c>
      <c r="F2354" s="28">
        <v>135</v>
      </c>
      <c r="G2354" s="9" t="s">
        <v>3084</v>
      </c>
      <c r="H2354" s="1">
        <v>138</v>
      </c>
      <c r="I2354" s="1">
        <v>136</v>
      </c>
      <c r="J2354" t="str">
        <f t="shared" si="36"/>
        <v>http://www.badatelna.eu/reprodukce/?fondId=1073&amp;zaznamId=1108958&amp;reproId=3779876</v>
      </c>
      <c r="K2354">
        <f>IF(LEN(TRIM(E2354))=0,"",VLOOKUP(E2354,Sheet2!$B$1:$E$19,2,FALSE))</f>
        <v>1073</v>
      </c>
      <c r="L2354">
        <f>IF(LEN(TRIM(E2354))=0,"",VLOOKUP(E2354,Sheet2!$B$1:$E$19,3,FALSE))</f>
        <v>1108958</v>
      </c>
      <c r="M2354">
        <f>IF(LEN(TRIM(E2354))=0,"",VLOOKUP(E2354,Sheet2!$B$1:$E$19,4,FALSE))+(F2354-1)</f>
        <v>3779876</v>
      </c>
    </row>
    <row r="2355" spans="1:13" s="1" customFormat="1" ht="15" customHeight="1" x14ac:dyDescent="0.25">
      <c r="A2355" s="28" t="s">
        <v>441</v>
      </c>
      <c r="B2355" s="28" t="s">
        <v>3056</v>
      </c>
      <c r="C2355" s="1">
        <v>1864</v>
      </c>
      <c r="D2355" s="1" t="s">
        <v>2919</v>
      </c>
      <c r="E2355" s="1">
        <v>999</v>
      </c>
      <c r="F2355" s="28">
        <v>85</v>
      </c>
      <c r="G2355" s="1">
        <v>6</v>
      </c>
      <c r="H2355" s="1">
        <v>108</v>
      </c>
      <c r="I2355" s="1">
        <v>168</v>
      </c>
      <c r="J2355" t="str">
        <f t="shared" si="36"/>
        <v>http://www.badatelna.eu/reprodukce/?fondId=241&amp;zaznamId=1133739&amp;reproId=3885814</v>
      </c>
      <c r="K2355">
        <f>IF(LEN(TRIM(E2355))=0,"",VLOOKUP(E2355,Sheet2!$B$1:$E$19,2,FALSE))</f>
        <v>241</v>
      </c>
      <c r="L2355">
        <f>IF(LEN(TRIM(E2355))=0,"",VLOOKUP(E2355,Sheet2!$B$1:$E$19,3,FALSE))</f>
        <v>1133739</v>
      </c>
      <c r="M2355">
        <f>IF(LEN(TRIM(E2355))=0,"",VLOOKUP(E2355,Sheet2!$B$1:$E$19,4,FALSE))+(F2355-1)</f>
        <v>3885814</v>
      </c>
    </row>
    <row r="2356" spans="1:13" s="1" customFormat="1" ht="15" customHeight="1" x14ac:dyDescent="0.25">
      <c r="A2356" s="27" t="s">
        <v>441</v>
      </c>
      <c r="B2356" s="27" t="s">
        <v>617</v>
      </c>
      <c r="C2356" s="5" t="s">
        <v>1216</v>
      </c>
      <c r="D2356" s="3" t="s">
        <v>454</v>
      </c>
      <c r="E2356" s="3">
        <v>2170</v>
      </c>
      <c r="F2356" s="28">
        <v>10</v>
      </c>
      <c r="G2356" s="10">
        <v>6</v>
      </c>
      <c r="H2356" s="3">
        <v>70</v>
      </c>
      <c r="I2356" s="3">
        <v>66</v>
      </c>
      <c r="J2356" t="str">
        <f t="shared" si="36"/>
        <v>http://www.badatelna.eu/reprodukce/?fondId=1073&amp;zaznamId=1108956&amp;reproId=3779602</v>
      </c>
      <c r="K2356">
        <f>IF(LEN(TRIM(E2356))=0,"",VLOOKUP(E2356,Sheet2!$B$1:$E$19,2,FALSE))</f>
        <v>1073</v>
      </c>
      <c r="L2356">
        <f>IF(LEN(TRIM(E2356))=0,"",VLOOKUP(E2356,Sheet2!$B$1:$E$19,3,FALSE))</f>
        <v>1108956</v>
      </c>
      <c r="M2356">
        <f>IF(LEN(TRIM(E2356))=0,"",VLOOKUP(E2356,Sheet2!$B$1:$E$19,4,FALSE))+(F2356-1)</f>
        <v>3779602</v>
      </c>
    </row>
    <row r="2357" spans="1:13" s="1" customFormat="1" ht="15" customHeight="1" x14ac:dyDescent="0.25">
      <c r="A2357" s="28" t="s">
        <v>441</v>
      </c>
      <c r="B2357" s="28" t="s">
        <v>54</v>
      </c>
      <c r="C2357" s="1">
        <v>1855</v>
      </c>
      <c r="D2357" s="1" t="s">
        <v>2919</v>
      </c>
      <c r="E2357" s="1">
        <v>998</v>
      </c>
      <c r="F2357" s="28">
        <v>44</v>
      </c>
      <c r="G2357" s="1">
        <v>42</v>
      </c>
      <c r="H2357" s="1">
        <v>79</v>
      </c>
      <c r="I2357" s="1">
        <v>77</v>
      </c>
      <c r="J2357" t="str">
        <f t="shared" si="36"/>
        <v>http://www.badatelna.eu/reprodukce/?fondId=241&amp;zaznamId=1133738&amp;reproId=3885690</v>
      </c>
      <c r="K2357">
        <f>IF(LEN(TRIM(E2357))=0,"",VLOOKUP(E2357,Sheet2!$B$1:$E$19,2,FALSE))</f>
        <v>241</v>
      </c>
      <c r="L2357">
        <f>IF(LEN(TRIM(E2357))=0,"",VLOOKUP(E2357,Sheet2!$B$1:$E$19,3,FALSE))</f>
        <v>1133738</v>
      </c>
      <c r="M2357">
        <f>IF(LEN(TRIM(E2357))=0,"",VLOOKUP(E2357,Sheet2!$B$1:$E$19,4,FALSE))+(F2357-1)</f>
        <v>3885690</v>
      </c>
    </row>
    <row r="2358" spans="1:13" s="1" customFormat="1" ht="15" customHeight="1" x14ac:dyDescent="0.25">
      <c r="A2358" s="28" t="s">
        <v>441</v>
      </c>
      <c r="B2358" s="28" t="s">
        <v>91</v>
      </c>
      <c r="C2358" s="6" t="s">
        <v>1627</v>
      </c>
      <c r="D2358" s="1" t="s">
        <v>454</v>
      </c>
      <c r="E2358" s="1">
        <v>2172</v>
      </c>
      <c r="F2358" s="28">
        <v>87</v>
      </c>
      <c r="G2358" s="9">
        <v>86</v>
      </c>
      <c r="H2358" s="1">
        <v>90</v>
      </c>
      <c r="I2358" s="1">
        <v>89</v>
      </c>
      <c r="J2358" t="str">
        <f t="shared" si="36"/>
        <v>http://www.badatelna.eu/reprodukce/?fondId=1073&amp;zaznamId=1108958&amp;reproId=3779828</v>
      </c>
      <c r="K2358">
        <f>IF(LEN(TRIM(E2358))=0,"",VLOOKUP(E2358,Sheet2!$B$1:$E$19,2,FALSE))</f>
        <v>1073</v>
      </c>
      <c r="L2358">
        <f>IF(LEN(TRIM(E2358))=0,"",VLOOKUP(E2358,Sheet2!$B$1:$E$19,3,FALSE))</f>
        <v>1108958</v>
      </c>
      <c r="M2358">
        <f>IF(LEN(TRIM(E2358))=0,"",VLOOKUP(E2358,Sheet2!$B$1:$E$19,4,FALSE))+(F2358-1)</f>
        <v>3779828</v>
      </c>
    </row>
    <row r="2359" spans="1:13" s="1" customFormat="1" ht="15" customHeight="1" x14ac:dyDescent="0.25">
      <c r="A2359" s="28" t="s">
        <v>1026</v>
      </c>
      <c r="B2359" s="28" t="s">
        <v>1027</v>
      </c>
      <c r="C2359" s="6" t="s">
        <v>1917</v>
      </c>
      <c r="D2359" s="1" t="s">
        <v>454</v>
      </c>
      <c r="E2359" s="1">
        <v>2172</v>
      </c>
      <c r="F2359" s="28">
        <v>211</v>
      </c>
      <c r="G2359" s="9">
        <v>195</v>
      </c>
      <c r="H2359" s="1" t="s">
        <v>3073</v>
      </c>
      <c r="I2359" s="1" t="s">
        <v>3073</v>
      </c>
      <c r="J2359" t="str">
        <f t="shared" si="36"/>
        <v>http://www.badatelna.eu/reprodukce/?fondId=1073&amp;zaznamId=1108958&amp;reproId=3779952</v>
      </c>
      <c r="K2359">
        <f>IF(LEN(TRIM(E2359))=0,"",VLOOKUP(E2359,Sheet2!$B$1:$E$19,2,FALSE))</f>
        <v>1073</v>
      </c>
      <c r="L2359">
        <f>IF(LEN(TRIM(E2359))=0,"",VLOOKUP(E2359,Sheet2!$B$1:$E$19,3,FALSE))</f>
        <v>1108958</v>
      </c>
      <c r="M2359">
        <f>IF(LEN(TRIM(E2359))=0,"",VLOOKUP(E2359,Sheet2!$B$1:$E$19,4,FALSE))+(F2359-1)</f>
        <v>3779952</v>
      </c>
    </row>
    <row r="2360" spans="1:13" s="1" customFormat="1" ht="15" customHeight="1" x14ac:dyDescent="0.25">
      <c r="A2360" s="28" t="s">
        <v>1026</v>
      </c>
      <c r="B2360" s="28" t="s">
        <v>675</v>
      </c>
      <c r="C2360" s="15">
        <v>13094</v>
      </c>
      <c r="D2360" s="1" t="s">
        <v>454</v>
      </c>
      <c r="E2360" s="1">
        <v>2172</v>
      </c>
      <c r="F2360" s="28">
        <v>235</v>
      </c>
      <c r="G2360" s="9">
        <v>215</v>
      </c>
      <c r="H2360" s="1" t="s">
        <v>3073</v>
      </c>
      <c r="I2360" s="1" t="s">
        <v>3073</v>
      </c>
      <c r="J2360" t="str">
        <f t="shared" si="36"/>
        <v>http://www.badatelna.eu/reprodukce/?fondId=1073&amp;zaznamId=1108958&amp;reproId=3779976</v>
      </c>
      <c r="K2360">
        <f>IF(LEN(TRIM(E2360))=0,"",VLOOKUP(E2360,Sheet2!$B$1:$E$19,2,FALSE))</f>
        <v>1073</v>
      </c>
      <c r="L2360">
        <f>IF(LEN(TRIM(E2360))=0,"",VLOOKUP(E2360,Sheet2!$B$1:$E$19,3,FALSE))</f>
        <v>1108958</v>
      </c>
      <c r="M2360">
        <f>IF(LEN(TRIM(E2360))=0,"",VLOOKUP(E2360,Sheet2!$B$1:$E$19,4,FALSE))+(F2360-1)</f>
        <v>3779976</v>
      </c>
    </row>
    <row r="2361" spans="1:13" s="1" customFormat="1" ht="15" customHeight="1" x14ac:dyDescent="0.25">
      <c r="A2361" s="28" t="s">
        <v>1028</v>
      </c>
      <c r="B2361" s="29" t="s">
        <v>3008</v>
      </c>
      <c r="C2361" s="1">
        <v>1851</v>
      </c>
      <c r="D2361" s="1" t="s">
        <v>2919</v>
      </c>
      <c r="E2361" s="1">
        <v>998</v>
      </c>
      <c r="F2361" s="28">
        <v>33</v>
      </c>
      <c r="G2361" s="1">
        <v>31</v>
      </c>
      <c r="H2361" s="1">
        <v>78</v>
      </c>
      <c r="I2361" s="1">
        <v>76</v>
      </c>
      <c r="J2361" t="str">
        <f t="shared" si="36"/>
        <v>http://www.badatelna.eu/reprodukce/?fondId=241&amp;zaznamId=1133738&amp;reproId=3885679</v>
      </c>
      <c r="K2361">
        <f>IF(LEN(TRIM(E2361))=0,"",VLOOKUP(E2361,Sheet2!$B$1:$E$19,2,FALSE))</f>
        <v>241</v>
      </c>
      <c r="L2361">
        <f>IF(LEN(TRIM(E2361))=0,"",VLOOKUP(E2361,Sheet2!$B$1:$E$19,3,FALSE))</f>
        <v>1133738</v>
      </c>
      <c r="M2361">
        <f>IF(LEN(TRIM(E2361))=0,"",VLOOKUP(E2361,Sheet2!$B$1:$E$19,4,FALSE))+(F2361-1)</f>
        <v>3885679</v>
      </c>
    </row>
    <row r="2362" spans="1:13" s="1" customFormat="1" ht="15" customHeight="1" x14ac:dyDescent="0.25">
      <c r="A2362" s="28" t="s">
        <v>1028</v>
      </c>
      <c r="B2362" s="28" t="s">
        <v>33</v>
      </c>
      <c r="C2362" s="1">
        <v>1855</v>
      </c>
      <c r="D2362" s="1" t="s">
        <v>2919</v>
      </c>
      <c r="E2362" s="1">
        <v>998</v>
      </c>
      <c r="F2362" s="28">
        <v>47</v>
      </c>
      <c r="G2362" s="1">
        <v>45</v>
      </c>
      <c r="H2362" s="1">
        <v>79</v>
      </c>
      <c r="I2362" s="1">
        <v>77</v>
      </c>
      <c r="J2362" t="str">
        <f t="shared" si="36"/>
        <v>http://www.badatelna.eu/reprodukce/?fondId=241&amp;zaznamId=1133738&amp;reproId=3885693</v>
      </c>
      <c r="K2362">
        <f>IF(LEN(TRIM(E2362))=0,"",VLOOKUP(E2362,Sheet2!$B$1:$E$19,2,FALSE))</f>
        <v>241</v>
      </c>
      <c r="L2362">
        <f>IF(LEN(TRIM(E2362))=0,"",VLOOKUP(E2362,Sheet2!$B$1:$E$19,3,FALSE))</f>
        <v>1133738</v>
      </c>
      <c r="M2362">
        <f>IF(LEN(TRIM(E2362))=0,"",VLOOKUP(E2362,Sheet2!$B$1:$E$19,4,FALSE))+(F2362-1)</f>
        <v>3885693</v>
      </c>
    </row>
    <row r="2363" spans="1:13" s="1" customFormat="1" ht="15" customHeight="1" x14ac:dyDescent="0.25">
      <c r="A2363" s="28" t="s">
        <v>1028</v>
      </c>
      <c r="B2363" s="28" t="s">
        <v>954</v>
      </c>
      <c r="C2363" s="15">
        <v>4966</v>
      </c>
      <c r="D2363" s="1" t="s">
        <v>454</v>
      </c>
      <c r="E2363" s="1">
        <v>2172</v>
      </c>
      <c r="F2363" s="28">
        <v>183</v>
      </c>
      <c r="G2363" s="9">
        <v>174</v>
      </c>
      <c r="H2363" s="1" t="s">
        <v>3073</v>
      </c>
      <c r="I2363" s="1" t="s">
        <v>3073</v>
      </c>
      <c r="J2363" t="str">
        <f t="shared" si="36"/>
        <v>http://www.badatelna.eu/reprodukce/?fondId=1073&amp;zaznamId=1108958&amp;reproId=3779924</v>
      </c>
      <c r="K2363">
        <f>IF(LEN(TRIM(E2363))=0,"",VLOOKUP(E2363,Sheet2!$B$1:$E$19,2,FALSE))</f>
        <v>1073</v>
      </c>
      <c r="L2363">
        <f>IF(LEN(TRIM(E2363))=0,"",VLOOKUP(E2363,Sheet2!$B$1:$E$19,3,FALSE))</f>
        <v>1108958</v>
      </c>
      <c r="M2363">
        <f>IF(LEN(TRIM(E2363))=0,"",VLOOKUP(E2363,Sheet2!$B$1:$E$19,4,FALSE))+(F2363-1)</f>
        <v>3779924</v>
      </c>
    </row>
    <row r="2364" spans="1:13" s="1" customFormat="1" ht="15" customHeight="1" x14ac:dyDescent="0.25">
      <c r="A2364" s="28" t="s">
        <v>1028</v>
      </c>
      <c r="B2364" s="28" t="s">
        <v>435</v>
      </c>
      <c r="C2364" s="6" t="s">
        <v>1598</v>
      </c>
      <c r="D2364" s="1" t="s">
        <v>454</v>
      </c>
      <c r="E2364" s="1">
        <v>2172</v>
      </c>
      <c r="F2364" s="28">
        <v>65</v>
      </c>
      <c r="G2364" s="9">
        <v>64</v>
      </c>
      <c r="H2364" s="1" t="s">
        <v>3073</v>
      </c>
      <c r="I2364" s="1" t="s">
        <v>3073</v>
      </c>
      <c r="J2364" t="str">
        <f t="shared" si="36"/>
        <v>http://www.badatelna.eu/reprodukce/?fondId=1073&amp;zaznamId=1108958&amp;reproId=3779806</v>
      </c>
      <c r="K2364">
        <f>IF(LEN(TRIM(E2364))=0,"",VLOOKUP(E2364,Sheet2!$B$1:$E$19,2,FALSE))</f>
        <v>1073</v>
      </c>
      <c r="L2364">
        <f>IF(LEN(TRIM(E2364))=0,"",VLOOKUP(E2364,Sheet2!$B$1:$E$19,3,FALSE))</f>
        <v>1108958</v>
      </c>
      <c r="M2364">
        <f>IF(LEN(TRIM(E2364))=0,"",VLOOKUP(E2364,Sheet2!$B$1:$E$19,4,FALSE))+(F2364-1)</f>
        <v>3779806</v>
      </c>
    </row>
    <row r="2365" spans="1:13" s="1" customFormat="1" ht="15" customHeight="1" x14ac:dyDescent="0.25">
      <c r="A2365" s="28" t="s">
        <v>1028</v>
      </c>
      <c r="B2365" s="28" t="s">
        <v>155</v>
      </c>
      <c r="C2365" s="1">
        <v>1855</v>
      </c>
      <c r="D2365" s="1" t="s">
        <v>2919</v>
      </c>
      <c r="E2365" s="1">
        <v>998</v>
      </c>
      <c r="F2365" s="28">
        <v>44</v>
      </c>
      <c r="G2365" s="1">
        <v>42</v>
      </c>
      <c r="H2365" s="1">
        <v>79</v>
      </c>
      <c r="I2365" s="1">
        <v>77</v>
      </c>
      <c r="J2365" t="str">
        <f t="shared" si="36"/>
        <v>http://www.badatelna.eu/reprodukce/?fondId=241&amp;zaznamId=1133738&amp;reproId=3885690</v>
      </c>
      <c r="K2365">
        <f>IF(LEN(TRIM(E2365))=0,"",VLOOKUP(E2365,Sheet2!$B$1:$E$19,2,FALSE))</f>
        <v>241</v>
      </c>
      <c r="L2365">
        <f>IF(LEN(TRIM(E2365))=0,"",VLOOKUP(E2365,Sheet2!$B$1:$E$19,3,FALSE))</f>
        <v>1133738</v>
      </c>
      <c r="M2365">
        <f>IF(LEN(TRIM(E2365))=0,"",VLOOKUP(E2365,Sheet2!$B$1:$E$19,4,FALSE))+(F2365-1)</f>
        <v>3885690</v>
      </c>
    </row>
    <row r="2366" spans="1:13" s="1" customFormat="1" ht="15" customHeight="1" x14ac:dyDescent="0.25">
      <c r="A2366" s="28" t="s">
        <v>1028</v>
      </c>
      <c r="B2366" s="28" t="s">
        <v>498</v>
      </c>
      <c r="C2366" s="6" t="s">
        <v>1650</v>
      </c>
      <c r="D2366" s="1" t="s">
        <v>454</v>
      </c>
      <c r="E2366" s="1">
        <v>2172</v>
      </c>
      <c r="F2366" s="28">
        <v>94</v>
      </c>
      <c r="G2366" s="9">
        <v>93</v>
      </c>
      <c r="H2366" s="1">
        <v>97</v>
      </c>
      <c r="I2366" s="1">
        <v>96</v>
      </c>
      <c r="J2366" t="str">
        <f t="shared" si="36"/>
        <v>http://www.badatelna.eu/reprodukce/?fondId=1073&amp;zaznamId=1108958&amp;reproId=3779835</v>
      </c>
      <c r="K2366">
        <f>IF(LEN(TRIM(E2366))=0,"",VLOOKUP(E2366,Sheet2!$B$1:$E$19,2,FALSE))</f>
        <v>1073</v>
      </c>
      <c r="L2366">
        <f>IF(LEN(TRIM(E2366))=0,"",VLOOKUP(E2366,Sheet2!$B$1:$E$19,3,FALSE))</f>
        <v>1108958</v>
      </c>
      <c r="M2366">
        <f>IF(LEN(TRIM(E2366))=0,"",VLOOKUP(E2366,Sheet2!$B$1:$E$19,4,FALSE))+(F2366-1)</f>
        <v>3779835</v>
      </c>
    </row>
    <row r="2367" spans="1:13" s="1" customFormat="1" ht="15" customHeight="1" x14ac:dyDescent="0.25">
      <c r="A2367" s="28" t="s">
        <v>1028</v>
      </c>
      <c r="B2367" s="28" t="s">
        <v>665</v>
      </c>
      <c r="C2367" s="1">
        <v>1882</v>
      </c>
      <c r="D2367" s="1" t="s">
        <v>454</v>
      </c>
      <c r="E2367" s="1">
        <v>2172</v>
      </c>
      <c r="F2367" s="29">
        <v>27</v>
      </c>
      <c r="G2367" s="20" t="s">
        <v>2759</v>
      </c>
      <c r="H2367" s="1">
        <v>31</v>
      </c>
      <c r="I2367" s="1">
        <v>30</v>
      </c>
      <c r="J2367" t="str">
        <f t="shared" si="36"/>
        <v>http://www.badatelna.eu/reprodukce/?fondId=1073&amp;zaznamId=1108958&amp;reproId=3779768</v>
      </c>
      <c r="K2367">
        <f>IF(LEN(TRIM(E2367))=0,"",VLOOKUP(E2367,Sheet2!$B$1:$E$19,2,FALSE))</f>
        <v>1073</v>
      </c>
      <c r="L2367">
        <f>IF(LEN(TRIM(E2367))=0,"",VLOOKUP(E2367,Sheet2!$B$1:$E$19,3,FALSE))</f>
        <v>1108958</v>
      </c>
      <c r="M2367">
        <f>IF(LEN(TRIM(E2367))=0,"",VLOOKUP(E2367,Sheet2!$B$1:$E$19,4,FALSE))+(F2367-1)</f>
        <v>3779768</v>
      </c>
    </row>
    <row r="2368" spans="1:13" s="1" customFormat="1" ht="15" customHeight="1" x14ac:dyDescent="0.25">
      <c r="A2368" s="28" t="s">
        <v>1028</v>
      </c>
      <c r="B2368" s="28" t="s">
        <v>2933</v>
      </c>
      <c r="C2368" s="1">
        <v>1848</v>
      </c>
      <c r="D2368" s="1" t="s">
        <v>2919</v>
      </c>
      <c r="E2368" s="1">
        <v>998</v>
      </c>
      <c r="F2368" s="28">
        <v>13</v>
      </c>
      <c r="G2368" s="1">
        <v>11</v>
      </c>
      <c r="H2368" s="1">
        <v>78</v>
      </c>
      <c r="I2368" s="1">
        <v>76</v>
      </c>
      <c r="J2368" t="str">
        <f t="shared" si="36"/>
        <v>http://www.badatelna.eu/reprodukce/?fondId=241&amp;zaznamId=1133738&amp;reproId=3885659</v>
      </c>
      <c r="K2368">
        <f>IF(LEN(TRIM(E2368))=0,"",VLOOKUP(E2368,Sheet2!$B$1:$E$19,2,FALSE))</f>
        <v>241</v>
      </c>
      <c r="L2368">
        <f>IF(LEN(TRIM(E2368))=0,"",VLOOKUP(E2368,Sheet2!$B$1:$E$19,3,FALSE))</f>
        <v>1133738</v>
      </c>
      <c r="M2368">
        <f>IF(LEN(TRIM(E2368))=0,"",VLOOKUP(E2368,Sheet2!$B$1:$E$19,4,FALSE))+(F2368-1)</f>
        <v>3885659</v>
      </c>
    </row>
    <row r="2369" spans="1:13" s="1" customFormat="1" ht="15" customHeight="1" x14ac:dyDescent="0.25">
      <c r="A2369" s="28" t="s">
        <v>1028</v>
      </c>
      <c r="B2369" s="28" t="s">
        <v>84</v>
      </c>
      <c r="C2369" s="1">
        <v>1883</v>
      </c>
      <c r="D2369" s="1" t="s">
        <v>454</v>
      </c>
      <c r="E2369" s="1">
        <v>2172</v>
      </c>
      <c r="F2369" s="28">
        <v>35</v>
      </c>
      <c r="G2369" s="9">
        <v>34</v>
      </c>
      <c r="H2369" s="1">
        <v>37</v>
      </c>
      <c r="I2369" s="1">
        <v>36</v>
      </c>
      <c r="J2369" t="str">
        <f t="shared" si="36"/>
        <v>http://www.badatelna.eu/reprodukce/?fondId=1073&amp;zaznamId=1108958&amp;reproId=3779776</v>
      </c>
      <c r="K2369">
        <f>IF(LEN(TRIM(E2369))=0,"",VLOOKUP(E2369,Sheet2!$B$1:$E$19,2,FALSE))</f>
        <v>1073</v>
      </c>
      <c r="L2369">
        <f>IF(LEN(TRIM(E2369))=0,"",VLOOKUP(E2369,Sheet2!$B$1:$E$19,3,FALSE))</f>
        <v>1108958</v>
      </c>
      <c r="M2369">
        <f>IF(LEN(TRIM(E2369))=0,"",VLOOKUP(E2369,Sheet2!$B$1:$E$19,4,FALSE))+(F2369-1)</f>
        <v>3779776</v>
      </c>
    </row>
    <row r="2370" spans="1:13" s="1" customFormat="1" ht="15" customHeight="1" x14ac:dyDescent="0.25">
      <c r="A2370" s="28" t="s">
        <v>1028</v>
      </c>
      <c r="B2370" s="28" t="s">
        <v>340</v>
      </c>
      <c r="C2370" s="1">
        <v>1854</v>
      </c>
      <c r="D2370" s="1" t="s">
        <v>2919</v>
      </c>
      <c r="E2370" s="1">
        <v>998</v>
      </c>
      <c r="F2370" s="28">
        <v>40</v>
      </c>
      <c r="G2370" s="1">
        <v>38</v>
      </c>
      <c r="H2370" s="1">
        <v>78</v>
      </c>
      <c r="I2370" s="1">
        <v>76</v>
      </c>
      <c r="J2370" t="str">
        <f t="shared" si="36"/>
        <v>http://www.badatelna.eu/reprodukce/?fondId=241&amp;zaznamId=1133738&amp;reproId=3885686</v>
      </c>
      <c r="K2370">
        <f>IF(LEN(TRIM(E2370))=0,"",VLOOKUP(E2370,Sheet2!$B$1:$E$19,2,FALSE))</f>
        <v>241</v>
      </c>
      <c r="L2370">
        <f>IF(LEN(TRIM(E2370))=0,"",VLOOKUP(E2370,Sheet2!$B$1:$E$19,3,FALSE))</f>
        <v>1133738</v>
      </c>
      <c r="M2370">
        <f>IF(LEN(TRIM(E2370))=0,"",VLOOKUP(E2370,Sheet2!$B$1:$E$19,4,FALSE))+(F2370-1)</f>
        <v>3885686</v>
      </c>
    </row>
    <row r="2371" spans="1:13" s="1" customFormat="1" ht="15" customHeight="1" x14ac:dyDescent="0.25">
      <c r="A2371" s="28" t="s">
        <v>1028</v>
      </c>
      <c r="B2371" s="28" t="s">
        <v>512</v>
      </c>
      <c r="C2371" s="1">
        <v>1857</v>
      </c>
      <c r="D2371" s="1" t="s">
        <v>2919</v>
      </c>
      <c r="E2371" s="1">
        <v>998</v>
      </c>
      <c r="F2371" s="28">
        <v>52</v>
      </c>
      <c r="G2371" s="1">
        <v>50</v>
      </c>
      <c r="H2371" s="1">
        <v>79</v>
      </c>
      <c r="I2371" s="1">
        <v>77</v>
      </c>
      <c r="J2371" t="str">
        <f t="shared" ref="J2371:J2434" si="37">IF(LEN(TRIM(E2371))=0,"","http://www.badatelna.eu/reprodukce/?fondId="&amp;K2371&amp;"&amp;zaznamId="&amp;L2371&amp;"&amp;reproId="&amp;M2371)</f>
        <v>http://www.badatelna.eu/reprodukce/?fondId=241&amp;zaznamId=1133738&amp;reproId=3885698</v>
      </c>
      <c r="K2371">
        <f>IF(LEN(TRIM(E2371))=0,"",VLOOKUP(E2371,Sheet2!$B$1:$E$19,2,FALSE))</f>
        <v>241</v>
      </c>
      <c r="L2371">
        <f>IF(LEN(TRIM(E2371))=0,"",VLOOKUP(E2371,Sheet2!$B$1:$E$19,3,FALSE))</f>
        <v>1133738</v>
      </c>
      <c r="M2371">
        <f>IF(LEN(TRIM(E2371))=0,"",VLOOKUP(E2371,Sheet2!$B$1:$E$19,4,FALSE))+(F2371-1)</f>
        <v>3885698</v>
      </c>
    </row>
    <row r="2372" spans="1:13" s="1" customFormat="1" ht="15" customHeight="1" x14ac:dyDescent="0.25">
      <c r="A2372" s="28" t="s">
        <v>1028</v>
      </c>
      <c r="B2372" s="28" t="s">
        <v>74</v>
      </c>
      <c r="C2372" s="1">
        <v>1852</v>
      </c>
      <c r="D2372" s="1" t="s">
        <v>2919</v>
      </c>
      <c r="E2372" s="1">
        <v>998</v>
      </c>
      <c r="F2372" s="28">
        <v>34</v>
      </c>
      <c r="G2372" s="1">
        <v>32</v>
      </c>
      <c r="H2372" s="1">
        <v>78</v>
      </c>
      <c r="I2372" s="1">
        <v>76</v>
      </c>
      <c r="J2372" t="str">
        <f t="shared" si="37"/>
        <v>http://www.badatelna.eu/reprodukce/?fondId=241&amp;zaznamId=1133738&amp;reproId=3885680</v>
      </c>
      <c r="K2372">
        <f>IF(LEN(TRIM(E2372))=0,"",VLOOKUP(E2372,Sheet2!$B$1:$E$19,2,FALSE))</f>
        <v>241</v>
      </c>
      <c r="L2372">
        <f>IF(LEN(TRIM(E2372))=0,"",VLOOKUP(E2372,Sheet2!$B$1:$E$19,3,FALSE))</f>
        <v>1133738</v>
      </c>
      <c r="M2372">
        <f>IF(LEN(TRIM(E2372))=0,"",VLOOKUP(E2372,Sheet2!$B$1:$E$19,4,FALSE))+(F2372-1)</f>
        <v>3885680</v>
      </c>
    </row>
    <row r="2373" spans="1:13" s="1" customFormat="1" ht="15" customHeight="1" x14ac:dyDescent="0.25">
      <c r="A2373" s="28" t="s">
        <v>1028</v>
      </c>
      <c r="B2373" s="28" t="s">
        <v>784</v>
      </c>
      <c r="C2373" s="6" t="s">
        <v>1725</v>
      </c>
      <c r="D2373" s="1" t="s">
        <v>454</v>
      </c>
      <c r="E2373" s="1">
        <v>2172</v>
      </c>
      <c r="F2373" s="28">
        <v>122</v>
      </c>
      <c r="G2373" s="9">
        <v>121</v>
      </c>
      <c r="H2373" s="1">
        <v>124</v>
      </c>
      <c r="I2373" s="1">
        <v>123</v>
      </c>
      <c r="J2373" t="str">
        <f t="shared" si="37"/>
        <v>http://www.badatelna.eu/reprodukce/?fondId=1073&amp;zaznamId=1108958&amp;reproId=3779863</v>
      </c>
      <c r="K2373">
        <f>IF(LEN(TRIM(E2373))=0,"",VLOOKUP(E2373,Sheet2!$B$1:$E$19,2,FALSE))</f>
        <v>1073</v>
      </c>
      <c r="L2373">
        <f>IF(LEN(TRIM(E2373))=0,"",VLOOKUP(E2373,Sheet2!$B$1:$E$19,3,FALSE))</f>
        <v>1108958</v>
      </c>
      <c r="M2373">
        <f>IF(LEN(TRIM(E2373))=0,"",VLOOKUP(E2373,Sheet2!$B$1:$E$19,4,FALSE))+(F2373-1)</f>
        <v>3779863</v>
      </c>
    </row>
    <row r="2374" spans="1:13" s="1" customFormat="1" ht="15" customHeight="1" x14ac:dyDescent="0.25">
      <c r="A2374" s="29" t="s">
        <v>1028</v>
      </c>
      <c r="B2374" s="28" t="s">
        <v>249</v>
      </c>
      <c r="C2374" s="1">
        <v>1850</v>
      </c>
      <c r="D2374" s="1" t="s">
        <v>2919</v>
      </c>
      <c r="E2374" s="1">
        <v>998</v>
      </c>
      <c r="F2374" s="28">
        <v>30</v>
      </c>
      <c r="G2374" s="1">
        <v>28</v>
      </c>
      <c r="H2374" s="1">
        <v>78</v>
      </c>
      <c r="I2374" s="1">
        <v>76</v>
      </c>
      <c r="J2374" t="str">
        <f t="shared" si="37"/>
        <v>http://www.badatelna.eu/reprodukce/?fondId=241&amp;zaznamId=1133738&amp;reproId=3885676</v>
      </c>
      <c r="K2374">
        <f>IF(LEN(TRIM(E2374))=0,"",VLOOKUP(E2374,Sheet2!$B$1:$E$19,2,FALSE))</f>
        <v>241</v>
      </c>
      <c r="L2374">
        <f>IF(LEN(TRIM(E2374))=0,"",VLOOKUP(E2374,Sheet2!$B$1:$E$19,3,FALSE))</f>
        <v>1133738</v>
      </c>
      <c r="M2374">
        <f>IF(LEN(TRIM(E2374))=0,"",VLOOKUP(E2374,Sheet2!$B$1:$E$19,4,FALSE))+(F2374-1)</f>
        <v>3885676</v>
      </c>
    </row>
    <row r="2375" spans="1:13" s="1" customFormat="1" ht="15" customHeight="1" x14ac:dyDescent="0.25">
      <c r="A2375" s="28" t="s">
        <v>1028</v>
      </c>
      <c r="B2375" s="28" t="s">
        <v>314</v>
      </c>
      <c r="C2375" s="1">
        <v>1885</v>
      </c>
      <c r="D2375" s="1" t="s">
        <v>454</v>
      </c>
      <c r="E2375" s="1">
        <v>2172</v>
      </c>
      <c r="F2375" s="28">
        <v>46</v>
      </c>
      <c r="G2375" s="9">
        <v>45</v>
      </c>
      <c r="H2375" s="1">
        <v>49</v>
      </c>
      <c r="I2375" s="1">
        <v>50</v>
      </c>
      <c r="J2375" t="str">
        <f t="shared" si="37"/>
        <v>http://www.badatelna.eu/reprodukce/?fondId=1073&amp;zaznamId=1108958&amp;reproId=3779787</v>
      </c>
      <c r="K2375">
        <f>IF(LEN(TRIM(E2375))=0,"",VLOOKUP(E2375,Sheet2!$B$1:$E$19,2,FALSE))</f>
        <v>1073</v>
      </c>
      <c r="L2375">
        <f>IF(LEN(TRIM(E2375))=0,"",VLOOKUP(E2375,Sheet2!$B$1:$E$19,3,FALSE))</f>
        <v>1108958</v>
      </c>
      <c r="M2375">
        <f>IF(LEN(TRIM(E2375))=0,"",VLOOKUP(E2375,Sheet2!$B$1:$E$19,4,FALSE))+(F2375-1)</f>
        <v>3779787</v>
      </c>
    </row>
    <row r="2376" spans="1:13" s="1" customFormat="1" ht="15" customHeight="1" x14ac:dyDescent="0.25">
      <c r="A2376" s="28" t="s">
        <v>1028</v>
      </c>
      <c r="B2376" s="29" t="s">
        <v>3011</v>
      </c>
      <c r="C2376" s="1">
        <v>1854</v>
      </c>
      <c r="D2376" s="1" t="s">
        <v>2919</v>
      </c>
      <c r="E2376" s="1">
        <v>998</v>
      </c>
      <c r="F2376" s="28">
        <v>42</v>
      </c>
      <c r="G2376" s="1">
        <v>40</v>
      </c>
      <c r="H2376" s="1">
        <v>78</v>
      </c>
      <c r="I2376" s="1">
        <v>76</v>
      </c>
      <c r="J2376" t="str">
        <f t="shared" si="37"/>
        <v>http://www.badatelna.eu/reprodukce/?fondId=241&amp;zaznamId=1133738&amp;reproId=3885688</v>
      </c>
      <c r="K2376">
        <f>IF(LEN(TRIM(E2376))=0,"",VLOOKUP(E2376,Sheet2!$B$1:$E$19,2,FALSE))</f>
        <v>241</v>
      </c>
      <c r="L2376">
        <f>IF(LEN(TRIM(E2376))=0,"",VLOOKUP(E2376,Sheet2!$B$1:$E$19,3,FALSE))</f>
        <v>1133738</v>
      </c>
      <c r="M2376">
        <f>IF(LEN(TRIM(E2376))=0,"",VLOOKUP(E2376,Sheet2!$B$1:$E$19,4,FALSE))+(F2376-1)</f>
        <v>3885688</v>
      </c>
    </row>
    <row r="2377" spans="1:13" s="1" customFormat="1" ht="15" customHeight="1" x14ac:dyDescent="0.25">
      <c r="A2377" s="28" t="s">
        <v>1028</v>
      </c>
      <c r="B2377" s="28" t="s">
        <v>2953</v>
      </c>
      <c r="C2377" s="1">
        <v>1848</v>
      </c>
      <c r="D2377" s="1" t="s">
        <v>2919</v>
      </c>
      <c r="E2377" s="1">
        <v>998</v>
      </c>
      <c r="F2377" s="28">
        <v>16</v>
      </c>
      <c r="G2377" s="1">
        <v>14</v>
      </c>
      <c r="H2377" s="1">
        <v>78</v>
      </c>
      <c r="I2377" s="1">
        <v>76</v>
      </c>
      <c r="J2377" t="str">
        <f t="shared" si="37"/>
        <v>http://www.badatelna.eu/reprodukce/?fondId=241&amp;zaznamId=1133738&amp;reproId=3885662</v>
      </c>
      <c r="K2377">
        <f>IF(LEN(TRIM(E2377))=0,"",VLOOKUP(E2377,Sheet2!$B$1:$E$19,2,FALSE))</f>
        <v>241</v>
      </c>
      <c r="L2377">
        <f>IF(LEN(TRIM(E2377))=0,"",VLOOKUP(E2377,Sheet2!$B$1:$E$19,3,FALSE))</f>
        <v>1133738</v>
      </c>
      <c r="M2377">
        <f>IF(LEN(TRIM(E2377))=0,"",VLOOKUP(E2377,Sheet2!$B$1:$E$19,4,FALSE))+(F2377-1)</f>
        <v>3885662</v>
      </c>
    </row>
    <row r="2378" spans="1:13" s="1" customFormat="1" ht="15" customHeight="1" x14ac:dyDescent="0.25">
      <c r="A2378" s="28" t="s">
        <v>1028</v>
      </c>
      <c r="B2378" s="28" t="s">
        <v>483</v>
      </c>
      <c r="C2378" s="1">
        <v>1851</v>
      </c>
      <c r="D2378" s="1" t="s">
        <v>2919</v>
      </c>
      <c r="E2378" s="1">
        <v>998</v>
      </c>
      <c r="F2378" s="28">
        <v>32</v>
      </c>
      <c r="G2378" s="1">
        <v>30</v>
      </c>
      <c r="H2378" s="1">
        <v>78</v>
      </c>
      <c r="I2378" s="1">
        <v>76</v>
      </c>
      <c r="J2378" t="str">
        <f t="shared" si="37"/>
        <v>http://www.badatelna.eu/reprodukce/?fondId=241&amp;zaznamId=1133738&amp;reproId=3885678</v>
      </c>
      <c r="K2378">
        <f>IF(LEN(TRIM(E2378))=0,"",VLOOKUP(E2378,Sheet2!$B$1:$E$19,2,FALSE))</f>
        <v>241</v>
      </c>
      <c r="L2378">
        <f>IF(LEN(TRIM(E2378))=0,"",VLOOKUP(E2378,Sheet2!$B$1:$E$19,3,FALSE))</f>
        <v>1133738</v>
      </c>
      <c r="M2378">
        <f>IF(LEN(TRIM(E2378))=0,"",VLOOKUP(E2378,Sheet2!$B$1:$E$19,4,FALSE))+(F2378-1)</f>
        <v>3885678</v>
      </c>
    </row>
    <row r="2379" spans="1:13" s="1" customFormat="1" ht="15" customHeight="1" x14ac:dyDescent="0.25">
      <c r="A2379" s="28" t="s">
        <v>1028</v>
      </c>
      <c r="B2379" s="28" t="s">
        <v>483</v>
      </c>
      <c r="C2379" s="1">
        <v>1854</v>
      </c>
      <c r="D2379" s="1" t="s">
        <v>2919</v>
      </c>
      <c r="E2379" s="1">
        <v>998</v>
      </c>
      <c r="F2379" s="28">
        <v>39</v>
      </c>
      <c r="G2379" s="1">
        <v>37</v>
      </c>
      <c r="H2379" s="1">
        <v>78</v>
      </c>
      <c r="I2379" s="1">
        <v>76</v>
      </c>
      <c r="J2379" t="str">
        <f t="shared" si="37"/>
        <v>http://www.badatelna.eu/reprodukce/?fondId=241&amp;zaznamId=1133738&amp;reproId=3885685</v>
      </c>
      <c r="K2379">
        <f>IF(LEN(TRIM(E2379))=0,"",VLOOKUP(E2379,Sheet2!$B$1:$E$19,2,FALSE))</f>
        <v>241</v>
      </c>
      <c r="L2379">
        <f>IF(LEN(TRIM(E2379))=0,"",VLOOKUP(E2379,Sheet2!$B$1:$E$19,3,FALSE))</f>
        <v>1133738</v>
      </c>
      <c r="M2379">
        <f>IF(LEN(TRIM(E2379))=0,"",VLOOKUP(E2379,Sheet2!$B$1:$E$19,4,FALSE))+(F2379-1)</f>
        <v>3885685</v>
      </c>
    </row>
    <row r="2380" spans="1:13" s="1" customFormat="1" ht="15" customHeight="1" x14ac:dyDescent="0.25">
      <c r="A2380" s="28" t="s">
        <v>1028</v>
      </c>
      <c r="B2380" s="28" t="s">
        <v>7</v>
      </c>
      <c r="C2380" s="1">
        <v>1851</v>
      </c>
      <c r="D2380" s="1" t="s">
        <v>2919</v>
      </c>
      <c r="E2380" s="1">
        <v>998</v>
      </c>
      <c r="F2380" s="28">
        <v>33</v>
      </c>
      <c r="G2380" s="1">
        <v>31</v>
      </c>
      <c r="H2380" s="1">
        <v>78</v>
      </c>
      <c r="I2380" s="1">
        <v>76</v>
      </c>
      <c r="J2380" t="str">
        <f t="shared" si="37"/>
        <v>http://www.badatelna.eu/reprodukce/?fondId=241&amp;zaznamId=1133738&amp;reproId=3885679</v>
      </c>
      <c r="K2380">
        <f>IF(LEN(TRIM(E2380))=0,"",VLOOKUP(E2380,Sheet2!$B$1:$E$19,2,FALSE))</f>
        <v>241</v>
      </c>
      <c r="L2380">
        <f>IF(LEN(TRIM(E2380))=0,"",VLOOKUP(E2380,Sheet2!$B$1:$E$19,3,FALSE))</f>
        <v>1133738</v>
      </c>
      <c r="M2380">
        <f>IF(LEN(TRIM(E2380))=0,"",VLOOKUP(E2380,Sheet2!$B$1:$E$19,4,FALSE))+(F2380-1)</f>
        <v>3885679</v>
      </c>
    </row>
    <row r="2381" spans="1:13" s="1" customFormat="1" ht="15" customHeight="1" x14ac:dyDescent="0.25">
      <c r="A2381" s="28" t="s">
        <v>1028</v>
      </c>
      <c r="B2381" s="28" t="s">
        <v>645</v>
      </c>
      <c r="C2381" s="1">
        <v>1855</v>
      </c>
      <c r="D2381" s="1" t="s">
        <v>2919</v>
      </c>
      <c r="E2381" s="1">
        <v>998</v>
      </c>
      <c r="F2381" s="28">
        <v>47</v>
      </c>
      <c r="G2381" s="1">
        <v>45</v>
      </c>
      <c r="H2381" s="1">
        <v>79</v>
      </c>
      <c r="I2381" s="1">
        <v>77</v>
      </c>
      <c r="J2381" t="str">
        <f t="shared" si="37"/>
        <v>http://www.badatelna.eu/reprodukce/?fondId=241&amp;zaznamId=1133738&amp;reproId=3885693</v>
      </c>
      <c r="K2381">
        <f>IF(LEN(TRIM(E2381))=0,"",VLOOKUP(E2381,Sheet2!$B$1:$E$19,2,FALSE))</f>
        <v>241</v>
      </c>
      <c r="L2381">
        <f>IF(LEN(TRIM(E2381))=0,"",VLOOKUP(E2381,Sheet2!$B$1:$E$19,3,FALSE))</f>
        <v>1133738</v>
      </c>
      <c r="M2381">
        <f>IF(LEN(TRIM(E2381))=0,"",VLOOKUP(E2381,Sheet2!$B$1:$E$19,4,FALSE))+(F2381-1)</f>
        <v>3885693</v>
      </c>
    </row>
    <row r="2382" spans="1:13" s="1" customFormat="1" ht="15" customHeight="1" x14ac:dyDescent="0.25">
      <c r="A2382" s="28" t="s">
        <v>89</v>
      </c>
      <c r="B2382" s="28" t="s">
        <v>2844</v>
      </c>
      <c r="C2382" s="6" t="s">
        <v>2845</v>
      </c>
      <c r="D2382" s="1" t="s">
        <v>454</v>
      </c>
      <c r="E2382" s="1">
        <v>2173</v>
      </c>
      <c r="F2382" s="28">
        <v>209</v>
      </c>
      <c r="G2382" s="9" t="s">
        <v>2757</v>
      </c>
      <c r="H2382" s="1" t="s">
        <v>3073</v>
      </c>
      <c r="I2382" s="1" t="s">
        <v>3073</v>
      </c>
      <c r="J2382" t="str">
        <f t="shared" si="37"/>
        <v>http://www.badatelna.eu/reprodukce/?fondId=1073&amp;zaznamId=1108959&amp;reproId=3780202</v>
      </c>
      <c r="K2382">
        <f>IF(LEN(TRIM(E2382))=0,"",VLOOKUP(E2382,Sheet2!$B$1:$E$19,2,FALSE))</f>
        <v>1073</v>
      </c>
      <c r="L2382">
        <f>IF(LEN(TRIM(E2382))=0,"",VLOOKUP(E2382,Sheet2!$B$1:$E$19,3,FALSE))</f>
        <v>1108959</v>
      </c>
      <c r="M2382">
        <f>IF(LEN(TRIM(E2382))=0,"",VLOOKUP(E2382,Sheet2!$B$1:$E$19,4,FALSE))+(F2382-1)</f>
        <v>3780202</v>
      </c>
    </row>
    <row r="2383" spans="1:13" s="1" customFormat="1" ht="15" customHeight="1" x14ac:dyDescent="0.25">
      <c r="A2383" s="28" t="s">
        <v>89</v>
      </c>
      <c r="B2383" s="28" t="s">
        <v>40</v>
      </c>
      <c r="C2383" s="1">
        <v>1847</v>
      </c>
      <c r="D2383" s="1" t="s">
        <v>2919</v>
      </c>
      <c r="E2383" s="1">
        <v>998</v>
      </c>
      <c r="F2383" s="28">
        <v>5</v>
      </c>
      <c r="G2383" s="1">
        <v>3</v>
      </c>
      <c r="H2383" s="1">
        <v>78</v>
      </c>
      <c r="I2383" s="1">
        <v>76</v>
      </c>
      <c r="J2383" t="str">
        <f t="shared" si="37"/>
        <v>http://www.badatelna.eu/reprodukce/?fondId=241&amp;zaznamId=1133738&amp;reproId=3885651</v>
      </c>
      <c r="K2383">
        <f>IF(LEN(TRIM(E2383))=0,"",VLOOKUP(E2383,Sheet2!$B$1:$E$19,2,FALSE))</f>
        <v>241</v>
      </c>
      <c r="L2383">
        <f>IF(LEN(TRIM(E2383))=0,"",VLOOKUP(E2383,Sheet2!$B$1:$E$19,3,FALSE))</f>
        <v>1133738</v>
      </c>
      <c r="M2383">
        <f>IF(LEN(TRIM(E2383))=0,"",VLOOKUP(E2383,Sheet2!$B$1:$E$19,4,FALSE))+(F2383-1)</f>
        <v>3885651</v>
      </c>
    </row>
    <row r="2384" spans="1:13" s="1" customFormat="1" ht="15" customHeight="1" x14ac:dyDescent="0.25">
      <c r="A2384" s="27" t="s">
        <v>89</v>
      </c>
      <c r="B2384" s="27" t="s">
        <v>618</v>
      </c>
      <c r="C2384" s="5" t="s">
        <v>1423</v>
      </c>
      <c r="D2384" s="3" t="s">
        <v>454</v>
      </c>
      <c r="E2384" s="3">
        <v>2170</v>
      </c>
      <c r="F2384" s="31">
        <v>46</v>
      </c>
      <c r="G2384" s="10">
        <v>42</v>
      </c>
      <c r="H2384" s="3">
        <v>71</v>
      </c>
      <c r="I2384" s="3">
        <v>67</v>
      </c>
      <c r="J2384" t="str">
        <f t="shared" si="37"/>
        <v>http://www.badatelna.eu/reprodukce/?fondId=1073&amp;zaznamId=1108956&amp;reproId=3779638</v>
      </c>
      <c r="K2384">
        <f>IF(LEN(TRIM(E2384))=0,"",VLOOKUP(E2384,Sheet2!$B$1:$E$19,2,FALSE))</f>
        <v>1073</v>
      </c>
      <c r="L2384">
        <f>IF(LEN(TRIM(E2384))=0,"",VLOOKUP(E2384,Sheet2!$B$1:$E$19,3,FALSE))</f>
        <v>1108956</v>
      </c>
      <c r="M2384">
        <f>IF(LEN(TRIM(E2384))=0,"",VLOOKUP(E2384,Sheet2!$B$1:$E$19,4,FALSE))+(F2384-1)</f>
        <v>3779638</v>
      </c>
    </row>
    <row r="2385" spans="1:13" s="1" customFormat="1" ht="15" customHeight="1" x14ac:dyDescent="0.25">
      <c r="A2385" s="28" t="s">
        <v>89</v>
      </c>
      <c r="B2385" s="28" t="s">
        <v>90</v>
      </c>
      <c r="C2385" s="6" t="s">
        <v>2303</v>
      </c>
      <c r="D2385" s="1" t="s">
        <v>454</v>
      </c>
      <c r="E2385" s="1">
        <v>2173</v>
      </c>
      <c r="F2385" s="28">
        <v>198</v>
      </c>
      <c r="G2385" s="9">
        <v>5</v>
      </c>
      <c r="H2385" s="1" t="s">
        <v>3073</v>
      </c>
      <c r="I2385" s="1" t="s">
        <v>3073</v>
      </c>
      <c r="J2385" t="str">
        <f t="shared" si="37"/>
        <v>http://www.badatelna.eu/reprodukce/?fondId=1073&amp;zaznamId=1108959&amp;reproId=3780191</v>
      </c>
      <c r="K2385">
        <f>IF(LEN(TRIM(E2385))=0,"",VLOOKUP(E2385,Sheet2!$B$1:$E$19,2,FALSE))</f>
        <v>1073</v>
      </c>
      <c r="L2385">
        <f>IF(LEN(TRIM(E2385))=0,"",VLOOKUP(E2385,Sheet2!$B$1:$E$19,3,FALSE))</f>
        <v>1108959</v>
      </c>
      <c r="M2385">
        <f>IF(LEN(TRIM(E2385))=0,"",VLOOKUP(E2385,Sheet2!$B$1:$E$19,4,FALSE))+(F2385-1)</f>
        <v>3780191</v>
      </c>
    </row>
    <row r="2386" spans="1:13" s="1" customFormat="1" ht="15" customHeight="1" x14ac:dyDescent="0.25">
      <c r="A2386" s="28" t="s">
        <v>89</v>
      </c>
      <c r="B2386" s="28" t="s">
        <v>18</v>
      </c>
      <c r="C2386" s="1">
        <v>1866</v>
      </c>
      <c r="D2386" s="1" t="s">
        <v>2919</v>
      </c>
      <c r="E2386" s="1">
        <v>999</v>
      </c>
      <c r="F2386" s="28">
        <v>91</v>
      </c>
      <c r="G2386" s="1">
        <v>12</v>
      </c>
      <c r="H2386" s="1">
        <v>108</v>
      </c>
      <c r="I2386" s="1">
        <v>168</v>
      </c>
      <c r="J2386" t="str">
        <f t="shared" si="37"/>
        <v>http://www.badatelna.eu/reprodukce/?fondId=241&amp;zaznamId=1133739&amp;reproId=3885820</v>
      </c>
      <c r="K2386">
        <f>IF(LEN(TRIM(E2386))=0,"",VLOOKUP(E2386,Sheet2!$B$1:$E$19,2,FALSE))</f>
        <v>241</v>
      </c>
      <c r="L2386">
        <f>IF(LEN(TRIM(E2386))=0,"",VLOOKUP(E2386,Sheet2!$B$1:$E$19,3,FALSE))</f>
        <v>1133739</v>
      </c>
      <c r="M2386">
        <f>IF(LEN(TRIM(E2386))=0,"",VLOOKUP(E2386,Sheet2!$B$1:$E$19,4,FALSE))+(F2386-1)</f>
        <v>3885820</v>
      </c>
    </row>
    <row r="2387" spans="1:13" s="1" customFormat="1" ht="15" customHeight="1" x14ac:dyDescent="0.25">
      <c r="A2387" s="28" t="s">
        <v>89</v>
      </c>
      <c r="B2387" s="28" t="s">
        <v>18</v>
      </c>
      <c r="C2387" s="6" t="s">
        <v>2125</v>
      </c>
      <c r="D2387" s="1" t="s">
        <v>454</v>
      </c>
      <c r="E2387" s="1">
        <v>2173</v>
      </c>
      <c r="F2387" s="28">
        <v>182</v>
      </c>
      <c r="G2387" s="9">
        <v>10</v>
      </c>
      <c r="H2387" s="1">
        <v>192</v>
      </c>
      <c r="I2387" s="1">
        <v>426</v>
      </c>
      <c r="J2387" t="str">
        <f t="shared" si="37"/>
        <v>http://www.badatelna.eu/reprodukce/?fondId=1073&amp;zaznamId=1108959&amp;reproId=3780175</v>
      </c>
      <c r="K2387">
        <f>IF(LEN(TRIM(E2387))=0,"",VLOOKUP(E2387,Sheet2!$B$1:$E$19,2,FALSE))</f>
        <v>1073</v>
      </c>
      <c r="L2387">
        <f>IF(LEN(TRIM(E2387))=0,"",VLOOKUP(E2387,Sheet2!$B$1:$E$19,3,FALSE))</f>
        <v>1108959</v>
      </c>
      <c r="M2387">
        <f>IF(LEN(TRIM(E2387))=0,"",VLOOKUP(E2387,Sheet2!$B$1:$E$19,4,FALSE))+(F2387-1)</f>
        <v>3780175</v>
      </c>
    </row>
    <row r="2388" spans="1:13" s="1" customFormat="1" ht="15" customHeight="1" x14ac:dyDescent="0.25">
      <c r="A2388" s="27" t="s">
        <v>89</v>
      </c>
      <c r="B2388" s="27" t="s">
        <v>18</v>
      </c>
      <c r="C2388" s="5" t="s">
        <v>1375</v>
      </c>
      <c r="D2388" s="3" t="s">
        <v>454</v>
      </c>
      <c r="E2388" s="3">
        <v>2170</v>
      </c>
      <c r="F2388" s="31">
        <v>18</v>
      </c>
      <c r="G2388" s="10">
        <v>14</v>
      </c>
      <c r="H2388" s="3">
        <v>70</v>
      </c>
      <c r="I2388" s="3">
        <v>66</v>
      </c>
      <c r="J2388" t="str">
        <f t="shared" si="37"/>
        <v>http://www.badatelna.eu/reprodukce/?fondId=1073&amp;zaznamId=1108956&amp;reproId=3779610</v>
      </c>
      <c r="K2388">
        <f>IF(LEN(TRIM(E2388))=0,"",VLOOKUP(E2388,Sheet2!$B$1:$E$19,2,FALSE))</f>
        <v>1073</v>
      </c>
      <c r="L2388">
        <f>IF(LEN(TRIM(E2388))=0,"",VLOOKUP(E2388,Sheet2!$B$1:$E$19,3,FALSE))</f>
        <v>1108956</v>
      </c>
      <c r="M2388">
        <f>IF(LEN(TRIM(E2388))=0,"",VLOOKUP(E2388,Sheet2!$B$1:$E$19,4,FALSE))+(F2388-1)</f>
        <v>3779610</v>
      </c>
    </row>
    <row r="2389" spans="1:13" s="1" customFormat="1" ht="15" customHeight="1" x14ac:dyDescent="0.25">
      <c r="A2389" s="28" t="s">
        <v>89</v>
      </c>
      <c r="B2389" s="28" t="s">
        <v>18</v>
      </c>
      <c r="C2389" s="6" t="s">
        <v>2901</v>
      </c>
      <c r="D2389" s="1" t="s">
        <v>454</v>
      </c>
      <c r="E2389" s="1">
        <v>2173</v>
      </c>
      <c r="F2389" s="28">
        <v>212</v>
      </c>
      <c r="G2389" s="9" t="s">
        <v>2761</v>
      </c>
      <c r="H2389" s="1" t="s">
        <v>3073</v>
      </c>
      <c r="I2389" s="1" t="s">
        <v>3073</v>
      </c>
      <c r="J2389" t="str">
        <f t="shared" si="37"/>
        <v>http://www.badatelna.eu/reprodukce/?fondId=1073&amp;zaznamId=1108959&amp;reproId=3780205</v>
      </c>
      <c r="K2389">
        <f>IF(LEN(TRIM(E2389))=0,"",VLOOKUP(E2389,Sheet2!$B$1:$E$19,2,FALSE))</f>
        <v>1073</v>
      </c>
      <c r="L2389">
        <f>IF(LEN(TRIM(E2389))=0,"",VLOOKUP(E2389,Sheet2!$B$1:$E$19,3,FALSE))</f>
        <v>1108959</v>
      </c>
      <c r="M2389">
        <f>IF(LEN(TRIM(E2389))=0,"",VLOOKUP(E2389,Sheet2!$B$1:$E$19,4,FALSE))+(F2389-1)</f>
        <v>3780205</v>
      </c>
    </row>
    <row r="2390" spans="1:13" s="1" customFormat="1" ht="15" customHeight="1" x14ac:dyDescent="0.25">
      <c r="A2390" s="28" t="s">
        <v>89</v>
      </c>
      <c r="B2390" s="28" t="s">
        <v>19</v>
      </c>
      <c r="C2390" s="6" t="s">
        <v>2842</v>
      </c>
      <c r="D2390" s="1" t="s">
        <v>454</v>
      </c>
      <c r="E2390" s="1">
        <v>2173</v>
      </c>
      <c r="F2390" s="28">
        <v>209</v>
      </c>
      <c r="G2390" s="9" t="s">
        <v>2757</v>
      </c>
      <c r="H2390" s="1" t="s">
        <v>3073</v>
      </c>
      <c r="I2390" s="1" t="s">
        <v>3073</v>
      </c>
      <c r="J2390" t="str">
        <f t="shared" si="37"/>
        <v>http://www.badatelna.eu/reprodukce/?fondId=1073&amp;zaznamId=1108959&amp;reproId=3780202</v>
      </c>
      <c r="K2390">
        <f>IF(LEN(TRIM(E2390))=0,"",VLOOKUP(E2390,Sheet2!$B$1:$E$19,2,FALSE))</f>
        <v>1073</v>
      </c>
      <c r="L2390">
        <f>IF(LEN(TRIM(E2390))=0,"",VLOOKUP(E2390,Sheet2!$B$1:$E$19,3,FALSE))</f>
        <v>1108959</v>
      </c>
      <c r="M2390">
        <f>IF(LEN(TRIM(E2390))=0,"",VLOOKUP(E2390,Sheet2!$B$1:$E$19,4,FALSE))+(F2390-1)</f>
        <v>3780202</v>
      </c>
    </row>
    <row r="2391" spans="1:13" s="1" customFormat="1" ht="15" customHeight="1" x14ac:dyDescent="0.25">
      <c r="A2391" s="28" t="s">
        <v>89</v>
      </c>
      <c r="B2391" s="28" t="s">
        <v>393</v>
      </c>
      <c r="C2391" s="6" t="s">
        <v>2581</v>
      </c>
      <c r="D2391" s="1" t="s">
        <v>454</v>
      </c>
      <c r="E2391" s="1">
        <v>2173</v>
      </c>
      <c r="F2391" s="28">
        <v>214</v>
      </c>
      <c r="G2391" s="9">
        <v>38</v>
      </c>
      <c r="H2391" s="1" t="s">
        <v>3073</v>
      </c>
      <c r="I2391" s="1" t="s">
        <v>3073</v>
      </c>
      <c r="J2391" t="str">
        <f t="shared" si="37"/>
        <v>http://www.badatelna.eu/reprodukce/?fondId=1073&amp;zaznamId=1108959&amp;reproId=3780207</v>
      </c>
      <c r="K2391">
        <f>IF(LEN(TRIM(E2391))=0,"",VLOOKUP(E2391,Sheet2!$B$1:$E$19,2,FALSE))</f>
        <v>1073</v>
      </c>
      <c r="L2391">
        <f>IF(LEN(TRIM(E2391))=0,"",VLOOKUP(E2391,Sheet2!$B$1:$E$19,3,FALSE))</f>
        <v>1108959</v>
      </c>
      <c r="M2391">
        <f>IF(LEN(TRIM(E2391))=0,"",VLOOKUP(E2391,Sheet2!$B$1:$E$19,4,FALSE))+(F2391-1)</f>
        <v>3780207</v>
      </c>
    </row>
    <row r="2392" spans="1:13" s="1" customFormat="1" ht="15" customHeight="1" x14ac:dyDescent="0.25">
      <c r="A2392" s="27" t="s">
        <v>89</v>
      </c>
      <c r="B2392" s="27" t="s">
        <v>619</v>
      </c>
      <c r="C2392" s="5" t="s">
        <v>1421</v>
      </c>
      <c r="D2392" s="3" t="s">
        <v>454</v>
      </c>
      <c r="E2392" s="3">
        <v>2170</v>
      </c>
      <c r="F2392" s="28">
        <v>35</v>
      </c>
      <c r="G2392" s="10">
        <v>31</v>
      </c>
      <c r="H2392" s="3">
        <v>71</v>
      </c>
      <c r="I2392" s="3">
        <v>67</v>
      </c>
      <c r="J2392" t="str">
        <f t="shared" si="37"/>
        <v>http://www.badatelna.eu/reprodukce/?fondId=1073&amp;zaznamId=1108956&amp;reproId=3779627</v>
      </c>
      <c r="K2392">
        <f>IF(LEN(TRIM(E2392))=0,"",VLOOKUP(E2392,Sheet2!$B$1:$E$19,2,FALSE))</f>
        <v>1073</v>
      </c>
      <c r="L2392">
        <f>IF(LEN(TRIM(E2392))=0,"",VLOOKUP(E2392,Sheet2!$B$1:$E$19,3,FALSE))</f>
        <v>1108956</v>
      </c>
      <c r="M2392">
        <f>IF(LEN(TRIM(E2392))=0,"",VLOOKUP(E2392,Sheet2!$B$1:$E$19,4,FALSE))+(F2392-1)</f>
        <v>3779627</v>
      </c>
    </row>
    <row r="2393" spans="1:13" s="1" customFormat="1" ht="15" customHeight="1" x14ac:dyDescent="0.25">
      <c r="A2393" s="27" t="s">
        <v>89</v>
      </c>
      <c r="B2393" s="27" t="s">
        <v>198</v>
      </c>
      <c r="C2393" s="5" t="s">
        <v>1422</v>
      </c>
      <c r="D2393" s="3" t="s">
        <v>454</v>
      </c>
      <c r="E2393" s="3">
        <v>2170</v>
      </c>
      <c r="F2393" s="28">
        <v>59</v>
      </c>
      <c r="G2393" s="10">
        <v>55</v>
      </c>
      <c r="H2393" s="3">
        <v>71</v>
      </c>
      <c r="I2393" s="3">
        <v>67</v>
      </c>
      <c r="J2393" t="str">
        <f t="shared" si="37"/>
        <v>http://www.badatelna.eu/reprodukce/?fondId=1073&amp;zaznamId=1108956&amp;reproId=3779651</v>
      </c>
      <c r="K2393">
        <f>IF(LEN(TRIM(E2393))=0,"",VLOOKUP(E2393,Sheet2!$B$1:$E$19,2,FALSE))</f>
        <v>1073</v>
      </c>
      <c r="L2393">
        <f>IF(LEN(TRIM(E2393))=0,"",VLOOKUP(E2393,Sheet2!$B$1:$E$19,3,FALSE))</f>
        <v>1108956</v>
      </c>
      <c r="M2393">
        <f>IF(LEN(TRIM(E2393))=0,"",VLOOKUP(E2393,Sheet2!$B$1:$E$19,4,FALSE))+(F2393-1)</f>
        <v>3779651</v>
      </c>
    </row>
    <row r="2394" spans="1:13" s="1" customFormat="1" ht="15" customHeight="1" x14ac:dyDescent="0.25">
      <c r="A2394" s="28" t="s">
        <v>89</v>
      </c>
      <c r="B2394" s="28" t="s">
        <v>481</v>
      </c>
      <c r="C2394" s="6" t="s">
        <v>2013</v>
      </c>
      <c r="D2394" s="1" t="s">
        <v>454</v>
      </c>
      <c r="E2394" s="1">
        <v>2173</v>
      </c>
      <c r="F2394" s="28">
        <v>212</v>
      </c>
      <c r="G2394" s="9" t="s">
        <v>2761</v>
      </c>
      <c r="H2394" s="1" t="s">
        <v>3073</v>
      </c>
      <c r="I2394" s="1" t="s">
        <v>3073</v>
      </c>
      <c r="J2394" t="str">
        <f t="shared" si="37"/>
        <v>http://www.badatelna.eu/reprodukce/?fondId=1073&amp;zaznamId=1108959&amp;reproId=3780205</v>
      </c>
      <c r="K2394">
        <f>IF(LEN(TRIM(E2394))=0,"",VLOOKUP(E2394,Sheet2!$B$1:$E$19,2,FALSE))</f>
        <v>1073</v>
      </c>
      <c r="L2394">
        <f>IF(LEN(TRIM(E2394))=0,"",VLOOKUP(E2394,Sheet2!$B$1:$E$19,3,FALSE))</f>
        <v>1108959</v>
      </c>
      <c r="M2394">
        <f>IF(LEN(TRIM(E2394))=0,"",VLOOKUP(E2394,Sheet2!$B$1:$E$19,4,FALSE))+(F2394-1)</f>
        <v>3780205</v>
      </c>
    </row>
    <row r="2395" spans="1:13" s="1" customFormat="1" ht="15" customHeight="1" x14ac:dyDescent="0.25">
      <c r="A2395" s="27" t="s">
        <v>89</v>
      </c>
      <c r="B2395" s="27" t="s">
        <v>481</v>
      </c>
      <c r="C2395" s="5" t="s">
        <v>1424</v>
      </c>
      <c r="D2395" s="3" t="s">
        <v>454</v>
      </c>
      <c r="E2395" s="3">
        <v>2170</v>
      </c>
      <c r="F2395" s="28">
        <v>50</v>
      </c>
      <c r="G2395" s="10">
        <v>46</v>
      </c>
      <c r="H2395" s="3">
        <v>71</v>
      </c>
      <c r="I2395" s="3">
        <v>67</v>
      </c>
      <c r="J2395" t="str">
        <f t="shared" si="37"/>
        <v>http://www.badatelna.eu/reprodukce/?fondId=1073&amp;zaznamId=1108956&amp;reproId=3779642</v>
      </c>
      <c r="K2395">
        <f>IF(LEN(TRIM(E2395))=0,"",VLOOKUP(E2395,Sheet2!$B$1:$E$19,2,FALSE))</f>
        <v>1073</v>
      </c>
      <c r="L2395">
        <f>IF(LEN(TRIM(E2395))=0,"",VLOOKUP(E2395,Sheet2!$B$1:$E$19,3,FALSE))</f>
        <v>1108956</v>
      </c>
      <c r="M2395">
        <f>IF(LEN(TRIM(E2395))=0,"",VLOOKUP(E2395,Sheet2!$B$1:$E$19,4,FALSE))+(F2395-1)</f>
        <v>3779642</v>
      </c>
    </row>
    <row r="2396" spans="1:13" s="1" customFormat="1" ht="15" customHeight="1" x14ac:dyDescent="0.25">
      <c r="A2396" s="28" t="s">
        <v>89</v>
      </c>
      <c r="B2396" s="28" t="s">
        <v>74</v>
      </c>
      <c r="C2396" s="6" t="s">
        <v>2595</v>
      </c>
      <c r="D2396" s="1" t="s">
        <v>454</v>
      </c>
      <c r="E2396" s="1">
        <v>2173</v>
      </c>
      <c r="F2396" s="28">
        <v>216</v>
      </c>
      <c r="G2396" s="9">
        <v>41</v>
      </c>
      <c r="H2396" s="1" t="s">
        <v>3073</v>
      </c>
      <c r="I2396" s="1" t="s">
        <v>3073</v>
      </c>
      <c r="J2396" t="str">
        <f t="shared" si="37"/>
        <v>http://www.badatelna.eu/reprodukce/?fondId=1073&amp;zaznamId=1108959&amp;reproId=3780209</v>
      </c>
      <c r="K2396">
        <f>IF(LEN(TRIM(E2396))=0,"",VLOOKUP(E2396,Sheet2!$B$1:$E$19,2,FALSE))</f>
        <v>1073</v>
      </c>
      <c r="L2396">
        <f>IF(LEN(TRIM(E2396))=0,"",VLOOKUP(E2396,Sheet2!$B$1:$E$19,3,FALSE))</f>
        <v>1108959</v>
      </c>
      <c r="M2396">
        <f>IF(LEN(TRIM(E2396))=0,"",VLOOKUP(E2396,Sheet2!$B$1:$E$19,4,FALSE))+(F2396-1)</f>
        <v>3780209</v>
      </c>
    </row>
    <row r="2397" spans="1:13" s="1" customFormat="1" ht="15" customHeight="1" x14ac:dyDescent="0.25">
      <c r="A2397" s="28" t="s">
        <v>89</v>
      </c>
      <c r="B2397" s="28" t="s">
        <v>656</v>
      </c>
      <c r="C2397" s="6" t="s">
        <v>1685</v>
      </c>
      <c r="D2397" s="1" t="s">
        <v>454</v>
      </c>
      <c r="E2397" s="1">
        <v>2172</v>
      </c>
      <c r="F2397" s="28">
        <v>108</v>
      </c>
      <c r="G2397" s="9">
        <v>107</v>
      </c>
      <c r="H2397" s="1">
        <v>110</v>
      </c>
      <c r="I2397" s="1">
        <v>109</v>
      </c>
      <c r="J2397" t="str">
        <f t="shared" si="37"/>
        <v>http://www.badatelna.eu/reprodukce/?fondId=1073&amp;zaznamId=1108958&amp;reproId=3779849</v>
      </c>
      <c r="K2397">
        <f>IF(LEN(TRIM(E2397))=0,"",VLOOKUP(E2397,Sheet2!$B$1:$E$19,2,FALSE))</f>
        <v>1073</v>
      </c>
      <c r="L2397">
        <f>IF(LEN(TRIM(E2397))=0,"",VLOOKUP(E2397,Sheet2!$B$1:$E$19,3,FALSE))</f>
        <v>1108958</v>
      </c>
      <c r="M2397">
        <f>IF(LEN(TRIM(E2397))=0,"",VLOOKUP(E2397,Sheet2!$B$1:$E$19,4,FALSE))+(F2397-1)</f>
        <v>3779849</v>
      </c>
    </row>
    <row r="2398" spans="1:13" s="1" customFormat="1" ht="15" customHeight="1" x14ac:dyDescent="0.25">
      <c r="A2398" s="28" t="s">
        <v>89</v>
      </c>
      <c r="B2398" s="28" t="s">
        <v>48</v>
      </c>
      <c r="C2398" s="6" t="s">
        <v>2182</v>
      </c>
      <c r="D2398" s="1" t="s">
        <v>454</v>
      </c>
      <c r="E2398" s="1">
        <v>2173</v>
      </c>
      <c r="F2398" s="28">
        <v>180</v>
      </c>
      <c r="G2398" s="9">
        <v>6</v>
      </c>
      <c r="H2398" s="1">
        <v>192</v>
      </c>
      <c r="I2398" s="1">
        <v>426</v>
      </c>
      <c r="J2398" t="str">
        <f t="shared" si="37"/>
        <v>http://www.badatelna.eu/reprodukce/?fondId=1073&amp;zaznamId=1108959&amp;reproId=3780173</v>
      </c>
      <c r="K2398">
        <f>IF(LEN(TRIM(E2398))=0,"",VLOOKUP(E2398,Sheet2!$B$1:$E$19,2,FALSE))</f>
        <v>1073</v>
      </c>
      <c r="L2398">
        <f>IF(LEN(TRIM(E2398))=0,"",VLOOKUP(E2398,Sheet2!$B$1:$E$19,3,FALSE))</f>
        <v>1108959</v>
      </c>
      <c r="M2398">
        <f>IF(LEN(TRIM(E2398))=0,"",VLOOKUP(E2398,Sheet2!$B$1:$E$19,4,FALSE))+(F2398-1)</f>
        <v>3780173</v>
      </c>
    </row>
    <row r="2399" spans="1:13" s="1" customFormat="1" ht="15" customHeight="1" x14ac:dyDescent="0.25">
      <c r="A2399" s="28" t="s">
        <v>89</v>
      </c>
      <c r="B2399" s="28" t="s">
        <v>328</v>
      </c>
      <c r="C2399" s="1">
        <v>1847</v>
      </c>
      <c r="D2399" s="1" t="s">
        <v>2919</v>
      </c>
      <c r="E2399" s="1">
        <v>998</v>
      </c>
      <c r="F2399" s="28">
        <v>8</v>
      </c>
      <c r="G2399" s="1">
        <v>6</v>
      </c>
      <c r="H2399" s="1">
        <v>78</v>
      </c>
      <c r="I2399" s="1">
        <v>76</v>
      </c>
      <c r="J2399" t="str">
        <f t="shared" si="37"/>
        <v>http://www.badatelna.eu/reprodukce/?fondId=241&amp;zaznamId=1133738&amp;reproId=3885654</v>
      </c>
      <c r="K2399">
        <f>IF(LEN(TRIM(E2399))=0,"",VLOOKUP(E2399,Sheet2!$B$1:$E$19,2,FALSE))</f>
        <v>241</v>
      </c>
      <c r="L2399">
        <f>IF(LEN(TRIM(E2399))=0,"",VLOOKUP(E2399,Sheet2!$B$1:$E$19,3,FALSE))</f>
        <v>1133738</v>
      </c>
      <c r="M2399">
        <f>IF(LEN(TRIM(E2399))=0,"",VLOOKUP(E2399,Sheet2!$B$1:$E$19,4,FALSE))+(F2399-1)</f>
        <v>3885654</v>
      </c>
    </row>
    <row r="2400" spans="1:13" s="1" customFormat="1" ht="15" customHeight="1" x14ac:dyDescent="0.25">
      <c r="A2400" s="28" t="s">
        <v>89</v>
      </c>
      <c r="B2400" s="28" t="s">
        <v>306</v>
      </c>
      <c r="C2400" s="6" t="s">
        <v>1863</v>
      </c>
      <c r="D2400" s="1" t="s">
        <v>454</v>
      </c>
      <c r="E2400" s="1">
        <v>2172</v>
      </c>
      <c r="F2400" s="28">
        <v>187</v>
      </c>
      <c r="G2400" s="9">
        <v>177</v>
      </c>
      <c r="H2400" s="1" t="s">
        <v>3073</v>
      </c>
      <c r="I2400" s="1" t="s">
        <v>3073</v>
      </c>
      <c r="J2400" t="str">
        <f t="shared" si="37"/>
        <v>http://www.badatelna.eu/reprodukce/?fondId=1073&amp;zaznamId=1108958&amp;reproId=3779928</v>
      </c>
      <c r="K2400">
        <f>IF(LEN(TRIM(E2400))=0,"",VLOOKUP(E2400,Sheet2!$B$1:$E$19,2,FALSE))</f>
        <v>1073</v>
      </c>
      <c r="L2400">
        <f>IF(LEN(TRIM(E2400))=0,"",VLOOKUP(E2400,Sheet2!$B$1:$E$19,3,FALSE))</f>
        <v>1108958</v>
      </c>
      <c r="M2400">
        <f>IF(LEN(TRIM(E2400))=0,"",VLOOKUP(E2400,Sheet2!$B$1:$E$19,4,FALSE))+(F2400-1)</f>
        <v>3779928</v>
      </c>
    </row>
    <row r="2401" spans="1:13" s="1" customFormat="1" ht="15" customHeight="1" x14ac:dyDescent="0.25">
      <c r="A2401" s="28" t="s">
        <v>89</v>
      </c>
      <c r="B2401" s="28" t="s">
        <v>657</v>
      </c>
      <c r="C2401" s="6" t="s">
        <v>1581</v>
      </c>
      <c r="D2401" s="1" t="s">
        <v>454</v>
      </c>
      <c r="E2401" s="1">
        <v>2172</v>
      </c>
      <c r="F2401" s="28">
        <v>22</v>
      </c>
      <c r="G2401" s="9">
        <v>21</v>
      </c>
      <c r="H2401" s="1">
        <v>25</v>
      </c>
      <c r="I2401" s="1">
        <v>24</v>
      </c>
      <c r="J2401" t="str">
        <f t="shared" si="37"/>
        <v>http://www.badatelna.eu/reprodukce/?fondId=1073&amp;zaznamId=1108958&amp;reproId=3779763</v>
      </c>
      <c r="K2401">
        <f>IF(LEN(TRIM(E2401))=0,"",VLOOKUP(E2401,Sheet2!$B$1:$E$19,2,FALSE))</f>
        <v>1073</v>
      </c>
      <c r="L2401">
        <f>IF(LEN(TRIM(E2401))=0,"",VLOOKUP(E2401,Sheet2!$B$1:$E$19,3,FALSE))</f>
        <v>1108958</v>
      </c>
      <c r="M2401">
        <f>IF(LEN(TRIM(E2401))=0,"",VLOOKUP(E2401,Sheet2!$B$1:$E$19,4,FALSE))+(F2401-1)</f>
        <v>3779763</v>
      </c>
    </row>
    <row r="2402" spans="1:13" s="1" customFormat="1" ht="15" customHeight="1" x14ac:dyDescent="0.25">
      <c r="A2402" s="28" t="s">
        <v>658</v>
      </c>
      <c r="B2402" s="28" t="s">
        <v>314</v>
      </c>
      <c r="C2402" s="6" t="s">
        <v>1686</v>
      </c>
      <c r="D2402" s="1" t="s">
        <v>454</v>
      </c>
      <c r="E2402" s="1">
        <v>2172</v>
      </c>
      <c r="F2402" s="28">
        <v>106</v>
      </c>
      <c r="G2402" s="9" t="s">
        <v>2768</v>
      </c>
      <c r="H2402" s="1">
        <v>110</v>
      </c>
      <c r="I2402" s="1">
        <v>109</v>
      </c>
      <c r="J2402" t="str">
        <f t="shared" si="37"/>
        <v>http://www.badatelna.eu/reprodukce/?fondId=1073&amp;zaznamId=1108958&amp;reproId=3779847</v>
      </c>
      <c r="K2402">
        <f>IF(LEN(TRIM(E2402))=0,"",VLOOKUP(E2402,Sheet2!$B$1:$E$19,2,FALSE))</f>
        <v>1073</v>
      </c>
      <c r="L2402">
        <f>IF(LEN(TRIM(E2402))=0,"",VLOOKUP(E2402,Sheet2!$B$1:$E$19,3,FALSE))</f>
        <v>1108958</v>
      </c>
      <c r="M2402">
        <f>IF(LEN(TRIM(E2402))=0,"",VLOOKUP(E2402,Sheet2!$B$1:$E$19,4,FALSE))+(F2402-1)</f>
        <v>3779847</v>
      </c>
    </row>
    <row r="2403" spans="1:13" s="1" customFormat="1" ht="15" customHeight="1" x14ac:dyDescent="0.25">
      <c r="A2403" s="28" t="s">
        <v>659</v>
      </c>
      <c r="B2403" s="28" t="s">
        <v>660</v>
      </c>
      <c r="C2403" s="6" t="s">
        <v>1918</v>
      </c>
      <c r="D2403" s="1" t="s">
        <v>454</v>
      </c>
      <c r="E2403" s="1">
        <v>2172</v>
      </c>
      <c r="F2403" s="28">
        <v>211</v>
      </c>
      <c r="G2403" s="9">
        <v>195</v>
      </c>
      <c r="H2403" s="1" t="s">
        <v>3073</v>
      </c>
      <c r="I2403" s="1" t="s">
        <v>3073</v>
      </c>
      <c r="J2403" t="str">
        <f t="shared" si="37"/>
        <v>http://www.badatelna.eu/reprodukce/?fondId=1073&amp;zaznamId=1108958&amp;reproId=3779952</v>
      </c>
      <c r="K2403">
        <f>IF(LEN(TRIM(E2403))=0,"",VLOOKUP(E2403,Sheet2!$B$1:$E$19,2,FALSE))</f>
        <v>1073</v>
      </c>
      <c r="L2403">
        <f>IF(LEN(TRIM(E2403))=0,"",VLOOKUP(E2403,Sheet2!$B$1:$E$19,3,FALSE))</f>
        <v>1108958</v>
      </c>
      <c r="M2403">
        <f>IF(LEN(TRIM(E2403))=0,"",VLOOKUP(E2403,Sheet2!$B$1:$E$19,4,FALSE))+(F2403-1)</f>
        <v>3779952</v>
      </c>
    </row>
    <row r="2404" spans="1:13" s="1" customFormat="1" ht="15" customHeight="1" x14ac:dyDescent="0.25">
      <c r="A2404" s="28" t="s">
        <v>659</v>
      </c>
      <c r="B2404" s="28" t="s">
        <v>586</v>
      </c>
      <c r="C2404" s="15">
        <v>13396</v>
      </c>
      <c r="D2404" s="1" t="s">
        <v>454</v>
      </c>
      <c r="E2404" s="1">
        <v>2172</v>
      </c>
      <c r="F2404" s="28">
        <v>237</v>
      </c>
      <c r="G2404" s="9">
        <v>217</v>
      </c>
      <c r="H2404" s="1" t="s">
        <v>3073</v>
      </c>
      <c r="I2404" s="1" t="s">
        <v>3073</v>
      </c>
      <c r="J2404" t="str">
        <f t="shared" si="37"/>
        <v>http://www.badatelna.eu/reprodukce/?fondId=1073&amp;zaznamId=1108958&amp;reproId=3779978</v>
      </c>
      <c r="K2404">
        <f>IF(LEN(TRIM(E2404))=0,"",VLOOKUP(E2404,Sheet2!$B$1:$E$19,2,FALSE))</f>
        <v>1073</v>
      </c>
      <c r="L2404">
        <f>IF(LEN(TRIM(E2404))=0,"",VLOOKUP(E2404,Sheet2!$B$1:$E$19,3,FALSE))</f>
        <v>1108958</v>
      </c>
      <c r="M2404">
        <f>IF(LEN(TRIM(E2404))=0,"",VLOOKUP(E2404,Sheet2!$B$1:$E$19,4,FALSE))+(F2404-1)</f>
        <v>3779978</v>
      </c>
    </row>
    <row r="2405" spans="1:13" s="1" customFormat="1" ht="15" customHeight="1" x14ac:dyDescent="0.25">
      <c r="A2405" s="28" t="s">
        <v>661</v>
      </c>
      <c r="B2405" s="28" t="s">
        <v>274</v>
      </c>
      <c r="C2405" s="6" t="s">
        <v>1516</v>
      </c>
      <c r="D2405" s="1" t="s">
        <v>454</v>
      </c>
      <c r="E2405" s="1">
        <v>2172</v>
      </c>
      <c r="F2405" s="28">
        <v>11</v>
      </c>
      <c r="G2405" s="9">
        <v>10</v>
      </c>
      <c r="H2405" s="1" t="s">
        <v>3073</v>
      </c>
      <c r="I2405" s="1" t="s">
        <v>3073</v>
      </c>
      <c r="J2405" t="str">
        <f t="shared" si="37"/>
        <v>http://www.badatelna.eu/reprodukce/?fondId=1073&amp;zaznamId=1108958&amp;reproId=3779752</v>
      </c>
      <c r="K2405">
        <f>IF(LEN(TRIM(E2405))=0,"",VLOOKUP(E2405,Sheet2!$B$1:$E$19,2,FALSE))</f>
        <v>1073</v>
      </c>
      <c r="L2405">
        <f>IF(LEN(TRIM(E2405))=0,"",VLOOKUP(E2405,Sheet2!$B$1:$E$19,3,FALSE))</f>
        <v>1108958</v>
      </c>
      <c r="M2405">
        <f>IF(LEN(TRIM(E2405))=0,"",VLOOKUP(E2405,Sheet2!$B$1:$E$19,4,FALSE))+(F2405-1)</f>
        <v>3779752</v>
      </c>
    </row>
    <row r="2406" spans="1:13" s="1" customFormat="1" ht="15" customHeight="1" x14ac:dyDescent="0.25">
      <c r="A2406" s="28" t="s">
        <v>47</v>
      </c>
      <c r="B2406" s="28" t="s">
        <v>40</v>
      </c>
      <c r="C2406" s="6" t="s">
        <v>2865</v>
      </c>
      <c r="D2406" s="1" t="s">
        <v>454</v>
      </c>
      <c r="E2406" s="1">
        <v>2173</v>
      </c>
      <c r="F2406" s="28">
        <v>210</v>
      </c>
      <c r="G2406" s="9" t="s">
        <v>2863</v>
      </c>
      <c r="H2406" s="1" t="s">
        <v>3073</v>
      </c>
      <c r="I2406" s="1" t="s">
        <v>3073</v>
      </c>
      <c r="J2406" t="str">
        <f t="shared" si="37"/>
        <v>http://www.badatelna.eu/reprodukce/?fondId=1073&amp;zaznamId=1108959&amp;reproId=3780203</v>
      </c>
      <c r="K2406">
        <f>IF(LEN(TRIM(E2406))=0,"",VLOOKUP(E2406,Sheet2!$B$1:$E$19,2,FALSE))</f>
        <v>1073</v>
      </c>
      <c r="L2406">
        <f>IF(LEN(TRIM(E2406))=0,"",VLOOKUP(E2406,Sheet2!$B$1:$E$19,3,FALSE))</f>
        <v>1108959</v>
      </c>
      <c r="M2406">
        <f>IF(LEN(TRIM(E2406))=0,"",VLOOKUP(E2406,Sheet2!$B$1:$E$19,4,FALSE))+(F2406-1)</f>
        <v>3780203</v>
      </c>
    </row>
    <row r="2407" spans="1:13" s="1" customFormat="1" ht="15" customHeight="1" x14ac:dyDescent="0.25">
      <c r="A2407" s="28" t="s">
        <v>47</v>
      </c>
      <c r="B2407" s="28" t="s">
        <v>74</v>
      </c>
      <c r="C2407" s="6" t="s">
        <v>2266</v>
      </c>
      <c r="D2407" s="1" t="s">
        <v>454</v>
      </c>
      <c r="E2407" s="1">
        <v>2173</v>
      </c>
      <c r="F2407" s="31">
        <v>197</v>
      </c>
      <c r="G2407" s="34" t="s">
        <v>3096</v>
      </c>
      <c r="H2407" s="1" t="s">
        <v>3073</v>
      </c>
      <c r="I2407" s="1" t="s">
        <v>3073</v>
      </c>
      <c r="J2407" t="str">
        <f t="shared" si="37"/>
        <v>http://www.badatelna.eu/reprodukce/?fondId=1073&amp;zaznamId=1108959&amp;reproId=3780190</v>
      </c>
      <c r="K2407">
        <f>IF(LEN(TRIM(E2407))=0,"",VLOOKUP(E2407,Sheet2!$B$1:$E$19,2,FALSE))</f>
        <v>1073</v>
      </c>
      <c r="L2407">
        <f>IF(LEN(TRIM(E2407))=0,"",VLOOKUP(E2407,Sheet2!$B$1:$E$19,3,FALSE))</f>
        <v>1108959</v>
      </c>
      <c r="M2407">
        <f>IF(LEN(TRIM(E2407))=0,"",VLOOKUP(E2407,Sheet2!$B$1:$E$19,4,FALSE))+(F2407-1)</f>
        <v>3780190</v>
      </c>
    </row>
    <row r="2408" spans="1:13" s="1" customFormat="1" ht="15" customHeight="1" x14ac:dyDescent="0.25">
      <c r="A2408" s="28" t="s">
        <v>47</v>
      </c>
      <c r="B2408" s="28" t="s">
        <v>135</v>
      </c>
      <c r="C2408" s="6" t="s">
        <v>2464</v>
      </c>
      <c r="D2408" s="1" t="s">
        <v>454</v>
      </c>
      <c r="E2408" s="1">
        <v>2173</v>
      </c>
      <c r="F2408" s="28">
        <v>204</v>
      </c>
      <c r="G2408" s="1">
        <v>17</v>
      </c>
      <c r="H2408" s="1" t="s">
        <v>3073</v>
      </c>
      <c r="I2408" s="1" t="s">
        <v>3073</v>
      </c>
      <c r="J2408" t="str">
        <f t="shared" si="37"/>
        <v>http://www.badatelna.eu/reprodukce/?fondId=1073&amp;zaznamId=1108959&amp;reproId=3780197</v>
      </c>
      <c r="K2408">
        <f>IF(LEN(TRIM(E2408))=0,"",VLOOKUP(E2408,Sheet2!$B$1:$E$19,2,FALSE))</f>
        <v>1073</v>
      </c>
      <c r="L2408">
        <f>IF(LEN(TRIM(E2408))=0,"",VLOOKUP(E2408,Sheet2!$B$1:$E$19,3,FALSE))</f>
        <v>1108959</v>
      </c>
      <c r="M2408">
        <f>IF(LEN(TRIM(E2408))=0,"",VLOOKUP(E2408,Sheet2!$B$1:$E$19,4,FALSE))+(F2408-1)</f>
        <v>3780197</v>
      </c>
    </row>
    <row r="2409" spans="1:13" s="1" customFormat="1" ht="15" customHeight="1" x14ac:dyDescent="0.25">
      <c r="A2409" s="31" t="s">
        <v>47</v>
      </c>
      <c r="B2409" s="31" t="s">
        <v>48</v>
      </c>
      <c r="C2409" s="7" t="s">
        <v>2248</v>
      </c>
      <c r="D2409" s="1" t="s">
        <v>454</v>
      </c>
      <c r="E2409" s="1">
        <v>2173</v>
      </c>
      <c r="F2409" s="28">
        <v>196</v>
      </c>
      <c r="G2409" s="9" t="s">
        <v>2774</v>
      </c>
      <c r="H2409" s="1" t="s">
        <v>3073</v>
      </c>
      <c r="I2409" s="1" t="s">
        <v>3073</v>
      </c>
      <c r="J2409" t="str">
        <f t="shared" si="37"/>
        <v>http://www.badatelna.eu/reprodukce/?fondId=1073&amp;zaznamId=1108959&amp;reproId=3780189</v>
      </c>
      <c r="K2409">
        <f>IF(LEN(TRIM(E2409))=0,"",VLOOKUP(E2409,Sheet2!$B$1:$E$19,2,FALSE))</f>
        <v>1073</v>
      </c>
      <c r="L2409">
        <f>IF(LEN(TRIM(E2409))=0,"",VLOOKUP(E2409,Sheet2!$B$1:$E$19,3,FALSE))</f>
        <v>1108959</v>
      </c>
      <c r="M2409">
        <f>IF(LEN(TRIM(E2409))=0,"",VLOOKUP(E2409,Sheet2!$B$1:$E$19,4,FALSE))+(F2409-1)</f>
        <v>3780189</v>
      </c>
    </row>
    <row r="2410" spans="1:13" s="1" customFormat="1" ht="15" customHeight="1" x14ac:dyDescent="0.25">
      <c r="A2410" s="28" t="s">
        <v>189</v>
      </c>
      <c r="B2410" s="28" t="s">
        <v>33</v>
      </c>
      <c r="C2410" s="1">
        <v>1861</v>
      </c>
      <c r="D2410" s="1" t="s">
        <v>2919</v>
      </c>
      <c r="E2410" s="1">
        <v>998</v>
      </c>
      <c r="F2410" s="28">
        <v>60</v>
      </c>
      <c r="G2410" s="1">
        <v>57</v>
      </c>
      <c r="H2410" s="1">
        <v>79</v>
      </c>
      <c r="I2410" s="1">
        <v>77</v>
      </c>
      <c r="J2410" t="str">
        <f t="shared" si="37"/>
        <v>http://www.badatelna.eu/reprodukce/?fondId=241&amp;zaznamId=1133738&amp;reproId=3885706</v>
      </c>
      <c r="K2410">
        <f>IF(LEN(TRIM(E2410))=0,"",VLOOKUP(E2410,Sheet2!$B$1:$E$19,2,FALSE))</f>
        <v>241</v>
      </c>
      <c r="L2410">
        <f>IF(LEN(TRIM(E2410))=0,"",VLOOKUP(E2410,Sheet2!$B$1:$E$19,3,FALSE))</f>
        <v>1133738</v>
      </c>
      <c r="M2410">
        <f>IF(LEN(TRIM(E2410))=0,"",VLOOKUP(E2410,Sheet2!$B$1:$E$19,4,FALSE))+(F2410-1)</f>
        <v>3885706</v>
      </c>
    </row>
    <row r="2411" spans="1:13" s="1" customFormat="1" ht="15" customHeight="1" x14ac:dyDescent="0.25">
      <c r="A2411" s="28" t="s">
        <v>189</v>
      </c>
      <c r="B2411" s="28" t="s">
        <v>357</v>
      </c>
      <c r="C2411" s="6" t="s">
        <v>2184</v>
      </c>
      <c r="D2411" s="1" t="s">
        <v>454</v>
      </c>
      <c r="E2411" s="1">
        <v>2173</v>
      </c>
      <c r="F2411" s="28">
        <v>182</v>
      </c>
      <c r="G2411" s="9">
        <v>10</v>
      </c>
      <c r="H2411" s="1">
        <v>192</v>
      </c>
      <c r="I2411" s="1">
        <v>426</v>
      </c>
      <c r="J2411" t="str">
        <f t="shared" si="37"/>
        <v>http://www.badatelna.eu/reprodukce/?fondId=1073&amp;zaznamId=1108959&amp;reproId=3780175</v>
      </c>
      <c r="K2411">
        <f>IF(LEN(TRIM(E2411))=0,"",VLOOKUP(E2411,Sheet2!$B$1:$E$19,2,FALSE))</f>
        <v>1073</v>
      </c>
      <c r="L2411">
        <f>IF(LEN(TRIM(E2411))=0,"",VLOOKUP(E2411,Sheet2!$B$1:$E$19,3,FALSE))</f>
        <v>1108959</v>
      </c>
      <c r="M2411">
        <f>IF(LEN(TRIM(E2411))=0,"",VLOOKUP(E2411,Sheet2!$B$1:$E$19,4,FALSE))+(F2411-1)</f>
        <v>3780175</v>
      </c>
    </row>
    <row r="2412" spans="1:13" s="1" customFormat="1" ht="15" customHeight="1" x14ac:dyDescent="0.25">
      <c r="A2412" s="28" t="s">
        <v>189</v>
      </c>
      <c r="B2412" s="28" t="s">
        <v>183</v>
      </c>
      <c r="C2412" s="6" t="s">
        <v>2436</v>
      </c>
      <c r="D2412" s="1" t="s">
        <v>454</v>
      </c>
      <c r="E2412" s="1">
        <v>2173</v>
      </c>
      <c r="F2412" s="28">
        <v>203</v>
      </c>
      <c r="G2412" s="1">
        <v>16</v>
      </c>
      <c r="H2412" s="1" t="s">
        <v>3073</v>
      </c>
      <c r="I2412" s="1" t="s">
        <v>3073</v>
      </c>
      <c r="J2412" t="str">
        <f t="shared" si="37"/>
        <v>http://www.badatelna.eu/reprodukce/?fondId=1073&amp;zaznamId=1108959&amp;reproId=3780196</v>
      </c>
      <c r="K2412">
        <f>IF(LEN(TRIM(E2412))=0,"",VLOOKUP(E2412,Sheet2!$B$1:$E$19,2,FALSE))</f>
        <v>1073</v>
      </c>
      <c r="L2412">
        <f>IF(LEN(TRIM(E2412))=0,"",VLOOKUP(E2412,Sheet2!$B$1:$E$19,3,FALSE))</f>
        <v>1108959</v>
      </c>
      <c r="M2412">
        <f>IF(LEN(TRIM(E2412))=0,"",VLOOKUP(E2412,Sheet2!$B$1:$E$19,4,FALSE))+(F2412-1)</f>
        <v>3780196</v>
      </c>
    </row>
    <row r="2413" spans="1:13" s="1" customFormat="1" ht="15" customHeight="1" x14ac:dyDescent="0.25">
      <c r="A2413" s="28" t="s">
        <v>189</v>
      </c>
      <c r="B2413" s="28" t="s">
        <v>84</v>
      </c>
      <c r="C2413" s="1">
        <v>1851</v>
      </c>
      <c r="D2413" s="1" t="s">
        <v>2919</v>
      </c>
      <c r="E2413" s="1">
        <v>998</v>
      </c>
      <c r="F2413" s="28">
        <v>33</v>
      </c>
      <c r="G2413" s="1">
        <v>31</v>
      </c>
      <c r="H2413" s="1">
        <v>78</v>
      </c>
      <c r="I2413" s="1">
        <v>76</v>
      </c>
      <c r="J2413" t="str">
        <f t="shared" si="37"/>
        <v>http://www.badatelna.eu/reprodukce/?fondId=241&amp;zaznamId=1133738&amp;reproId=3885679</v>
      </c>
      <c r="K2413">
        <f>IF(LEN(TRIM(E2413))=0,"",VLOOKUP(E2413,Sheet2!$B$1:$E$19,2,FALSE))</f>
        <v>241</v>
      </c>
      <c r="L2413">
        <f>IF(LEN(TRIM(E2413))=0,"",VLOOKUP(E2413,Sheet2!$B$1:$E$19,3,FALSE))</f>
        <v>1133738</v>
      </c>
      <c r="M2413">
        <f>IF(LEN(TRIM(E2413))=0,"",VLOOKUP(E2413,Sheet2!$B$1:$E$19,4,FALSE))+(F2413-1)</f>
        <v>3885679</v>
      </c>
    </row>
    <row r="2414" spans="1:13" s="1" customFormat="1" ht="15" customHeight="1" x14ac:dyDescent="0.25">
      <c r="A2414" s="28" t="s">
        <v>189</v>
      </c>
      <c r="B2414" s="28" t="s">
        <v>434</v>
      </c>
      <c r="C2414" s="6" t="s">
        <v>2724</v>
      </c>
      <c r="D2414" s="1" t="s">
        <v>454</v>
      </c>
      <c r="E2414" s="1">
        <v>2173</v>
      </c>
      <c r="F2414" s="28">
        <v>225</v>
      </c>
      <c r="G2414" s="9">
        <v>56</v>
      </c>
      <c r="H2414" s="1" t="s">
        <v>3073</v>
      </c>
      <c r="I2414" s="1" t="s">
        <v>3073</v>
      </c>
      <c r="J2414" t="str">
        <f t="shared" si="37"/>
        <v>http://www.badatelna.eu/reprodukce/?fondId=1073&amp;zaznamId=1108959&amp;reproId=3780218</v>
      </c>
      <c r="K2414">
        <f>IF(LEN(TRIM(E2414))=0,"",VLOOKUP(E2414,Sheet2!$B$1:$E$19,2,FALSE))</f>
        <v>1073</v>
      </c>
      <c r="L2414">
        <f>IF(LEN(TRIM(E2414))=0,"",VLOOKUP(E2414,Sheet2!$B$1:$E$19,3,FALSE))</f>
        <v>1108959</v>
      </c>
      <c r="M2414">
        <f>IF(LEN(TRIM(E2414))=0,"",VLOOKUP(E2414,Sheet2!$B$1:$E$19,4,FALSE))+(F2414-1)</f>
        <v>3780218</v>
      </c>
    </row>
    <row r="2415" spans="1:13" s="1" customFormat="1" ht="15" customHeight="1" x14ac:dyDescent="0.25">
      <c r="A2415" s="28" t="s">
        <v>189</v>
      </c>
      <c r="B2415" s="28" t="s">
        <v>529</v>
      </c>
      <c r="C2415" s="1">
        <v>1848</v>
      </c>
      <c r="D2415" s="1" t="s">
        <v>2919</v>
      </c>
      <c r="E2415" s="1">
        <v>998</v>
      </c>
      <c r="F2415" s="28">
        <v>14</v>
      </c>
      <c r="G2415" s="1">
        <v>12</v>
      </c>
      <c r="H2415" s="1">
        <v>78</v>
      </c>
      <c r="I2415" s="1">
        <v>76</v>
      </c>
      <c r="J2415" t="str">
        <f t="shared" si="37"/>
        <v>http://www.badatelna.eu/reprodukce/?fondId=241&amp;zaznamId=1133738&amp;reproId=3885660</v>
      </c>
      <c r="K2415">
        <f>IF(LEN(TRIM(E2415))=0,"",VLOOKUP(E2415,Sheet2!$B$1:$E$19,2,FALSE))</f>
        <v>241</v>
      </c>
      <c r="L2415">
        <f>IF(LEN(TRIM(E2415))=0,"",VLOOKUP(E2415,Sheet2!$B$1:$E$19,3,FALSE))</f>
        <v>1133738</v>
      </c>
      <c r="M2415">
        <f>IF(LEN(TRIM(E2415))=0,"",VLOOKUP(E2415,Sheet2!$B$1:$E$19,4,FALSE))+(F2415-1)</f>
        <v>3885660</v>
      </c>
    </row>
    <row r="2416" spans="1:13" s="1" customFormat="1" ht="15" customHeight="1" x14ac:dyDescent="0.25">
      <c r="A2416" s="28" t="s">
        <v>189</v>
      </c>
      <c r="B2416" s="28" t="s">
        <v>25</v>
      </c>
      <c r="C2416" s="6" t="s">
        <v>2385</v>
      </c>
      <c r="D2416" s="1" t="s">
        <v>454</v>
      </c>
      <c r="E2416" s="1">
        <v>2173</v>
      </c>
      <c r="F2416" s="28">
        <v>201</v>
      </c>
      <c r="G2416" s="9">
        <v>12</v>
      </c>
      <c r="H2416" s="1" t="s">
        <v>3073</v>
      </c>
      <c r="I2416" s="1" t="s">
        <v>3073</v>
      </c>
      <c r="J2416" t="str">
        <f t="shared" si="37"/>
        <v>http://www.badatelna.eu/reprodukce/?fondId=1073&amp;zaznamId=1108959&amp;reproId=3780194</v>
      </c>
      <c r="K2416">
        <f>IF(LEN(TRIM(E2416))=0,"",VLOOKUP(E2416,Sheet2!$B$1:$E$19,2,FALSE))</f>
        <v>1073</v>
      </c>
      <c r="L2416">
        <f>IF(LEN(TRIM(E2416))=0,"",VLOOKUP(E2416,Sheet2!$B$1:$E$19,3,FALSE))</f>
        <v>1108959</v>
      </c>
      <c r="M2416">
        <f>IF(LEN(TRIM(E2416))=0,"",VLOOKUP(E2416,Sheet2!$B$1:$E$19,4,FALSE))+(F2416-1)</f>
        <v>3780194</v>
      </c>
    </row>
    <row r="2417" spans="1:13" s="1" customFormat="1" ht="15" customHeight="1" x14ac:dyDescent="0.25">
      <c r="A2417" s="28" t="s">
        <v>189</v>
      </c>
      <c r="B2417" s="28" t="s">
        <v>25</v>
      </c>
      <c r="C2417" s="6" t="s">
        <v>2596</v>
      </c>
      <c r="D2417" s="1" t="s">
        <v>454</v>
      </c>
      <c r="E2417" s="1">
        <v>2173</v>
      </c>
      <c r="F2417" s="28">
        <v>216</v>
      </c>
      <c r="G2417" s="9">
        <v>42</v>
      </c>
      <c r="H2417" s="1" t="s">
        <v>3073</v>
      </c>
      <c r="I2417" s="1" t="s">
        <v>3073</v>
      </c>
      <c r="J2417" t="str">
        <f t="shared" si="37"/>
        <v>http://www.badatelna.eu/reprodukce/?fondId=1073&amp;zaznamId=1108959&amp;reproId=3780209</v>
      </c>
      <c r="K2417">
        <f>IF(LEN(TRIM(E2417))=0,"",VLOOKUP(E2417,Sheet2!$B$1:$E$19,2,FALSE))</f>
        <v>1073</v>
      </c>
      <c r="L2417">
        <f>IF(LEN(TRIM(E2417))=0,"",VLOOKUP(E2417,Sheet2!$B$1:$E$19,3,FALSE))</f>
        <v>1108959</v>
      </c>
      <c r="M2417">
        <f>IF(LEN(TRIM(E2417))=0,"",VLOOKUP(E2417,Sheet2!$B$1:$E$19,4,FALSE))+(F2417-1)</f>
        <v>3780209</v>
      </c>
    </row>
    <row r="2418" spans="1:13" s="1" customFormat="1" ht="15" customHeight="1" x14ac:dyDescent="0.25">
      <c r="A2418" s="27" t="s">
        <v>189</v>
      </c>
      <c r="B2418" s="27" t="s">
        <v>28</v>
      </c>
      <c r="C2418" s="5" t="s">
        <v>1376</v>
      </c>
      <c r="D2418" s="3" t="s">
        <v>454</v>
      </c>
      <c r="E2418" s="3">
        <v>2170</v>
      </c>
      <c r="F2418" s="28">
        <v>23</v>
      </c>
      <c r="G2418" s="10">
        <v>19</v>
      </c>
      <c r="H2418" s="3">
        <v>70</v>
      </c>
      <c r="I2418" s="3">
        <v>66</v>
      </c>
      <c r="J2418" t="str">
        <f t="shared" si="37"/>
        <v>http://www.badatelna.eu/reprodukce/?fondId=1073&amp;zaznamId=1108956&amp;reproId=3779615</v>
      </c>
      <c r="K2418">
        <f>IF(LEN(TRIM(E2418))=0,"",VLOOKUP(E2418,Sheet2!$B$1:$E$19,2,FALSE))</f>
        <v>1073</v>
      </c>
      <c r="L2418">
        <f>IF(LEN(TRIM(E2418))=0,"",VLOOKUP(E2418,Sheet2!$B$1:$E$19,3,FALSE))</f>
        <v>1108956</v>
      </c>
      <c r="M2418">
        <f>IF(LEN(TRIM(E2418))=0,"",VLOOKUP(E2418,Sheet2!$B$1:$E$19,4,FALSE))+(F2418-1)</f>
        <v>3779615</v>
      </c>
    </row>
    <row r="2419" spans="1:13" s="1" customFormat="1" ht="15" customHeight="1" x14ac:dyDescent="0.25">
      <c r="A2419" s="28" t="s">
        <v>189</v>
      </c>
      <c r="B2419" s="28" t="s">
        <v>561</v>
      </c>
      <c r="C2419" s="1">
        <v>1849</v>
      </c>
      <c r="D2419" s="1" t="s">
        <v>2919</v>
      </c>
      <c r="E2419" s="1">
        <v>998</v>
      </c>
      <c r="F2419" s="28">
        <v>18</v>
      </c>
      <c r="G2419" s="1">
        <v>16</v>
      </c>
      <c r="H2419" s="1">
        <v>78</v>
      </c>
      <c r="I2419" s="1">
        <v>76</v>
      </c>
      <c r="J2419" t="str">
        <f t="shared" si="37"/>
        <v>http://www.badatelna.eu/reprodukce/?fondId=241&amp;zaznamId=1133738&amp;reproId=3885664</v>
      </c>
      <c r="K2419">
        <f>IF(LEN(TRIM(E2419))=0,"",VLOOKUP(E2419,Sheet2!$B$1:$E$19,2,FALSE))</f>
        <v>241</v>
      </c>
      <c r="L2419">
        <f>IF(LEN(TRIM(E2419))=0,"",VLOOKUP(E2419,Sheet2!$B$1:$E$19,3,FALSE))</f>
        <v>1133738</v>
      </c>
      <c r="M2419">
        <f>IF(LEN(TRIM(E2419))=0,"",VLOOKUP(E2419,Sheet2!$B$1:$E$19,4,FALSE))+(F2419-1)</f>
        <v>3885664</v>
      </c>
    </row>
    <row r="2420" spans="1:13" s="1" customFormat="1" ht="15" customHeight="1" x14ac:dyDescent="0.25">
      <c r="A2420" s="28" t="s">
        <v>189</v>
      </c>
      <c r="B2420" s="28" t="s">
        <v>3054</v>
      </c>
      <c r="C2420" s="1">
        <v>1863</v>
      </c>
      <c r="D2420" s="1" t="s">
        <v>2919</v>
      </c>
      <c r="E2420" s="1">
        <v>999</v>
      </c>
      <c r="F2420" s="28">
        <v>84</v>
      </c>
      <c r="G2420" s="1">
        <v>5</v>
      </c>
      <c r="H2420" s="1">
        <v>108</v>
      </c>
      <c r="I2420" s="1">
        <v>168</v>
      </c>
      <c r="J2420" t="str">
        <f t="shared" si="37"/>
        <v>http://www.badatelna.eu/reprodukce/?fondId=241&amp;zaznamId=1133739&amp;reproId=3885813</v>
      </c>
      <c r="K2420">
        <f>IF(LEN(TRIM(E2420))=0,"",VLOOKUP(E2420,Sheet2!$B$1:$E$19,2,FALSE))</f>
        <v>241</v>
      </c>
      <c r="L2420">
        <f>IF(LEN(TRIM(E2420))=0,"",VLOOKUP(E2420,Sheet2!$B$1:$E$19,3,FALSE))</f>
        <v>1133739</v>
      </c>
      <c r="M2420">
        <f>IF(LEN(TRIM(E2420))=0,"",VLOOKUP(E2420,Sheet2!$B$1:$E$19,4,FALSE))+(F2420-1)</f>
        <v>3885813</v>
      </c>
    </row>
    <row r="2421" spans="1:13" s="1" customFormat="1" ht="15" customHeight="1" x14ac:dyDescent="0.25">
      <c r="A2421" s="27" t="s">
        <v>189</v>
      </c>
      <c r="B2421" s="27" t="s">
        <v>482</v>
      </c>
      <c r="C2421" s="5" t="s">
        <v>1059</v>
      </c>
      <c r="D2421" s="3" t="s">
        <v>454</v>
      </c>
      <c r="E2421" s="3">
        <v>2170</v>
      </c>
      <c r="F2421" s="31">
        <v>8</v>
      </c>
      <c r="G2421" s="10">
        <v>4</v>
      </c>
      <c r="H2421" s="3">
        <v>70</v>
      </c>
      <c r="I2421" s="3">
        <v>66</v>
      </c>
      <c r="J2421" t="str">
        <f t="shared" si="37"/>
        <v>http://www.badatelna.eu/reprodukce/?fondId=1073&amp;zaznamId=1108956&amp;reproId=3779600</v>
      </c>
      <c r="K2421">
        <f>IF(LEN(TRIM(E2421))=0,"",VLOOKUP(E2421,Sheet2!$B$1:$E$19,2,FALSE))</f>
        <v>1073</v>
      </c>
      <c r="L2421">
        <f>IF(LEN(TRIM(E2421))=0,"",VLOOKUP(E2421,Sheet2!$B$1:$E$19,3,FALSE))</f>
        <v>1108956</v>
      </c>
      <c r="M2421">
        <f>IF(LEN(TRIM(E2421))=0,"",VLOOKUP(E2421,Sheet2!$B$1:$E$19,4,FALSE))+(F2421-1)</f>
        <v>3779600</v>
      </c>
    </row>
    <row r="2422" spans="1:13" s="1" customFormat="1" ht="15" customHeight="1" x14ac:dyDescent="0.25">
      <c r="A2422" s="28" t="s">
        <v>189</v>
      </c>
      <c r="B2422" s="28" t="s">
        <v>48</v>
      </c>
      <c r="C2422" s="6" t="s">
        <v>2183</v>
      </c>
      <c r="D2422" s="1" t="s">
        <v>454</v>
      </c>
      <c r="E2422" s="1">
        <v>2173</v>
      </c>
      <c r="F2422" s="28">
        <v>182</v>
      </c>
      <c r="G2422" s="9">
        <v>11</v>
      </c>
      <c r="H2422" s="1">
        <v>192</v>
      </c>
      <c r="I2422" s="1">
        <v>426</v>
      </c>
      <c r="J2422" t="str">
        <f t="shared" si="37"/>
        <v>http://www.badatelna.eu/reprodukce/?fondId=1073&amp;zaznamId=1108959&amp;reproId=3780175</v>
      </c>
      <c r="K2422">
        <f>IF(LEN(TRIM(E2422))=0,"",VLOOKUP(E2422,Sheet2!$B$1:$E$19,2,FALSE))</f>
        <v>1073</v>
      </c>
      <c r="L2422">
        <f>IF(LEN(TRIM(E2422))=0,"",VLOOKUP(E2422,Sheet2!$B$1:$E$19,3,FALSE))</f>
        <v>1108959</v>
      </c>
      <c r="M2422">
        <f>IF(LEN(TRIM(E2422))=0,"",VLOOKUP(E2422,Sheet2!$B$1:$E$19,4,FALSE))+(F2422-1)</f>
        <v>3780175</v>
      </c>
    </row>
    <row r="2423" spans="1:13" s="1" customFormat="1" ht="15" customHeight="1" x14ac:dyDescent="0.25">
      <c r="A2423" s="28" t="s">
        <v>189</v>
      </c>
      <c r="B2423" s="28" t="s">
        <v>48</v>
      </c>
      <c r="C2423" s="6" t="s">
        <v>2183</v>
      </c>
      <c r="D2423" s="1" t="s">
        <v>454</v>
      </c>
      <c r="E2423" s="1">
        <v>2173</v>
      </c>
      <c r="F2423" s="28">
        <v>212</v>
      </c>
      <c r="G2423" s="9" t="s">
        <v>2911</v>
      </c>
      <c r="H2423" s="1" t="s">
        <v>3073</v>
      </c>
      <c r="I2423" s="1" t="s">
        <v>3073</v>
      </c>
      <c r="J2423" t="str">
        <f t="shared" si="37"/>
        <v>http://www.badatelna.eu/reprodukce/?fondId=1073&amp;zaznamId=1108959&amp;reproId=3780205</v>
      </c>
      <c r="K2423">
        <f>IF(LEN(TRIM(E2423))=0,"",VLOOKUP(E2423,Sheet2!$B$1:$E$19,2,FALSE))</f>
        <v>1073</v>
      </c>
      <c r="L2423">
        <f>IF(LEN(TRIM(E2423))=0,"",VLOOKUP(E2423,Sheet2!$B$1:$E$19,3,FALSE))</f>
        <v>1108959</v>
      </c>
      <c r="M2423">
        <f>IF(LEN(TRIM(E2423))=0,"",VLOOKUP(E2423,Sheet2!$B$1:$E$19,4,FALSE))+(F2423-1)</f>
        <v>3780205</v>
      </c>
    </row>
    <row r="2424" spans="1:13" s="1" customFormat="1" ht="15" customHeight="1" x14ac:dyDescent="0.25">
      <c r="A2424" s="28" t="s">
        <v>189</v>
      </c>
      <c r="B2424" s="28" t="s">
        <v>475</v>
      </c>
      <c r="C2424" s="1">
        <v>1854</v>
      </c>
      <c r="D2424" s="1" t="s">
        <v>2919</v>
      </c>
      <c r="E2424" s="1">
        <v>998</v>
      </c>
      <c r="F2424" s="28">
        <v>40</v>
      </c>
      <c r="G2424" s="1">
        <v>38</v>
      </c>
      <c r="H2424" s="1">
        <v>78</v>
      </c>
      <c r="I2424" s="1">
        <v>76</v>
      </c>
      <c r="J2424" t="str">
        <f t="shared" si="37"/>
        <v>http://www.badatelna.eu/reprodukce/?fondId=241&amp;zaznamId=1133738&amp;reproId=3885686</v>
      </c>
      <c r="K2424">
        <f>IF(LEN(TRIM(E2424))=0,"",VLOOKUP(E2424,Sheet2!$B$1:$E$19,2,FALSE))</f>
        <v>241</v>
      </c>
      <c r="L2424">
        <f>IF(LEN(TRIM(E2424))=0,"",VLOOKUP(E2424,Sheet2!$B$1:$E$19,3,FALSE))</f>
        <v>1133738</v>
      </c>
      <c r="M2424">
        <f>IF(LEN(TRIM(E2424))=0,"",VLOOKUP(E2424,Sheet2!$B$1:$E$19,4,FALSE))+(F2424-1)</f>
        <v>3885686</v>
      </c>
    </row>
    <row r="2425" spans="1:13" s="1" customFormat="1" ht="15" customHeight="1" x14ac:dyDescent="0.25">
      <c r="A2425" s="28" t="s">
        <v>189</v>
      </c>
      <c r="B2425" s="28" t="s">
        <v>645</v>
      </c>
      <c r="C2425" s="1">
        <v>1860</v>
      </c>
      <c r="D2425" s="1" t="s">
        <v>2919</v>
      </c>
      <c r="E2425" s="1">
        <v>998</v>
      </c>
      <c r="F2425" s="28">
        <v>59</v>
      </c>
      <c r="G2425" s="1">
        <v>56</v>
      </c>
      <c r="H2425" s="1">
        <v>79</v>
      </c>
      <c r="I2425" s="1">
        <v>77</v>
      </c>
      <c r="J2425" t="str">
        <f t="shared" si="37"/>
        <v>http://www.badatelna.eu/reprodukce/?fondId=241&amp;zaznamId=1133738&amp;reproId=3885705</v>
      </c>
      <c r="K2425">
        <f>IF(LEN(TRIM(E2425))=0,"",VLOOKUP(E2425,Sheet2!$B$1:$E$19,2,FALSE))</f>
        <v>241</v>
      </c>
      <c r="L2425">
        <f>IF(LEN(TRIM(E2425))=0,"",VLOOKUP(E2425,Sheet2!$B$1:$E$19,3,FALSE))</f>
        <v>1133738</v>
      </c>
      <c r="M2425">
        <f>IF(LEN(TRIM(E2425))=0,"",VLOOKUP(E2425,Sheet2!$B$1:$E$19,4,FALSE))+(F2425-1)</f>
        <v>3885705</v>
      </c>
    </row>
    <row r="2426" spans="1:13" s="1" customFormat="1" ht="15" customHeight="1" x14ac:dyDescent="0.25">
      <c r="A2426" s="28" t="s">
        <v>189</v>
      </c>
      <c r="B2426" s="28" t="s">
        <v>54</v>
      </c>
      <c r="C2426" s="1">
        <v>1850</v>
      </c>
      <c r="D2426" s="1" t="s">
        <v>2919</v>
      </c>
      <c r="E2426" s="1">
        <v>998</v>
      </c>
      <c r="F2426" s="28">
        <v>30</v>
      </c>
      <c r="G2426" s="1">
        <v>28</v>
      </c>
      <c r="H2426" s="1">
        <v>78</v>
      </c>
      <c r="I2426" s="1">
        <v>76</v>
      </c>
      <c r="J2426" t="str">
        <f t="shared" si="37"/>
        <v>http://www.badatelna.eu/reprodukce/?fondId=241&amp;zaznamId=1133738&amp;reproId=3885676</v>
      </c>
      <c r="K2426">
        <f>IF(LEN(TRIM(E2426))=0,"",VLOOKUP(E2426,Sheet2!$B$1:$E$19,2,FALSE))</f>
        <v>241</v>
      </c>
      <c r="L2426">
        <f>IF(LEN(TRIM(E2426))=0,"",VLOOKUP(E2426,Sheet2!$B$1:$E$19,3,FALSE))</f>
        <v>1133738</v>
      </c>
      <c r="M2426">
        <f>IF(LEN(TRIM(E2426))=0,"",VLOOKUP(E2426,Sheet2!$B$1:$E$19,4,FALSE))+(F2426-1)</f>
        <v>3885676</v>
      </c>
    </row>
    <row r="2427" spans="1:13" s="1" customFormat="1" ht="15" customHeight="1" x14ac:dyDescent="0.25">
      <c r="A2427" s="28" t="s">
        <v>189</v>
      </c>
      <c r="B2427" s="28" t="s">
        <v>54</v>
      </c>
      <c r="C2427" s="6" t="s">
        <v>2546</v>
      </c>
      <c r="D2427" s="1" t="s">
        <v>454</v>
      </c>
      <c r="E2427" s="1">
        <v>2173</v>
      </c>
      <c r="F2427" s="28">
        <v>207</v>
      </c>
      <c r="G2427" s="1">
        <v>23</v>
      </c>
      <c r="H2427" s="1" t="s">
        <v>3073</v>
      </c>
      <c r="I2427" s="1" t="s">
        <v>3073</v>
      </c>
      <c r="J2427" t="str">
        <f t="shared" si="37"/>
        <v>http://www.badatelna.eu/reprodukce/?fondId=1073&amp;zaznamId=1108959&amp;reproId=3780200</v>
      </c>
      <c r="K2427">
        <f>IF(LEN(TRIM(E2427))=0,"",VLOOKUP(E2427,Sheet2!$B$1:$E$19,2,FALSE))</f>
        <v>1073</v>
      </c>
      <c r="L2427">
        <f>IF(LEN(TRIM(E2427))=0,"",VLOOKUP(E2427,Sheet2!$B$1:$E$19,3,FALSE))</f>
        <v>1108959</v>
      </c>
      <c r="M2427">
        <f>IF(LEN(TRIM(E2427))=0,"",VLOOKUP(E2427,Sheet2!$B$1:$E$19,4,FALSE))+(F2427-1)</f>
        <v>3780200</v>
      </c>
    </row>
    <row r="2428" spans="1:13" s="1" customFormat="1" ht="15" customHeight="1" x14ac:dyDescent="0.25">
      <c r="A2428" s="28" t="s">
        <v>189</v>
      </c>
      <c r="B2428" s="28" t="s">
        <v>54</v>
      </c>
      <c r="C2428" s="6" t="s">
        <v>2725</v>
      </c>
      <c r="D2428" s="1" t="s">
        <v>454</v>
      </c>
      <c r="E2428" s="1">
        <v>2173</v>
      </c>
      <c r="F2428" s="28">
        <v>225</v>
      </c>
      <c r="G2428" s="9">
        <v>55</v>
      </c>
      <c r="H2428" s="1" t="s">
        <v>3073</v>
      </c>
      <c r="I2428" s="1" t="s">
        <v>3073</v>
      </c>
      <c r="J2428" t="str">
        <f t="shared" si="37"/>
        <v>http://www.badatelna.eu/reprodukce/?fondId=1073&amp;zaznamId=1108959&amp;reproId=3780218</v>
      </c>
      <c r="K2428">
        <f>IF(LEN(TRIM(E2428))=0,"",VLOOKUP(E2428,Sheet2!$B$1:$E$19,2,FALSE))</f>
        <v>1073</v>
      </c>
      <c r="L2428">
        <f>IF(LEN(TRIM(E2428))=0,"",VLOOKUP(E2428,Sheet2!$B$1:$E$19,3,FALSE))</f>
        <v>1108959</v>
      </c>
      <c r="M2428">
        <f>IF(LEN(TRIM(E2428))=0,"",VLOOKUP(E2428,Sheet2!$B$1:$E$19,4,FALSE))+(F2428-1)</f>
        <v>3780218</v>
      </c>
    </row>
    <row r="2429" spans="1:13" s="1" customFormat="1" ht="15" customHeight="1" x14ac:dyDescent="0.25">
      <c r="A2429" s="28" t="s">
        <v>189</v>
      </c>
      <c r="B2429" s="28" t="s">
        <v>13</v>
      </c>
      <c r="C2429" s="1">
        <v>1851</v>
      </c>
      <c r="D2429" s="1" t="s">
        <v>2919</v>
      </c>
      <c r="E2429" s="1">
        <v>998</v>
      </c>
      <c r="F2429" s="28">
        <v>31</v>
      </c>
      <c r="G2429" s="1">
        <v>29</v>
      </c>
      <c r="H2429" s="1">
        <v>78</v>
      </c>
      <c r="I2429" s="1">
        <v>76</v>
      </c>
      <c r="J2429" t="str">
        <f t="shared" si="37"/>
        <v>http://www.badatelna.eu/reprodukce/?fondId=241&amp;zaznamId=1133738&amp;reproId=3885677</v>
      </c>
      <c r="K2429">
        <f>IF(LEN(TRIM(E2429))=0,"",VLOOKUP(E2429,Sheet2!$B$1:$E$19,2,FALSE))</f>
        <v>241</v>
      </c>
      <c r="L2429">
        <f>IF(LEN(TRIM(E2429))=0,"",VLOOKUP(E2429,Sheet2!$B$1:$E$19,3,FALSE))</f>
        <v>1133738</v>
      </c>
      <c r="M2429">
        <f>IF(LEN(TRIM(E2429))=0,"",VLOOKUP(E2429,Sheet2!$B$1:$E$19,4,FALSE))+(F2429-1)</f>
        <v>3885677</v>
      </c>
    </row>
    <row r="2430" spans="1:13" s="1" customFormat="1" ht="15" customHeight="1" x14ac:dyDescent="0.25">
      <c r="A2430" s="28" t="s">
        <v>189</v>
      </c>
      <c r="B2430" s="28" t="s">
        <v>13</v>
      </c>
      <c r="C2430" s="6" t="s">
        <v>2665</v>
      </c>
      <c r="D2430" s="1" t="s">
        <v>454</v>
      </c>
      <c r="E2430" s="1">
        <v>2173</v>
      </c>
      <c r="F2430" s="28">
        <v>222</v>
      </c>
      <c r="G2430" s="9">
        <v>50</v>
      </c>
      <c r="H2430" s="1" t="s">
        <v>3073</v>
      </c>
      <c r="I2430" s="1" t="s">
        <v>3073</v>
      </c>
      <c r="J2430" t="str">
        <f t="shared" si="37"/>
        <v>http://www.badatelna.eu/reprodukce/?fondId=1073&amp;zaznamId=1108959&amp;reproId=3780215</v>
      </c>
      <c r="K2430">
        <f>IF(LEN(TRIM(E2430))=0,"",VLOOKUP(E2430,Sheet2!$B$1:$E$19,2,FALSE))</f>
        <v>1073</v>
      </c>
      <c r="L2430">
        <f>IF(LEN(TRIM(E2430))=0,"",VLOOKUP(E2430,Sheet2!$B$1:$E$19,3,FALSE))</f>
        <v>1108959</v>
      </c>
      <c r="M2430">
        <f>IF(LEN(TRIM(E2430))=0,"",VLOOKUP(E2430,Sheet2!$B$1:$E$19,4,FALSE))+(F2430-1)</f>
        <v>3780215</v>
      </c>
    </row>
    <row r="2431" spans="1:13" s="1" customFormat="1" ht="15" customHeight="1" x14ac:dyDescent="0.25">
      <c r="A2431" s="28" t="s">
        <v>189</v>
      </c>
      <c r="B2431" s="28" t="s">
        <v>3009</v>
      </c>
      <c r="C2431" s="1">
        <v>1851</v>
      </c>
      <c r="D2431" s="1" t="s">
        <v>2919</v>
      </c>
      <c r="E2431" s="1">
        <v>998</v>
      </c>
      <c r="F2431" s="28">
        <v>32</v>
      </c>
      <c r="G2431" s="1">
        <v>30</v>
      </c>
      <c r="H2431" s="1">
        <v>78</v>
      </c>
      <c r="I2431" s="1">
        <v>76</v>
      </c>
      <c r="J2431" t="str">
        <f t="shared" si="37"/>
        <v>http://www.badatelna.eu/reprodukce/?fondId=241&amp;zaznamId=1133738&amp;reproId=3885678</v>
      </c>
      <c r="K2431">
        <f>IF(LEN(TRIM(E2431))=0,"",VLOOKUP(E2431,Sheet2!$B$1:$E$19,2,FALSE))</f>
        <v>241</v>
      </c>
      <c r="L2431">
        <f>IF(LEN(TRIM(E2431))=0,"",VLOOKUP(E2431,Sheet2!$B$1:$E$19,3,FALSE))</f>
        <v>1133738</v>
      </c>
      <c r="M2431">
        <f>IF(LEN(TRIM(E2431))=0,"",VLOOKUP(E2431,Sheet2!$B$1:$E$19,4,FALSE))+(F2431-1)</f>
        <v>3885678</v>
      </c>
    </row>
    <row r="2432" spans="1:13" s="1" customFormat="1" ht="15" customHeight="1" x14ac:dyDescent="0.25">
      <c r="A2432" s="28" t="s">
        <v>662</v>
      </c>
      <c r="B2432" s="28" t="s">
        <v>512</v>
      </c>
      <c r="C2432" s="15">
        <v>10908</v>
      </c>
      <c r="D2432" s="1" t="s">
        <v>454</v>
      </c>
      <c r="E2432" s="1">
        <v>2172</v>
      </c>
      <c r="F2432" s="28">
        <v>218</v>
      </c>
      <c r="G2432" s="9">
        <v>202</v>
      </c>
      <c r="H2432" s="1" t="s">
        <v>3073</v>
      </c>
      <c r="I2432" s="1" t="s">
        <v>3073</v>
      </c>
      <c r="J2432" t="str">
        <f t="shared" si="37"/>
        <v>http://www.badatelna.eu/reprodukce/?fondId=1073&amp;zaznamId=1108958&amp;reproId=3779959</v>
      </c>
      <c r="K2432">
        <f>IF(LEN(TRIM(E2432))=0,"",VLOOKUP(E2432,Sheet2!$B$1:$E$19,2,FALSE))</f>
        <v>1073</v>
      </c>
      <c r="L2432">
        <f>IF(LEN(TRIM(E2432))=0,"",VLOOKUP(E2432,Sheet2!$B$1:$E$19,3,FALSE))</f>
        <v>1108958</v>
      </c>
      <c r="M2432">
        <f>IF(LEN(TRIM(E2432))=0,"",VLOOKUP(E2432,Sheet2!$B$1:$E$19,4,FALSE))+(F2432-1)</f>
        <v>3779959</v>
      </c>
    </row>
    <row r="2433" spans="1:13" s="1" customFormat="1" ht="15" customHeight="1" x14ac:dyDescent="0.25">
      <c r="A2433" s="28" t="s">
        <v>663</v>
      </c>
      <c r="B2433" s="28" t="s">
        <v>126</v>
      </c>
      <c r="C2433" s="6" t="s">
        <v>1747</v>
      </c>
      <c r="D2433" s="1" t="s">
        <v>454</v>
      </c>
      <c r="E2433" s="1">
        <v>2172</v>
      </c>
      <c r="F2433" s="28">
        <v>130</v>
      </c>
      <c r="G2433" s="9" t="s">
        <v>2781</v>
      </c>
      <c r="H2433" s="1">
        <v>133</v>
      </c>
      <c r="I2433" s="1">
        <v>132</v>
      </c>
      <c r="J2433" t="str">
        <f t="shared" si="37"/>
        <v>http://www.badatelna.eu/reprodukce/?fondId=1073&amp;zaznamId=1108958&amp;reproId=3779871</v>
      </c>
      <c r="K2433">
        <f>IF(LEN(TRIM(E2433))=0,"",VLOOKUP(E2433,Sheet2!$B$1:$E$19,2,FALSE))</f>
        <v>1073</v>
      </c>
      <c r="L2433">
        <f>IF(LEN(TRIM(E2433))=0,"",VLOOKUP(E2433,Sheet2!$B$1:$E$19,3,FALSE))</f>
        <v>1108958</v>
      </c>
      <c r="M2433">
        <f>IF(LEN(TRIM(E2433))=0,"",VLOOKUP(E2433,Sheet2!$B$1:$E$19,4,FALSE))+(F2433-1)</f>
        <v>3779871</v>
      </c>
    </row>
    <row r="2434" spans="1:13" s="1" customFormat="1" ht="15" customHeight="1" x14ac:dyDescent="0.25">
      <c r="A2434" s="28" t="s">
        <v>664</v>
      </c>
      <c r="B2434" s="28" t="s">
        <v>665</v>
      </c>
      <c r="C2434" s="6" t="s">
        <v>1617</v>
      </c>
      <c r="D2434" s="1" t="s">
        <v>454</v>
      </c>
      <c r="E2434" s="1">
        <v>2172</v>
      </c>
      <c r="F2434" s="28">
        <v>73</v>
      </c>
      <c r="G2434" s="9">
        <v>72</v>
      </c>
      <c r="H2434" s="1">
        <v>77</v>
      </c>
      <c r="I2434" s="1">
        <v>76</v>
      </c>
      <c r="J2434" t="str">
        <f t="shared" si="37"/>
        <v>http://www.badatelna.eu/reprodukce/?fondId=1073&amp;zaznamId=1108958&amp;reproId=3779814</v>
      </c>
      <c r="K2434">
        <f>IF(LEN(TRIM(E2434))=0,"",VLOOKUP(E2434,Sheet2!$B$1:$E$19,2,FALSE))</f>
        <v>1073</v>
      </c>
      <c r="L2434">
        <f>IF(LEN(TRIM(E2434))=0,"",VLOOKUP(E2434,Sheet2!$B$1:$E$19,3,FALSE))</f>
        <v>1108958</v>
      </c>
      <c r="M2434">
        <f>IF(LEN(TRIM(E2434))=0,"",VLOOKUP(E2434,Sheet2!$B$1:$E$19,4,FALSE))+(F2434-1)</f>
        <v>3779814</v>
      </c>
    </row>
    <row r="2435" spans="1:13" s="1" customFormat="1" ht="15" customHeight="1" x14ac:dyDescent="0.25">
      <c r="A2435" s="28" t="s">
        <v>664</v>
      </c>
      <c r="B2435" s="28" t="s">
        <v>666</v>
      </c>
      <c r="C2435" s="6" t="s">
        <v>1628</v>
      </c>
      <c r="D2435" s="1" t="s">
        <v>454</v>
      </c>
      <c r="E2435" s="1">
        <v>2172</v>
      </c>
      <c r="F2435" s="28">
        <v>87</v>
      </c>
      <c r="G2435" s="9">
        <v>86</v>
      </c>
      <c r="H2435" s="1">
        <v>90</v>
      </c>
      <c r="I2435" s="1">
        <v>89</v>
      </c>
      <c r="J2435" t="str">
        <f t="shared" ref="J2435:J2498" si="38">IF(LEN(TRIM(E2435))=0,"","http://www.badatelna.eu/reprodukce/?fondId="&amp;K2435&amp;"&amp;zaznamId="&amp;L2435&amp;"&amp;reproId="&amp;M2435)</f>
        <v>http://www.badatelna.eu/reprodukce/?fondId=1073&amp;zaznamId=1108958&amp;reproId=3779828</v>
      </c>
      <c r="K2435">
        <f>IF(LEN(TRIM(E2435))=0,"",VLOOKUP(E2435,Sheet2!$B$1:$E$19,2,FALSE))</f>
        <v>1073</v>
      </c>
      <c r="L2435">
        <f>IF(LEN(TRIM(E2435))=0,"",VLOOKUP(E2435,Sheet2!$B$1:$E$19,3,FALSE))</f>
        <v>1108958</v>
      </c>
      <c r="M2435">
        <f>IF(LEN(TRIM(E2435))=0,"",VLOOKUP(E2435,Sheet2!$B$1:$E$19,4,FALSE))+(F2435-1)</f>
        <v>3779828</v>
      </c>
    </row>
    <row r="2436" spans="1:13" s="1" customFormat="1" ht="15" customHeight="1" x14ac:dyDescent="0.25">
      <c r="A2436" s="28" t="s">
        <v>128</v>
      </c>
      <c r="B2436" s="28" t="s">
        <v>33</v>
      </c>
      <c r="C2436" s="6" t="s">
        <v>3145</v>
      </c>
      <c r="D2436" s="1" t="s">
        <v>454</v>
      </c>
      <c r="E2436" s="1">
        <v>2173</v>
      </c>
      <c r="F2436" s="28">
        <v>210</v>
      </c>
      <c r="G2436" s="1">
        <v>30</v>
      </c>
      <c r="H2436" s="1" t="s">
        <v>3073</v>
      </c>
      <c r="I2436" s="1" t="s">
        <v>3073</v>
      </c>
      <c r="J2436" t="str">
        <f t="shared" si="38"/>
        <v>http://www.badatelna.eu/reprodukce/?fondId=1073&amp;zaznamId=1108959&amp;reproId=3780203</v>
      </c>
      <c r="K2436">
        <f>IF(LEN(TRIM(E2436))=0,"",VLOOKUP(E2436,Sheet2!$B$1:$E$19,2,FALSE))</f>
        <v>1073</v>
      </c>
      <c r="L2436">
        <f>IF(LEN(TRIM(E2436))=0,"",VLOOKUP(E2436,Sheet2!$B$1:$E$19,3,FALSE))</f>
        <v>1108959</v>
      </c>
      <c r="M2436">
        <f>IF(LEN(TRIM(E2436))=0,"",VLOOKUP(E2436,Sheet2!$B$1:$E$19,4,FALSE))+(F2436-1)</f>
        <v>3780203</v>
      </c>
    </row>
    <row r="2437" spans="1:13" s="1" customFormat="1" ht="15" customHeight="1" x14ac:dyDescent="0.25">
      <c r="A2437" s="28" t="s">
        <v>128</v>
      </c>
      <c r="B2437" s="28" t="s">
        <v>33</v>
      </c>
      <c r="C2437" s="6" t="s">
        <v>1557</v>
      </c>
      <c r="D2437" s="1" t="s">
        <v>454</v>
      </c>
      <c r="E2437" s="1">
        <v>2172</v>
      </c>
      <c r="F2437" s="28">
        <v>18</v>
      </c>
      <c r="G2437" s="9" t="s">
        <v>2755</v>
      </c>
      <c r="H2437" s="1" t="s">
        <v>3073</v>
      </c>
      <c r="I2437" s="1" t="s">
        <v>3073</v>
      </c>
      <c r="J2437" t="str">
        <f t="shared" si="38"/>
        <v>http://www.badatelna.eu/reprodukce/?fondId=1073&amp;zaznamId=1108958&amp;reproId=3779759</v>
      </c>
      <c r="K2437">
        <f>IF(LEN(TRIM(E2437))=0,"",VLOOKUP(E2437,Sheet2!$B$1:$E$19,2,FALSE))</f>
        <v>1073</v>
      </c>
      <c r="L2437">
        <f>IF(LEN(TRIM(E2437))=0,"",VLOOKUP(E2437,Sheet2!$B$1:$E$19,3,FALSE))</f>
        <v>1108958</v>
      </c>
      <c r="M2437">
        <f>IF(LEN(TRIM(E2437))=0,"",VLOOKUP(E2437,Sheet2!$B$1:$E$19,4,FALSE))+(F2437-1)</f>
        <v>3779759</v>
      </c>
    </row>
    <row r="2438" spans="1:13" s="1" customFormat="1" ht="15" customHeight="1" x14ac:dyDescent="0.25">
      <c r="A2438" s="27" t="s">
        <v>128</v>
      </c>
      <c r="B2438" s="27" t="s">
        <v>33</v>
      </c>
      <c r="C2438" s="5" t="s">
        <v>1382</v>
      </c>
      <c r="D2438" s="3" t="s">
        <v>454</v>
      </c>
      <c r="E2438" s="3">
        <v>2170</v>
      </c>
      <c r="F2438" s="28">
        <v>30</v>
      </c>
      <c r="G2438" s="10">
        <v>26</v>
      </c>
      <c r="H2438" s="3">
        <v>70</v>
      </c>
      <c r="I2438" s="3">
        <v>66</v>
      </c>
      <c r="J2438" t="str">
        <f t="shared" si="38"/>
        <v>http://www.badatelna.eu/reprodukce/?fondId=1073&amp;zaznamId=1108956&amp;reproId=3779622</v>
      </c>
      <c r="K2438">
        <f>IF(LEN(TRIM(E2438))=0,"",VLOOKUP(E2438,Sheet2!$B$1:$E$19,2,FALSE))</f>
        <v>1073</v>
      </c>
      <c r="L2438">
        <f>IF(LEN(TRIM(E2438))=0,"",VLOOKUP(E2438,Sheet2!$B$1:$E$19,3,FALSE))</f>
        <v>1108956</v>
      </c>
      <c r="M2438">
        <f>IF(LEN(TRIM(E2438))=0,"",VLOOKUP(E2438,Sheet2!$B$1:$E$19,4,FALSE))+(F2438-1)</f>
        <v>3779622</v>
      </c>
    </row>
    <row r="2439" spans="1:13" s="1" customFormat="1" ht="15" customHeight="1" x14ac:dyDescent="0.25">
      <c r="A2439" s="28" t="s">
        <v>128</v>
      </c>
      <c r="B2439" s="28" t="s">
        <v>465</v>
      </c>
      <c r="C2439" s="1">
        <v>1856</v>
      </c>
      <c r="D2439" s="1" t="s">
        <v>2919</v>
      </c>
      <c r="E2439" s="1">
        <v>998</v>
      </c>
      <c r="F2439" s="28">
        <v>50</v>
      </c>
      <c r="G2439" s="1">
        <v>48</v>
      </c>
      <c r="H2439" s="1">
        <v>79</v>
      </c>
      <c r="I2439" s="1">
        <v>77</v>
      </c>
      <c r="J2439" t="str">
        <f t="shared" si="38"/>
        <v>http://www.badatelna.eu/reprodukce/?fondId=241&amp;zaznamId=1133738&amp;reproId=3885696</v>
      </c>
      <c r="K2439">
        <f>IF(LEN(TRIM(E2439))=0,"",VLOOKUP(E2439,Sheet2!$B$1:$E$19,2,FALSE))</f>
        <v>241</v>
      </c>
      <c r="L2439">
        <f>IF(LEN(TRIM(E2439))=0,"",VLOOKUP(E2439,Sheet2!$B$1:$E$19,3,FALSE))</f>
        <v>1133738</v>
      </c>
      <c r="M2439">
        <f>IF(LEN(TRIM(E2439))=0,"",VLOOKUP(E2439,Sheet2!$B$1:$E$19,4,FALSE))+(F2439-1)</f>
        <v>3885696</v>
      </c>
    </row>
    <row r="2440" spans="1:13" s="1" customFormat="1" ht="15" customHeight="1" x14ac:dyDescent="0.25">
      <c r="A2440" s="27" t="s">
        <v>128</v>
      </c>
      <c r="B2440" s="27" t="s">
        <v>620</v>
      </c>
      <c r="C2440" s="5" t="s">
        <v>1429</v>
      </c>
      <c r="D2440" s="3" t="s">
        <v>454</v>
      </c>
      <c r="E2440" s="3">
        <v>2170</v>
      </c>
      <c r="F2440" s="28">
        <v>34</v>
      </c>
      <c r="G2440" s="10">
        <v>30</v>
      </c>
      <c r="H2440" s="3">
        <v>71</v>
      </c>
      <c r="I2440" s="3">
        <v>67</v>
      </c>
      <c r="J2440" t="str">
        <f t="shared" si="38"/>
        <v>http://www.badatelna.eu/reprodukce/?fondId=1073&amp;zaznamId=1108956&amp;reproId=3779626</v>
      </c>
      <c r="K2440">
        <f>IF(LEN(TRIM(E2440))=0,"",VLOOKUP(E2440,Sheet2!$B$1:$E$19,2,FALSE))</f>
        <v>1073</v>
      </c>
      <c r="L2440">
        <f>IF(LEN(TRIM(E2440))=0,"",VLOOKUP(E2440,Sheet2!$B$1:$E$19,3,FALSE))</f>
        <v>1108956</v>
      </c>
      <c r="M2440">
        <f>IF(LEN(TRIM(E2440))=0,"",VLOOKUP(E2440,Sheet2!$B$1:$E$19,4,FALSE))+(F2440-1)</f>
        <v>3779626</v>
      </c>
    </row>
    <row r="2441" spans="1:13" s="1" customFormat="1" ht="15" customHeight="1" x14ac:dyDescent="0.25">
      <c r="A2441" s="27" t="s">
        <v>128</v>
      </c>
      <c r="B2441" s="27" t="s">
        <v>492</v>
      </c>
      <c r="C2441" s="5" t="s">
        <v>1377</v>
      </c>
      <c r="D2441" s="3" t="s">
        <v>454</v>
      </c>
      <c r="E2441" s="3">
        <v>2170</v>
      </c>
      <c r="F2441" s="28">
        <v>16</v>
      </c>
      <c r="G2441" s="10">
        <v>12</v>
      </c>
      <c r="H2441" s="3">
        <v>70</v>
      </c>
      <c r="I2441" s="3">
        <v>66</v>
      </c>
      <c r="J2441" t="str">
        <f t="shared" si="38"/>
        <v>http://www.badatelna.eu/reprodukce/?fondId=1073&amp;zaznamId=1108956&amp;reproId=3779608</v>
      </c>
      <c r="K2441">
        <f>IF(LEN(TRIM(E2441))=0,"",VLOOKUP(E2441,Sheet2!$B$1:$E$19,2,FALSE))</f>
        <v>1073</v>
      </c>
      <c r="L2441">
        <f>IF(LEN(TRIM(E2441))=0,"",VLOOKUP(E2441,Sheet2!$B$1:$E$19,3,FALSE))</f>
        <v>1108956</v>
      </c>
      <c r="M2441">
        <f>IF(LEN(TRIM(E2441))=0,"",VLOOKUP(E2441,Sheet2!$B$1:$E$19,4,FALSE))+(F2441-1)</f>
        <v>3779608</v>
      </c>
    </row>
    <row r="2442" spans="1:13" s="1" customFormat="1" ht="15" customHeight="1" x14ac:dyDescent="0.25">
      <c r="A2442" s="28" t="s">
        <v>128</v>
      </c>
      <c r="B2442" s="28" t="s">
        <v>737</v>
      </c>
      <c r="C2442" s="1">
        <v>1865</v>
      </c>
      <c r="D2442" s="1" t="s">
        <v>2919</v>
      </c>
      <c r="E2442" s="1">
        <v>999</v>
      </c>
      <c r="F2442" s="28">
        <v>89</v>
      </c>
      <c r="G2442" s="1">
        <v>10</v>
      </c>
      <c r="H2442" s="1">
        <v>108</v>
      </c>
      <c r="I2442" s="1">
        <v>168</v>
      </c>
      <c r="J2442" t="str">
        <f t="shared" si="38"/>
        <v>http://www.badatelna.eu/reprodukce/?fondId=241&amp;zaznamId=1133739&amp;reproId=3885818</v>
      </c>
      <c r="K2442">
        <f>IF(LEN(TRIM(E2442))=0,"",VLOOKUP(E2442,Sheet2!$B$1:$E$19,2,FALSE))</f>
        <v>241</v>
      </c>
      <c r="L2442">
        <f>IF(LEN(TRIM(E2442))=0,"",VLOOKUP(E2442,Sheet2!$B$1:$E$19,3,FALSE))</f>
        <v>1133739</v>
      </c>
      <c r="M2442">
        <f>IF(LEN(TRIM(E2442))=0,"",VLOOKUP(E2442,Sheet2!$B$1:$E$19,4,FALSE))+(F2442-1)</f>
        <v>3885818</v>
      </c>
    </row>
    <row r="2443" spans="1:13" s="1" customFormat="1" ht="15" customHeight="1" x14ac:dyDescent="0.25">
      <c r="A2443" s="28" t="s">
        <v>128</v>
      </c>
      <c r="B2443" s="28" t="s">
        <v>361</v>
      </c>
      <c r="C2443" s="6" t="s">
        <v>2185</v>
      </c>
      <c r="D2443" s="1" t="s">
        <v>454</v>
      </c>
      <c r="E2443" s="1">
        <v>2173</v>
      </c>
      <c r="F2443" s="28">
        <v>183</v>
      </c>
      <c r="G2443" s="9">
        <v>12</v>
      </c>
      <c r="H2443" s="1">
        <v>192</v>
      </c>
      <c r="I2443" s="1">
        <v>426</v>
      </c>
      <c r="J2443" t="str">
        <f t="shared" si="38"/>
        <v>http://www.badatelna.eu/reprodukce/?fondId=1073&amp;zaznamId=1108959&amp;reproId=3780176</v>
      </c>
      <c r="K2443">
        <f>IF(LEN(TRIM(E2443))=0,"",VLOOKUP(E2443,Sheet2!$B$1:$E$19,2,FALSE))</f>
        <v>1073</v>
      </c>
      <c r="L2443">
        <f>IF(LEN(TRIM(E2443))=0,"",VLOOKUP(E2443,Sheet2!$B$1:$E$19,3,FALSE))</f>
        <v>1108959</v>
      </c>
      <c r="M2443">
        <f>IF(LEN(TRIM(E2443))=0,"",VLOOKUP(E2443,Sheet2!$B$1:$E$19,4,FALSE))+(F2443-1)</f>
        <v>3780176</v>
      </c>
    </row>
    <row r="2444" spans="1:13" s="1" customFormat="1" ht="15" customHeight="1" x14ac:dyDescent="0.25">
      <c r="A2444" s="28" t="s">
        <v>128</v>
      </c>
      <c r="B2444" s="28" t="s">
        <v>667</v>
      </c>
      <c r="C2444" s="6" t="s">
        <v>1535</v>
      </c>
      <c r="D2444" s="1" t="s">
        <v>454</v>
      </c>
      <c r="E2444" s="1">
        <v>2172</v>
      </c>
      <c r="F2444" s="28">
        <v>14</v>
      </c>
      <c r="G2444" s="9">
        <v>13</v>
      </c>
      <c r="H2444" s="1" t="s">
        <v>3073</v>
      </c>
      <c r="I2444" s="1" t="s">
        <v>3073</v>
      </c>
      <c r="J2444" t="str">
        <f t="shared" si="38"/>
        <v>http://www.badatelna.eu/reprodukce/?fondId=1073&amp;zaznamId=1108958&amp;reproId=3779755</v>
      </c>
      <c r="K2444">
        <f>IF(LEN(TRIM(E2444))=0,"",VLOOKUP(E2444,Sheet2!$B$1:$E$19,2,FALSE))</f>
        <v>1073</v>
      </c>
      <c r="L2444">
        <f>IF(LEN(TRIM(E2444))=0,"",VLOOKUP(E2444,Sheet2!$B$1:$E$19,3,FALSE))</f>
        <v>1108958</v>
      </c>
      <c r="M2444">
        <f>IF(LEN(TRIM(E2444))=0,"",VLOOKUP(E2444,Sheet2!$B$1:$E$19,4,FALSE))+(F2444-1)</f>
        <v>3779755</v>
      </c>
    </row>
    <row r="2445" spans="1:13" s="1" customFormat="1" ht="15" customHeight="1" x14ac:dyDescent="0.25">
      <c r="A2445" s="27" t="s">
        <v>128</v>
      </c>
      <c r="B2445" s="27" t="s">
        <v>560</v>
      </c>
      <c r="C2445" s="5" t="s">
        <v>1428</v>
      </c>
      <c r="D2445" s="3" t="s">
        <v>454</v>
      </c>
      <c r="E2445" s="3">
        <v>2170</v>
      </c>
      <c r="F2445" s="28">
        <v>53</v>
      </c>
      <c r="G2445" s="10">
        <v>49</v>
      </c>
      <c r="H2445" s="3">
        <v>71</v>
      </c>
      <c r="I2445" s="3">
        <v>67</v>
      </c>
      <c r="J2445" t="str">
        <f t="shared" si="38"/>
        <v>http://www.badatelna.eu/reprodukce/?fondId=1073&amp;zaznamId=1108956&amp;reproId=3779645</v>
      </c>
      <c r="K2445">
        <f>IF(LEN(TRIM(E2445))=0,"",VLOOKUP(E2445,Sheet2!$B$1:$E$19,2,FALSE))</f>
        <v>1073</v>
      </c>
      <c r="L2445">
        <f>IF(LEN(TRIM(E2445))=0,"",VLOOKUP(E2445,Sheet2!$B$1:$E$19,3,FALSE))</f>
        <v>1108956</v>
      </c>
      <c r="M2445">
        <f>IF(LEN(TRIM(E2445))=0,"",VLOOKUP(E2445,Sheet2!$B$1:$E$19,4,FALSE))+(F2445-1)</f>
        <v>3779645</v>
      </c>
    </row>
    <row r="2446" spans="1:13" s="1" customFormat="1" ht="15" customHeight="1" x14ac:dyDescent="0.25">
      <c r="A2446" s="28" t="s">
        <v>128</v>
      </c>
      <c r="B2446" s="28" t="s">
        <v>466</v>
      </c>
      <c r="C2446" s="1">
        <v>1865</v>
      </c>
      <c r="D2446" s="1" t="s">
        <v>2919</v>
      </c>
      <c r="E2446" s="1">
        <v>999</v>
      </c>
      <c r="F2446" s="28">
        <v>89</v>
      </c>
      <c r="G2446" s="1">
        <v>10</v>
      </c>
      <c r="H2446" s="1">
        <v>108</v>
      </c>
      <c r="I2446" s="1">
        <v>168</v>
      </c>
      <c r="J2446" t="str">
        <f t="shared" si="38"/>
        <v>http://www.badatelna.eu/reprodukce/?fondId=241&amp;zaznamId=1133739&amp;reproId=3885818</v>
      </c>
      <c r="K2446">
        <f>IF(LEN(TRIM(E2446))=0,"",VLOOKUP(E2446,Sheet2!$B$1:$E$19,2,FALSE))</f>
        <v>241</v>
      </c>
      <c r="L2446">
        <f>IF(LEN(TRIM(E2446))=0,"",VLOOKUP(E2446,Sheet2!$B$1:$E$19,3,FALSE))</f>
        <v>1133739</v>
      </c>
      <c r="M2446">
        <f>IF(LEN(TRIM(E2446))=0,"",VLOOKUP(E2446,Sheet2!$B$1:$E$19,4,FALSE))+(F2446-1)</f>
        <v>3885818</v>
      </c>
    </row>
    <row r="2447" spans="1:13" s="1" customFormat="1" ht="15" customHeight="1" x14ac:dyDescent="0.25">
      <c r="A2447" s="27" t="s">
        <v>128</v>
      </c>
      <c r="B2447" s="27" t="s">
        <v>466</v>
      </c>
      <c r="C2447" s="5" t="s">
        <v>1383</v>
      </c>
      <c r="D2447" s="3" t="s">
        <v>454</v>
      </c>
      <c r="E2447" s="3">
        <v>2170</v>
      </c>
      <c r="F2447" s="28">
        <v>15</v>
      </c>
      <c r="G2447" s="10">
        <v>11</v>
      </c>
      <c r="H2447" s="3">
        <v>70</v>
      </c>
      <c r="I2447" s="3">
        <v>66</v>
      </c>
      <c r="J2447" t="str">
        <f t="shared" si="38"/>
        <v>http://www.badatelna.eu/reprodukce/?fondId=1073&amp;zaznamId=1108956&amp;reproId=3779607</v>
      </c>
      <c r="K2447">
        <f>IF(LEN(TRIM(E2447))=0,"",VLOOKUP(E2447,Sheet2!$B$1:$E$19,2,FALSE))</f>
        <v>1073</v>
      </c>
      <c r="L2447">
        <f>IF(LEN(TRIM(E2447))=0,"",VLOOKUP(E2447,Sheet2!$B$1:$E$19,3,FALSE))</f>
        <v>1108956</v>
      </c>
      <c r="M2447">
        <f>IF(LEN(TRIM(E2447))=0,"",VLOOKUP(E2447,Sheet2!$B$1:$E$19,4,FALSE))+(F2447-1)</f>
        <v>3779607</v>
      </c>
    </row>
    <row r="2448" spans="1:13" s="1" customFormat="1" ht="15" customHeight="1" x14ac:dyDescent="0.25">
      <c r="A2448" s="27" t="s">
        <v>128</v>
      </c>
      <c r="B2448" s="27" t="s">
        <v>621</v>
      </c>
      <c r="C2448" s="5" t="s">
        <v>1427</v>
      </c>
      <c r="D2448" s="3" t="s">
        <v>454</v>
      </c>
      <c r="E2448" s="3">
        <v>2170</v>
      </c>
      <c r="F2448" s="28">
        <v>52</v>
      </c>
      <c r="G2448" s="10">
        <v>48</v>
      </c>
      <c r="H2448" s="3">
        <v>71</v>
      </c>
      <c r="I2448" s="3">
        <v>67</v>
      </c>
      <c r="J2448" t="str">
        <f t="shared" si="38"/>
        <v>http://www.badatelna.eu/reprodukce/?fondId=1073&amp;zaznamId=1108956&amp;reproId=3779644</v>
      </c>
      <c r="K2448">
        <f>IF(LEN(TRIM(E2448))=0,"",VLOOKUP(E2448,Sheet2!$B$1:$E$19,2,FALSE))</f>
        <v>1073</v>
      </c>
      <c r="L2448">
        <f>IF(LEN(TRIM(E2448))=0,"",VLOOKUP(E2448,Sheet2!$B$1:$E$19,3,FALSE))</f>
        <v>1108956</v>
      </c>
      <c r="M2448">
        <f>IF(LEN(TRIM(E2448))=0,"",VLOOKUP(E2448,Sheet2!$B$1:$E$19,4,FALSE))+(F2448-1)</f>
        <v>3779644</v>
      </c>
    </row>
    <row r="2449" spans="1:13" s="1" customFormat="1" ht="15" customHeight="1" x14ac:dyDescent="0.25">
      <c r="A2449" s="28" t="s">
        <v>128</v>
      </c>
      <c r="B2449" s="28" t="s">
        <v>373</v>
      </c>
      <c r="C2449" s="15">
        <v>8807</v>
      </c>
      <c r="D2449" s="1" t="s">
        <v>454</v>
      </c>
      <c r="E2449" s="1">
        <v>2172</v>
      </c>
      <c r="F2449" s="28">
        <v>205</v>
      </c>
      <c r="G2449" s="9">
        <v>191</v>
      </c>
      <c r="H2449" s="1" t="s">
        <v>3073</v>
      </c>
      <c r="I2449" s="1" t="s">
        <v>3073</v>
      </c>
      <c r="J2449" t="str">
        <f t="shared" si="38"/>
        <v>http://www.badatelna.eu/reprodukce/?fondId=1073&amp;zaznamId=1108958&amp;reproId=3779946</v>
      </c>
      <c r="K2449">
        <f>IF(LEN(TRIM(E2449))=0,"",VLOOKUP(E2449,Sheet2!$B$1:$E$19,2,FALSE))</f>
        <v>1073</v>
      </c>
      <c r="L2449">
        <f>IF(LEN(TRIM(E2449))=0,"",VLOOKUP(E2449,Sheet2!$B$1:$E$19,3,FALSE))</f>
        <v>1108958</v>
      </c>
      <c r="M2449">
        <f>IF(LEN(TRIM(E2449))=0,"",VLOOKUP(E2449,Sheet2!$B$1:$E$19,4,FALSE))+(F2449-1)</f>
        <v>3779946</v>
      </c>
    </row>
    <row r="2450" spans="1:13" s="1" customFormat="1" ht="15" customHeight="1" x14ac:dyDescent="0.25">
      <c r="A2450" s="28" t="s">
        <v>128</v>
      </c>
      <c r="B2450" s="28" t="s">
        <v>668</v>
      </c>
      <c r="C2450" s="6" t="s">
        <v>1703</v>
      </c>
      <c r="D2450" s="1" t="s">
        <v>454</v>
      </c>
      <c r="E2450" s="1">
        <v>2172</v>
      </c>
      <c r="F2450" s="28">
        <v>114</v>
      </c>
      <c r="G2450" s="9" t="s">
        <v>2770</v>
      </c>
      <c r="H2450" s="1">
        <v>117</v>
      </c>
      <c r="I2450" s="1">
        <v>116</v>
      </c>
      <c r="J2450" t="str">
        <f t="shared" si="38"/>
        <v>http://www.badatelna.eu/reprodukce/?fondId=1073&amp;zaznamId=1108958&amp;reproId=3779855</v>
      </c>
      <c r="K2450">
        <f>IF(LEN(TRIM(E2450))=0,"",VLOOKUP(E2450,Sheet2!$B$1:$E$19,2,FALSE))</f>
        <v>1073</v>
      </c>
      <c r="L2450">
        <f>IF(LEN(TRIM(E2450))=0,"",VLOOKUP(E2450,Sheet2!$B$1:$E$19,3,FALSE))</f>
        <v>1108958</v>
      </c>
      <c r="M2450">
        <f>IF(LEN(TRIM(E2450))=0,"",VLOOKUP(E2450,Sheet2!$B$1:$E$19,4,FALSE))+(F2450-1)</f>
        <v>3779855</v>
      </c>
    </row>
    <row r="2451" spans="1:13" s="1" customFormat="1" ht="15" customHeight="1" x14ac:dyDescent="0.25">
      <c r="A2451" s="27" t="s">
        <v>128</v>
      </c>
      <c r="B2451" s="27" t="s">
        <v>622</v>
      </c>
      <c r="C2451" s="5" t="s">
        <v>1430</v>
      </c>
      <c r="D2451" s="3" t="s">
        <v>454</v>
      </c>
      <c r="E2451" s="3">
        <v>2170</v>
      </c>
      <c r="F2451" s="28">
        <v>34</v>
      </c>
      <c r="G2451" s="10">
        <v>30</v>
      </c>
      <c r="H2451" s="3">
        <v>71</v>
      </c>
      <c r="I2451" s="3">
        <v>67</v>
      </c>
      <c r="J2451" t="str">
        <f t="shared" si="38"/>
        <v>http://www.badatelna.eu/reprodukce/?fondId=1073&amp;zaznamId=1108956&amp;reproId=3779626</v>
      </c>
      <c r="K2451">
        <f>IF(LEN(TRIM(E2451))=0,"",VLOOKUP(E2451,Sheet2!$B$1:$E$19,2,FALSE))</f>
        <v>1073</v>
      </c>
      <c r="L2451">
        <f>IF(LEN(TRIM(E2451))=0,"",VLOOKUP(E2451,Sheet2!$B$1:$E$19,3,FALSE))</f>
        <v>1108956</v>
      </c>
      <c r="M2451">
        <f>IF(LEN(TRIM(E2451))=0,"",VLOOKUP(E2451,Sheet2!$B$1:$E$19,4,FALSE))+(F2451-1)</f>
        <v>3779626</v>
      </c>
    </row>
    <row r="2452" spans="1:13" s="1" customFormat="1" ht="15" customHeight="1" x14ac:dyDescent="0.25">
      <c r="A2452" s="27" t="s">
        <v>128</v>
      </c>
      <c r="B2452" s="27" t="s">
        <v>382</v>
      </c>
      <c r="C2452" s="5" t="s">
        <v>1380</v>
      </c>
      <c r="D2452" s="3" t="s">
        <v>454</v>
      </c>
      <c r="E2452" s="3">
        <v>2170</v>
      </c>
      <c r="F2452" s="28">
        <v>29</v>
      </c>
      <c r="G2452" s="10">
        <v>25</v>
      </c>
      <c r="H2452" s="3">
        <v>70</v>
      </c>
      <c r="I2452" s="3">
        <v>68</v>
      </c>
      <c r="J2452" t="str">
        <f t="shared" si="38"/>
        <v>http://www.badatelna.eu/reprodukce/?fondId=1073&amp;zaznamId=1108956&amp;reproId=3779621</v>
      </c>
      <c r="K2452">
        <f>IF(LEN(TRIM(E2452))=0,"",VLOOKUP(E2452,Sheet2!$B$1:$E$19,2,FALSE))</f>
        <v>1073</v>
      </c>
      <c r="L2452">
        <f>IF(LEN(TRIM(E2452))=0,"",VLOOKUP(E2452,Sheet2!$B$1:$E$19,3,FALSE))</f>
        <v>1108956</v>
      </c>
      <c r="M2452">
        <f>IF(LEN(TRIM(E2452))=0,"",VLOOKUP(E2452,Sheet2!$B$1:$E$19,4,FALSE))+(F2452-1)</f>
        <v>3779621</v>
      </c>
    </row>
    <row r="2453" spans="1:13" s="1" customFormat="1" ht="15" customHeight="1" x14ac:dyDescent="0.25">
      <c r="A2453" s="28" t="s">
        <v>128</v>
      </c>
      <c r="B2453" s="28" t="s">
        <v>56</v>
      </c>
      <c r="C2453" s="1">
        <v>1855</v>
      </c>
      <c r="D2453" s="1" t="s">
        <v>2919</v>
      </c>
      <c r="E2453" s="1">
        <v>998</v>
      </c>
      <c r="F2453" s="28">
        <v>46</v>
      </c>
      <c r="G2453" s="1">
        <v>44</v>
      </c>
      <c r="H2453" s="1">
        <v>79</v>
      </c>
      <c r="I2453" s="1">
        <v>77</v>
      </c>
      <c r="J2453" t="str">
        <f t="shared" si="38"/>
        <v>http://www.badatelna.eu/reprodukce/?fondId=241&amp;zaznamId=1133738&amp;reproId=3885692</v>
      </c>
      <c r="K2453">
        <f>IF(LEN(TRIM(E2453))=0,"",VLOOKUP(E2453,Sheet2!$B$1:$E$19,2,FALSE))</f>
        <v>241</v>
      </c>
      <c r="L2453">
        <f>IF(LEN(TRIM(E2453))=0,"",VLOOKUP(E2453,Sheet2!$B$1:$E$19,3,FALSE))</f>
        <v>1133738</v>
      </c>
      <c r="M2453">
        <f>IF(LEN(TRIM(E2453))=0,"",VLOOKUP(E2453,Sheet2!$B$1:$E$19,4,FALSE))+(F2453-1)</f>
        <v>3885692</v>
      </c>
    </row>
    <row r="2454" spans="1:13" s="1" customFormat="1" ht="15" customHeight="1" x14ac:dyDescent="0.25">
      <c r="A2454" s="28" t="s">
        <v>128</v>
      </c>
      <c r="B2454" s="28" t="s">
        <v>56</v>
      </c>
      <c r="C2454" s="6" t="s">
        <v>2738</v>
      </c>
      <c r="D2454" s="1" t="s">
        <v>454</v>
      </c>
      <c r="E2454" s="1">
        <v>2173</v>
      </c>
      <c r="F2454" s="28">
        <v>227</v>
      </c>
      <c r="G2454" s="9">
        <v>60</v>
      </c>
      <c r="H2454" s="1" t="s">
        <v>3073</v>
      </c>
      <c r="I2454" s="1" t="s">
        <v>3073</v>
      </c>
      <c r="J2454" t="str">
        <f t="shared" si="38"/>
        <v>http://www.badatelna.eu/reprodukce/?fondId=1073&amp;zaznamId=1108959&amp;reproId=3780220</v>
      </c>
      <c r="K2454">
        <f>IF(LEN(TRIM(E2454))=0,"",VLOOKUP(E2454,Sheet2!$B$1:$E$19,2,FALSE))</f>
        <v>1073</v>
      </c>
      <c r="L2454">
        <f>IF(LEN(TRIM(E2454))=0,"",VLOOKUP(E2454,Sheet2!$B$1:$E$19,3,FALSE))</f>
        <v>1108959</v>
      </c>
      <c r="M2454">
        <f>IF(LEN(TRIM(E2454))=0,"",VLOOKUP(E2454,Sheet2!$B$1:$E$19,4,FALSE))+(F2454-1)</f>
        <v>3780220</v>
      </c>
    </row>
    <row r="2455" spans="1:13" s="1" customFormat="1" ht="15" customHeight="1" x14ac:dyDescent="0.25">
      <c r="A2455" s="28" t="s">
        <v>128</v>
      </c>
      <c r="B2455" s="28" t="s">
        <v>129</v>
      </c>
      <c r="C2455" s="6" t="s">
        <v>2330</v>
      </c>
      <c r="D2455" s="1" t="s">
        <v>454</v>
      </c>
      <c r="E2455" s="1">
        <v>2173</v>
      </c>
      <c r="F2455" s="28">
        <v>200</v>
      </c>
      <c r="G2455" s="9">
        <v>9</v>
      </c>
      <c r="H2455" s="1" t="s">
        <v>3073</v>
      </c>
      <c r="I2455" s="1" t="s">
        <v>3073</v>
      </c>
      <c r="J2455" t="str">
        <f t="shared" si="38"/>
        <v>http://www.badatelna.eu/reprodukce/?fondId=1073&amp;zaznamId=1108959&amp;reproId=3780193</v>
      </c>
      <c r="K2455">
        <f>IF(LEN(TRIM(E2455))=0,"",VLOOKUP(E2455,Sheet2!$B$1:$E$19,2,FALSE))</f>
        <v>1073</v>
      </c>
      <c r="L2455">
        <f>IF(LEN(TRIM(E2455))=0,"",VLOOKUP(E2455,Sheet2!$B$1:$E$19,3,FALSE))</f>
        <v>1108959</v>
      </c>
      <c r="M2455">
        <f>IF(LEN(TRIM(E2455))=0,"",VLOOKUP(E2455,Sheet2!$B$1:$E$19,4,FALSE))+(F2455-1)</f>
        <v>3780193</v>
      </c>
    </row>
    <row r="2456" spans="1:13" s="1" customFormat="1" ht="15" customHeight="1" x14ac:dyDescent="0.25">
      <c r="A2456" s="28" t="s">
        <v>128</v>
      </c>
      <c r="B2456" s="28" t="s">
        <v>129</v>
      </c>
      <c r="C2456" s="6" t="s">
        <v>2549</v>
      </c>
      <c r="D2456" s="1" t="s">
        <v>454</v>
      </c>
      <c r="E2456" s="1">
        <v>2173</v>
      </c>
      <c r="F2456" s="28">
        <v>207</v>
      </c>
      <c r="G2456" s="1">
        <v>23</v>
      </c>
      <c r="H2456" s="1" t="s">
        <v>3073</v>
      </c>
      <c r="I2456" s="1" t="s">
        <v>3073</v>
      </c>
      <c r="J2456" t="str">
        <f t="shared" si="38"/>
        <v>http://www.badatelna.eu/reprodukce/?fondId=1073&amp;zaznamId=1108959&amp;reproId=3780200</v>
      </c>
      <c r="K2456">
        <f>IF(LEN(TRIM(E2456))=0,"",VLOOKUP(E2456,Sheet2!$B$1:$E$19,2,FALSE))</f>
        <v>1073</v>
      </c>
      <c r="L2456">
        <f>IF(LEN(TRIM(E2456))=0,"",VLOOKUP(E2456,Sheet2!$B$1:$E$19,3,FALSE))</f>
        <v>1108959</v>
      </c>
      <c r="M2456">
        <f>IF(LEN(TRIM(E2456))=0,"",VLOOKUP(E2456,Sheet2!$B$1:$E$19,4,FALSE))+(F2456-1)</f>
        <v>3780200</v>
      </c>
    </row>
    <row r="2457" spans="1:13" s="1" customFormat="1" ht="15" customHeight="1" x14ac:dyDescent="0.25">
      <c r="A2457" s="28" t="s">
        <v>128</v>
      </c>
      <c r="B2457" s="28" t="s">
        <v>179</v>
      </c>
      <c r="C2457" s="6" t="s">
        <v>1521</v>
      </c>
      <c r="D2457" s="1" t="s">
        <v>454</v>
      </c>
      <c r="E2457" s="1">
        <v>2172</v>
      </c>
      <c r="F2457" s="28">
        <v>13</v>
      </c>
      <c r="G2457" s="9">
        <v>12</v>
      </c>
      <c r="H2457" s="1" t="s">
        <v>3073</v>
      </c>
      <c r="I2457" s="1" t="s">
        <v>3073</v>
      </c>
      <c r="J2457" t="str">
        <f t="shared" si="38"/>
        <v>http://www.badatelna.eu/reprodukce/?fondId=1073&amp;zaznamId=1108958&amp;reproId=3779754</v>
      </c>
      <c r="K2457">
        <f>IF(LEN(TRIM(E2457))=0,"",VLOOKUP(E2457,Sheet2!$B$1:$E$19,2,FALSE))</f>
        <v>1073</v>
      </c>
      <c r="L2457">
        <f>IF(LEN(TRIM(E2457))=0,"",VLOOKUP(E2457,Sheet2!$B$1:$E$19,3,FALSE))</f>
        <v>1108958</v>
      </c>
      <c r="M2457">
        <f>IF(LEN(TRIM(E2457))=0,"",VLOOKUP(E2457,Sheet2!$B$1:$E$19,4,FALSE))+(F2457-1)</f>
        <v>3779754</v>
      </c>
    </row>
    <row r="2458" spans="1:13" s="1" customFormat="1" ht="15" customHeight="1" x14ac:dyDescent="0.25">
      <c r="A2458" s="28" t="s">
        <v>128</v>
      </c>
      <c r="B2458" s="28" t="s">
        <v>552</v>
      </c>
      <c r="C2458" s="1">
        <v>1862</v>
      </c>
      <c r="D2458" s="1" t="s">
        <v>2919</v>
      </c>
      <c r="E2458" s="1">
        <v>999</v>
      </c>
      <c r="F2458" s="28">
        <v>80</v>
      </c>
      <c r="G2458" s="1">
        <v>1</v>
      </c>
      <c r="H2458" s="1">
        <v>108</v>
      </c>
      <c r="I2458" s="1">
        <v>168</v>
      </c>
      <c r="J2458" t="str">
        <f t="shared" si="38"/>
        <v>http://www.badatelna.eu/reprodukce/?fondId=241&amp;zaznamId=1133739&amp;reproId=3885809</v>
      </c>
      <c r="K2458">
        <f>IF(LEN(TRIM(E2458))=0,"",VLOOKUP(E2458,Sheet2!$B$1:$E$19,2,FALSE))</f>
        <v>241</v>
      </c>
      <c r="L2458">
        <f>IF(LEN(TRIM(E2458))=0,"",VLOOKUP(E2458,Sheet2!$B$1:$E$19,3,FALSE))</f>
        <v>1133739</v>
      </c>
      <c r="M2458">
        <f>IF(LEN(TRIM(E2458))=0,"",VLOOKUP(E2458,Sheet2!$B$1:$E$19,4,FALSE))+(F2458-1)</f>
        <v>3885809</v>
      </c>
    </row>
    <row r="2459" spans="1:13" s="1" customFormat="1" ht="15" customHeight="1" x14ac:dyDescent="0.25">
      <c r="A2459" s="28" t="s">
        <v>128</v>
      </c>
      <c r="B2459" s="28" t="s">
        <v>84</v>
      </c>
      <c r="C2459" s="6" t="s">
        <v>1749</v>
      </c>
      <c r="D2459" s="1" t="s">
        <v>454</v>
      </c>
      <c r="E2459" s="1">
        <v>2172</v>
      </c>
      <c r="F2459" s="28">
        <v>128</v>
      </c>
      <c r="G2459" s="9" t="s">
        <v>2779</v>
      </c>
      <c r="H2459" s="1">
        <v>133</v>
      </c>
      <c r="I2459" s="1">
        <v>132</v>
      </c>
      <c r="J2459" t="str">
        <f t="shared" si="38"/>
        <v>http://www.badatelna.eu/reprodukce/?fondId=1073&amp;zaznamId=1108958&amp;reproId=3779869</v>
      </c>
      <c r="K2459">
        <f>IF(LEN(TRIM(E2459))=0,"",VLOOKUP(E2459,Sheet2!$B$1:$E$19,2,FALSE))</f>
        <v>1073</v>
      </c>
      <c r="L2459">
        <f>IF(LEN(TRIM(E2459))=0,"",VLOOKUP(E2459,Sheet2!$B$1:$E$19,3,FALSE))</f>
        <v>1108958</v>
      </c>
      <c r="M2459">
        <f>IF(LEN(TRIM(E2459))=0,"",VLOOKUP(E2459,Sheet2!$B$1:$E$19,4,FALSE))+(F2459-1)</f>
        <v>3779869</v>
      </c>
    </row>
    <row r="2460" spans="1:13" s="1" customFormat="1" ht="15" customHeight="1" x14ac:dyDescent="0.25">
      <c r="A2460" s="28" t="s">
        <v>128</v>
      </c>
      <c r="B2460" s="28" t="s">
        <v>496</v>
      </c>
      <c r="C2460" s="1">
        <v>1885</v>
      </c>
      <c r="D2460" s="1" t="s">
        <v>454</v>
      </c>
      <c r="E2460" s="1">
        <v>2172</v>
      </c>
      <c r="F2460" s="28">
        <v>47</v>
      </c>
      <c r="G2460" s="9">
        <v>46</v>
      </c>
      <c r="H2460" s="1">
        <v>49</v>
      </c>
      <c r="I2460" s="1">
        <v>50</v>
      </c>
      <c r="J2460" t="str">
        <f t="shared" si="38"/>
        <v>http://www.badatelna.eu/reprodukce/?fondId=1073&amp;zaznamId=1108958&amp;reproId=3779788</v>
      </c>
      <c r="K2460">
        <f>IF(LEN(TRIM(E2460))=0,"",VLOOKUP(E2460,Sheet2!$B$1:$E$19,2,FALSE))</f>
        <v>1073</v>
      </c>
      <c r="L2460">
        <f>IF(LEN(TRIM(E2460))=0,"",VLOOKUP(E2460,Sheet2!$B$1:$E$19,3,FALSE))</f>
        <v>1108958</v>
      </c>
      <c r="M2460">
        <f>IF(LEN(TRIM(E2460))=0,"",VLOOKUP(E2460,Sheet2!$B$1:$E$19,4,FALSE))+(F2460-1)</f>
        <v>3779788</v>
      </c>
    </row>
    <row r="2461" spans="1:13" s="1" customFormat="1" ht="15" customHeight="1" x14ac:dyDescent="0.25">
      <c r="A2461" s="28" t="s">
        <v>128</v>
      </c>
      <c r="B2461" s="28" t="s">
        <v>529</v>
      </c>
      <c r="C2461" s="6" t="s">
        <v>1748</v>
      </c>
      <c r="D2461" s="1" t="s">
        <v>454</v>
      </c>
      <c r="E2461" s="1">
        <v>2172</v>
      </c>
      <c r="F2461" s="28">
        <v>128</v>
      </c>
      <c r="G2461" s="9" t="s">
        <v>2779</v>
      </c>
      <c r="H2461" s="1">
        <v>133</v>
      </c>
      <c r="I2461" s="1">
        <v>132</v>
      </c>
      <c r="J2461" t="str">
        <f t="shared" si="38"/>
        <v>http://www.badatelna.eu/reprodukce/?fondId=1073&amp;zaznamId=1108958&amp;reproId=3779869</v>
      </c>
      <c r="K2461">
        <f>IF(LEN(TRIM(E2461))=0,"",VLOOKUP(E2461,Sheet2!$B$1:$E$19,2,FALSE))</f>
        <v>1073</v>
      </c>
      <c r="L2461">
        <f>IF(LEN(TRIM(E2461))=0,"",VLOOKUP(E2461,Sheet2!$B$1:$E$19,3,FALSE))</f>
        <v>1108958</v>
      </c>
      <c r="M2461">
        <f>IF(LEN(TRIM(E2461))=0,"",VLOOKUP(E2461,Sheet2!$B$1:$E$19,4,FALSE))+(F2461-1)</f>
        <v>3779869</v>
      </c>
    </row>
    <row r="2462" spans="1:13" s="1" customFormat="1" ht="15" customHeight="1" x14ac:dyDescent="0.25">
      <c r="A2462" s="28" t="s">
        <v>128</v>
      </c>
      <c r="B2462" s="28" t="s">
        <v>669</v>
      </c>
      <c r="C2462" s="15">
        <v>12939</v>
      </c>
      <c r="D2462" s="1" t="s">
        <v>454</v>
      </c>
      <c r="E2462" s="1">
        <v>2172</v>
      </c>
      <c r="F2462" s="28">
        <v>235</v>
      </c>
      <c r="G2462" s="9">
        <v>215</v>
      </c>
      <c r="H2462" s="1" t="s">
        <v>3073</v>
      </c>
      <c r="I2462" s="1" t="s">
        <v>3073</v>
      </c>
      <c r="J2462" t="str">
        <f t="shared" si="38"/>
        <v>http://www.badatelna.eu/reprodukce/?fondId=1073&amp;zaznamId=1108958&amp;reproId=3779976</v>
      </c>
      <c r="K2462">
        <f>IF(LEN(TRIM(E2462))=0,"",VLOOKUP(E2462,Sheet2!$B$1:$E$19,2,FALSE))</f>
        <v>1073</v>
      </c>
      <c r="L2462">
        <f>IF(LEN(TRIM(E2462))=0,"",VLOOKUP(E2462,Sheet2!$B$1:$E$19,3,FALSE))</f>
        <v>1108958</v>
      </c>
      <c r="M2462">
        <f>IF(LEN(TRIM(E2462))=0,"",VLOOKUP(E2462,Sheet2!$B$1:$E$19,4,FALSE))+(F2462-1)</f>
        <v>3779976</v>
      </c>
    </row>
    <row r="2463" spans="1:13" s="1" customFormat="1" ht="15" customHeight="1" x14ac:dyDescent="0.25">
      <c r="A2463" s="28" t="s">
        <v>128</v>
      </c>
      <c r="B2463" s="28" t="s">
        <v>305</v>
      </c>
      <c r="C2463" s="6" t="s">
        <v>2186</v>
      </c>
      <c r="D2463" s="1" t="s">
        <v>454</v>
      </c>
      <c r="E2463" s="1">
        <v>2173</v>
      </c>
      <c r="F2463" s="28">
        <v>180</v>
      </c>
      <c r="G2463" s="9">
        <v>7</v>
      </c>
      <c r="H2463" s="1">
        <v>192</v>
      </c>
      <c r="I2463" s="1">
        <v>426</v>
      </c>
      <c r="J2463" t="str">
        <f t="shared" si="38"/>
        <v>http://www.badatelna.eu/reprodukce/?fondId=1073&amp;zaznamId=1108959&amp;reproId=3780173</v>
      </c>
      <c r="K2463">
        <f>IF(LEN(TRIM(E2463))=0,"",VLOOKUP(E2463,Sheet2!$B$1:$E$19,2,FALSE))</f>
        <v>1073</v>
      </c>
      <c r="L2463">
        <f>IF(LEN(TRIM(E2463))=0,"",VLOOKUP(E2463,Sheet2!$B$1:$E$19,3,FALSE))</f>
        <v>1108959</v>
      </c>
      <c r="M2463">
        <f>IF(LEN(TRIM(E2463))=0,"",VLOOKUP(E2463,Sheet2!$B$1:$E$19,4,FALSE))+(F2463-1)</f>
        <v>3780173</v>
      </c>
    </row>
    <row r="2464" spans="1:13" s="1" customFormat="1" ht="15" customHeight="1" x14ac:dyDescent="0.25">
      <c r="A2464" s="28" t="s">
        <v>128</v>
      </c>
      <c r="B2464" s="28" t="s">
        <v>3144</v>
      </c>
      <c r="C2464" s="6" t="s">
        <v>1556</v>
      </c>
      <c r="D2464" s="1" t="s">
        <v>454</v>
      </c>
      <c r="E2464" s="1">
        <v>2172</v>
      </c>
      <c r="F2464" s="28">
        <v>18</v>
      </c>
      <c r="G2464" s="9">
        <v>17</v>
      </c>
      <c r="H2464" s="1" t="s">
        <v>3073</v>
      </c>
      <c r="I2464" s="1" t="s">
        <v>3073</v>
      </c>
      <c r="J2464" t="str">
        <f t="shared" si="38"/>
        <v>http://www.badatelna.eu/reprodukce/?fondId=1073&amp;zaznamId=1108958&amp;reproId=3779759</v>
      </c>
      <c r="K2464">
        <f>IF(LEN(TRIM(E2464))=0,"",VLOOKUP(E2464,Sheet2!$B$1:$E$19,2,FALSE))</f>
        <v>1073</v>
      </c>
      <c r="L2464">
        <f>IF(LEN(TRIM(E2464))=0,"",VLOOKUP(E2464,Sheet2!$B$1:$E$19,3,FALSE))</f>
        <v>1108958</v>
      </c>
      <c r="M2464">
        <f>IF(LEN(TRIM(E2464))=0,"",VLOOKUP(E2464,Sheet2!$B$1:$E$19,4,FALSE))+(F2464-1)</f>
        <v>3779759</v>
      </c>
    </row>
    <row r="2465" spans="1:13" s="1" customFormat="1" ht="15" customHeight="1" x14ac:dyDescent="0.25">
      <c r="A2465" s="28" t="s">
        <v>128</v>
      </c>
      <c r="B2465" s="28" t="s">
        <v>198</v>
      </c>
      <c r="C2465" s="6" t="s">
        <v>1789</v>
      </c>
      <c r="D2465" s="1" t="s">
        <v>454</v>
      </c>
      <c r="E2465" s="1">
        <v>2172</v>
      </c>
      <c r="F2465" s="28">
        <v>153</v>
      </c>
      <c r="G2465" s="9">
        <v>148</v>
      </c>
      <c r="H2465" s="1">
        <v>154</v>
      </c>
      <c r="I2465" s="1">
        <v>149</v>
      </c>
      <c r="J2465" t="str">
        <f t="shared" si="38"/>
        <v>http://www.badatelna.eu/reprodukce/?fondId=1073&amp;zaznamId=1108958&amp;reproId=3779894</v>
      </c>
      <c r="K2465">
        <f>IF(LEN(TRIM(E2465))=0,"",VLOOKUP(E2465,Sheet2!$B$1:$E$19,2,FALSE))</f>
        <v>1073</v>
      </c>
      <c r="L2465">
        <f>IF(LEN(TRIM(E2465))=0,"",VLOOKUP(E2465,Sheet2!$B$1:$E$19,3,FALSE))</f>
        <v>1108958</v>
      </c>
      <c r="M2465">
        <f>IF(LEN(TRIM(E2465))=0,"",VLOOKUP(E2465,Sheet2!$B$1:$E$19,4,FALSE))+(F2465-1)</f>
        <v>3779894</v>
      </c>
    </row>
    <row r="2466" spans="1:13" s="1" customFormat="1" ht="15" customHeight="1" x14ac:dyDescent="0.25">
      <c r="A2466" s="28" t="s">
        <v>128</v>
      </c>
      <c r="B2466" s="28" t="s">
        <v>198</v>
      </c>
      <c r="C2466" s="6" t="s">
        <v>2465</v>
      </c>
      <c r="D2466" s="1" t="s">
        <v>454</v>
      </c>
      <c r="E2466" s="1">
        <v>2173</v>
      </c>
      <c r="F2466" s="28">
        <v>204</v>
      </c>
      <c r="G2466" s="1">
        <v>18</v>
      </c>
      <c r="H2466" s="1" t="s">
        <v>3073</v>
      </c>
      <c r="I2466" s="1" t="s">
        <v>3073</v>
      </c>
      <c r="J2466" t="str">
        <f t="shared" si="38"/>
        <v>http://www.badatelna.eu/reprodukce/?fondId=1073&amp;zaznamId=1108959&amp;reproId=3780197</v>
      </c>
      <c r="K2466">
        <f>IF(LEN(TRIM(E2466))=0,"",VLOOKUP(E2466,Sheet2!$B$1:$E$19,2,FALSE))</f>
        <v>1073</v>
      </c>
      <c r="L2466">
        <f>IF(LEN(TRIM(E2466))=0,"",VLOOKUP(E2466,Sheet2!$B$1:$E$19,3,FALSE))</f>
        <v>1108959</v>
      </c>
      <c r="M2466">
        <f>IF(LEN(TRIM(E2466))=0,"",VLOOKUP(E2466,Sheet2!$B$1:$E$19,4,FALSE))+(F2466-1)</f>
        <v>3780197</v>
      </c>
    </row>
    <row r="2467" spans="1:13" s="1" customFormat="1" ht="15" customHeight="1" x14ac:dyDescent="0.25">
      <c r="A2467" s="27" t="s">
        <v>128</v>
      </c>
      <c r="B2467" s="27" t="s">
        <v>623</v>
      </c>
      <c r="C2467" s="5" t="s">
        <v>1426</v>
      </c>
      <c r="D2467" s="3" t="s">
        <v>454</v>
      </c>
      <c r="E2467" s="3">
        <v>2170</v>
      </c>
      <c r="F2467" s="28">
        <v>59</v>
      </c>
      <c r="G2467" s="10">
        <v>55</v>
      </c>
      <c r="H2467" s="3">
        <v>71</v>
      </c>
      <c r="I2467" s="3">
        <v>67</v>
      </c>
      <c r="J2467" t="str">
        <f t="shared" si="38"/>
        <v>http://www.badatelna.eu/reprodukce/?fondId=1073&amp;zaznamId=1108956&amp;reproId=3779651</v>
      </c>
      <c r="K2467">
        <f>IF(LEN(TRIM(E2467))=0,"",VLOOKUP(E2467,Sheet2!$B$1:$E$19,2,FALSE))</f>
        <v>1073</v>
      </c>
      <c r="L2467">
        <f>IF(LEN(TRIM(E2467))=0,"",VLOOKUP(E2467,Sheet2!$B$1:$E$19,3,FALSE))</f>
        <v>1108956</v>
      </c>
      <c r="M2467">
        <f>IF(LEN(TRIM(E2467))=0,"",VLOOKUP(E2467,Sheet2!$B$1:$E$19,4,FALSE))+(F2467-1)</f>
        <v>3779651</v>
      </c>
    </row>
    <row r="2468" spans="1:13" s="1" customFormat="1" ht="15" customHeight="1" x14ac:dyDescent="0.25">
      <c r="A2468" s="27" t="s">
        <v>128</v>
      </c>
      <c r="B2468" s="27" t="s">
        <v>624</v>
      </c>
      <c r="C2468" s="5" t="s">
        <v>1425</v>
      </c>
      <c r="D2468" s="3" t="s">
        <v>454</v>
      </c>
      <c r="E2468" s="3">
        <v>2170</v>
      </c>
      <c r="F2468" s="31">
        <v>38</v>
      </c>
      <c r="G2468" s="10">
        <v>34</v>
      </c>
      <c r="H2468" s="3">
        <v>71</v>
      </c>
      <c r="I2468" s="3">
        <v>67</v>
      </c>
      <c r="J2468" t="str">
        <f t="shared" si="38"/>
        <v>http://www.badatelna.eu/reprodukce/?fondId=1073&amp;zaznamId=1108956&amp;reproId=3779630</v>
      </c>
      <c r="K2468">
        <f>IF(LEN(TRIM(E2468))=0,"",VLOOKUP(E2468,Sheet2!$B$1:$E$19,2,FALSE))</f>
        <v>1073</v>
      </c>
      <c r="L2468">
        <f>IF(LEN(TRIM(E2468))=0,"",VLOOKUP(E2468,Sheet2!$B$1:$E$19,3,FALSE))</f>
        <v>1108956</v>
      </c>
      <c r="M2468">
        <f>IF(LEN(TRIM(E2468))=0,"",VLOOKUP(E2468,Sheet2!$B$1:$E$19,4,FALSE))+(F2468-1)</f>
        <v>3779630</v>
      </c>
    </row>
    <row r="2469" spans="1:13" s="1" customFormat="1" ht="15" customHeight="1" x14ac:dyDescent="0.25">
      <c r="A2469" s="28" t="s">
        <v>128</v>
      </c>
      <c r="B2469" s="28" t="s">
        <v>545</v>
      </c>
      <c r="C2469" s="6" t="s">
        <v>1426</v>
      </c>
      <c r="D2469" s="1" t="s">
        <v>454</v>
      </c>
      <c r="E2469" s="1">
        <v>2172</v>
      </c>
      <c r="F2469" s="28">
        <v>4</v>
      </c>
      <c r="G2469" s="9">
        <v>1</v>
      </c>
      <c r="H2469" s="1">
        <v>9</v>
      </c>
      <c r="I2469" s="1">
        <v>2</v>
      </c>
      <c r="J2469" t="str">
        <f t="shared" si="38"/>
        <v>http://www.badatelna.eu/reprodukce/?fondId=1073&amp;zaznamId=1108958&amp;reproId=3779745</v>
      </c>
      <c r="K2469">
        <f>IF(LEN(TRIM(E2469))=0,"",VLOOKUP(E2469,Sheet2!$B$1:$E$19,2,FALSE))</f>
        <v>1073</v>
      </c>
      <c r="L2469">
        <f>IF(LEN(TRIM(E2469))=0,"",VLOOKUP(E2469,Sheet2!$B$1:$E$19,3,FALSE))</f>
        <v>1108958</v>
      </c>
      <c r="M2469">
        <f>IF(LEN(TRIM(E2469))=0,"",VLOOKUP(E2469,Sheet2!$B$1:$E$19,4,FALSE))+(F2469-1)</f>
        <v>3779745</v>
      </c>
    </row>
    <row r="2470" spans="1:13" s="1" customFormat="1" ht="15" customHeight="1" x14ac:dyDescent="0.25">
      <c r="A2470" s="28" t="s">
        <v>128</v>
      </c>
      <c r="B2470" s="28" t="s">
        <v>49</v>
      </c>
      <c r="C2470" s="6" t="s">
        <v>2548</v>
      </c>
      <c r="D2470" s="1" t="s">
        <v>454</v>
      </c>
      <c r="E2470" s="1">
        <v>2173</v>
      </c>
      <c r="F2470" s="28">
        <v>207</v>
      </c>
      <c r="G2470" s="1">
        <v>24</v>
      </c>
      <c r="H2470" s="1" t="s">
        <v>3073</v>
      </c>
      <c r="I2470" s="1" t="s">
        <v>3073</v>
      </c>
      <c r="J2470" t="str">
        <f t="shared" si="38"/>
        <v>http://www.badatelna.eu/reprodukce/?fondId=1073&amp;zaznamId=1108959&amp;reproId=3780200</v>
      </c>
      <c r="K2470">
        <f>IF(LEN(TRIM(E2470))=0,"",VLOOKUP(E2470,Sheet2!$B$1:$E$19,2,FALSE))</f>
        <v>1073</v>
      </c>
      <c r="L2470">
        <f>IF(LEN(TRIM(E2470))=0,"",VLOOKUP(E2470,Sheet2!$B$1:$E$19,3,FALSE))</f>
        <v>1108959</v>
      </c>
      <c r="M2470">
        <f>IF(LEN(TRIM(E2470))=0,"",VLOOKUP(E2470,Sheet2!$B$1:$E$19,4,FALSE))+(F2470-1)</f>
        <v>3780200</v>
      </c>
    </row>
    <row r="2471" spans="1:13" s="1" customFormat="1" ht="15" customHeight="1" x14ac:dyDescent="0.25">
      <c r="A2471" s="27" t="s">
        <v>128</v>
      </c>
      <c r="B2471" s="27" t="s">
        <v>462</v>
      </c>
      <c r="C2471" s="5" t="s">
        <v>1386</v>
      </c>
      <c r="D2471" s="3" t="s">
        <v>454</v>
      </c>
      <c r="E2471" s="3">
        <v>2170</v>
      </c>
      <c r="F2471" s="31">
        <v>26</v>
      </c>
      <c r="G2471" s="10">
        <v>22</v>
      </c>
      <c r="H2471" s="3">
        <v>70</v>
      </c>
      <c r="I2471" s="3">
        <v>66</v>
      </c>
      <c r="J2471" t="str">
        <f t="shared" si="38"/>
        <v>http://www.badatelna.eu/reprodukce/?fondId=1073&amp;zaznamId=1108956&amp;reproId=3779618</v>
      </c>
      <c r="K2471">
        <f>IF(LEN(TRIM(E2471))=0,"",VLOOKUP(E2471,Sheet2!$B$1:$E$19,2,FALSE))</f>
        <v>1073</v>
      </c>
      <c r="L2471">
        <f>IF(LEN(TRIM(E2471))=0,"",VLOOKUP(E2471,Sheet2!$B$1:$E$19,3,FALSE))</f>
        <v>1108956</v>
      </c>
      <c r="M2471">
        <f>IF(LEN(TRIM(E2471))=0,"",VLOOKUP(E2471,Sheet2!$B$1:$E$19,4,FALSE))+(F2471-1)</f>
        <v>3779618</v>
      </c>
    </row>
    <row r="2472" spans="1:13" s="1" customFormat="1" ht="15" customHeight="1" x14ac:dyDescent="0.25">
      <c r="A2472" s="28" t="s">
        <v>128</v>
      </c>
      <c r="B2472" s="28" t="s">
        <v>326</v>
      </c>
      <c r="C2472" s="1">
        <v>1851</v>
      </c>
      <c r="D2472" s="1" t="s">
        <v>2919</v>
      </c>
      <c r="E2472" s="1">
        <v>998</v>
      </c>
      <c r="F2472" s="28">
        <v>33</v>
      </c>
      <c r="G2472" s="1">
        <v>31</v>
      </c>
      <c r="H2472" s="1">
        <v>78</v>
      </c>
      <c r="I2472" s="1">
        <v>76</v>
      </c>
      <c r="J2472" t="str">
        <f t="shared" si="38"/>
        <v>http://www.badatelna.eu/reprodukce/?fondId=241&amp;zaznamId=1133738&amp;reproId=3885679</v>
      </c>
      <c r="K2472">
        <f>IF(LEN(TRIM(E2472))=0,"",VLOOKUP(E2472,Sheet2!$B$1:$E$19,2,FALSE))</f>
        <v>241</v>
      </c>
      <c r="L2472">
        <f>IF(LEN(TRIM(E2472))=0,"",VLOOKUP(E2472,Sheet2!$B$1:$E$19,3,FALSE))</f>
        <v>1133738</v>
      </c>
      <c r="M2472">
        <f>IF(LEN(TRIM(E2472))=0,"",VLOOKUP(E2472,Sheet2!$B$1:$E$19,4,FALSE))+(F2472-1)</f>
        <v>3885679</v>
      </c>
    </row>
    <row r="2473" spans="1:13" s="1" customFormat="1" ht="15" customHeight="1" x14ac:dyDescent="0.25">
      <c r="A2473" s="28" t="s">
        <v>128</v>
      </c>
      <c r="B2473" s="28" t="s">
        <v>272</v>
      </c>
      <c r="C2473" s="15">
        <v>6336</v>
      </c>
      <c r="D2473" s="1" t="s">
        <v>454</v>
      </c>
      <c r="E2473" s="1">
        <v>2172</v>
      </c>
      <c r="F2473" s="28">
        <v>193</v>
      </c>
      <c r="G2473" s="9">
        <v>183</v>
      </c>
      <c r="H2473" s="1" t="s">
        <v>3073</v>
      </c>
      <c r="I2473" s="1" t="s">
        <v>3073</v>
      </c>
      <c r="J2473" t="str">
        <f t="shared" si="38"/>
        <v>http://www.badatelna.eu/reprodukce/?fondId=1073&amp;zaznamId=1108958&amp;reproId=3779934</v>
      </c>
      <c r="K2473">
        <f>IF(LEN(TRIM(E2473))=0,"",VLOOKUP(E2473,Sheet2!$B$1:$E$19,2,FALSE))</f>
        <v>1073</v>
      </c>
      <c r="L2473">
        <f>IF(LEN(TRIM(E2473))=0,"",VLOOKUP(E2473,Sheet2!$B$1:$E$19,3,FALSE))</f>
        <v>1108958</v>
      </c>
      <c r="M2473">
        <f>IF(LEN(TRIM(E2473))=0,"",VLOOKUP(E2473,Sheet2!$B$1:$E$19,4,FALSE))+(F2473-1)</f>
        <v>3779934</v>
      </c>
    </row>
    <row r="2474" spans="1:13" s="1" customFormat="1" ht="15" customHeight="1" x14ac:dyDescent="0.25">
      <c r="A2474" s="27" t="s">
        <v>128</v>
      </c>
      <c r="B2474" s="27" t="s">
        <v>46</v>
      </c>
      <c r="C2474" s="5" t="s">
        <v>1379</v>
      </c>
      <c r="D2474" s="3" t="s">
        <v>454</v>
      </c>
      <c r="E2474" s="3">
        <v>2170</v>
      </c>
      <c r="F2474" s="37">
        <v>21</v>
      </c>
      <c r="G2474" s="10">
        <v>17</v>
      </c>
      <c r="H2474" s="3">
        <v>70</v>
      </c>
      <c r="I2474" s="3">
        <v>66</v>
      </c>
      <c r="J2474" t="str">
        <f t="shared" si="38"/>
        <v>http://www.badatelna.eu/reprodukce/?fondId=1073&amp;zaznamId=1108956&amp;reproId=3779613</v>
      </c>
      <c r="K2474">
        <f>IF(LEN(TRIM(E2474))=0,"",VLOOKUP(E2474,Sheet2!$B$1:$E$19,2,FALSE))</f>
        <v>1073</v>
      </c>
      <c r="L2474">
        <f>IF(LEN(TRIM(E2474))=0,"",VLOOKUP(E2474,Sheet2!$B$1:$E$19,3,FALSE))</f>
        <v>1108956</v>
      </c>
      <c r="M2474">
        <f>IF(LEN(TRIM(E2474))=0,"",VLOOKUP(E2474,Sheet2!$B$1:$E$19,4,FALSE))+(F2474-1)</f>
        <v>3779613</v>
      </c>
    </row>
    <row r="2475" spans="1:13" s="1" customFormat="1" ht="15" customHeight="1" x14ac:dyDescent="0.25">
      <c r="A2475" s="28" t="s">
        <v>128</v>
      </c>
      <c r="B2475" s="28" t="s">
        <v>3057</v>
      </c>
      <c r="C2475" s="1">
        <v>1866</v>
      </c>
      <c r="D2475" s="1" t="s">
        <v>2919</v>
      </c>
      <c r="E2475" s="1">
        <v>999</v>
      </c>
      <c r="F2475" s="28">
        <v>93</v>
      </c>
      <c r="G2475" s="1">
        <v>14</v>
      </c>
      <c r="H2475" s="1">
        <v>108</v>
      </c>
      <c r="I2475" s="1">
        <v>168</v>
      </c>
      <c r="J2475" t="str">
        <f t="shared" si="38"/>
        <v>http://www.badatelna.eu/reprodukce/?fondId=241&amp;zaznamId=1133739&amp;reproId=3885822</v>
      </c>
      <c r="K2475">
        <f>IF(LEN(TRIM(E2475))=0,"",VLOOKUP(E2475,Sheet2!$B$1:$E$19,2,FALSE))</f>
        <v>241</v>
      </c>
      <c r="L2475">
        <f>IF(LEN(TRIM(E2475))=0,"",VLOOKUP(E2475,Sheet2!$B$1:$E$19,3,FALSE))</f>
        <v>1133739</v>
      </c>
      <c r="M2475">
        <f>IF(LEN(TRIM(E2475))=0,"",VLOOKUP(E2475,Sheet2!$B$1:$E$19,4,FALSE))+(F2475-1)</f>
        <v>3885822</v>
      </c>
    </row>
    <row r="2476" spans="1:13" s="1" customFormat="1" ht="15" customHeight="1" x14ac:dyDescent="0.25">
      <c r="A2476" s="28" t="s">
        <v>128</v>
      </c>
      <c r="B2476" s="28" t="s">
        <v>213</v>
      </c>
      <c r="C2476" s="6" t="s">
        <v>2843</v>
      </c>
      <c r="D2476" s="1" t="s">
        <v>454</v>
      </c>
      <c r="E2476" s="1">
        <v>2173</v>
      </c>
      <c r="F2476" s="28">
        <v>209</v>
      </c>
      <c r="G2476" s="9" t="s">
        <v>2757</v>
      </c>
      <c r="H2476" s="1" t="s">
        <v>3073</v>
      </c>
      <c r="I2476" s="1" t="s">
        <v>3073</v>
      </c>
      <c r="J2476" t="str">
        <f t="shared" si="38"/>
        <v>http://www.badatelna.eu/reprodukce/?fondId=1073&amp;zaznamId=1108959&amp;reproId=3780202</v>
      </c>
      <c r="K2476">
        <f>IF(LEN(TRIM(E2476))=0,"",VLOOKUP(E2476,Sheet2!$B$1:$E$19,2,FALSE))</f>
        <v>1073</v>
      </c>
      <c r="L2476">
        <f>IF(LEN(TRIM(E2476))=0,"",VLOOKUP(E2476,Sheet2!$B$1:$E$19,3,FALSE))</f>
        <v>1108959</v>
      </c>
      <c r="M2476">
        <f>IF(LEN(TRIM(E2476))=0,"",VLOOKUP(E2476,Sheet2!$B$1:$E$19,4,FALSE))+(F2476-1)</f>
        <v>3780202</v>
      </c>
    </row>
    <row r="2477" spans="1:13" s="1" customFormat="1" ht="15" customHeight="1" x14ac:dyDescent="0.25">
      <c r="A2477" s="28" t="s">
        <v>128</v>
      </c>
      <c r="B2477" s="28" t="s">
        <v>28</v>
      </c>
      <c r="C2477" s="15">
        <v>4668</v>
      </c>
      <c r="D2477" s="1" t="s">
        <v>454</v>
      </c>
      <c r="E2477" s="1">
        <v>2172</v>
      </c>
      <c r="F2477" s="28">
        <v>181</v>
      </c>
      <c r="G2477" s="9">
        <v>173</v>
      </c>
      <c r="H2477" s="1" t="s">
        <v>3073</v>
      </c>
      <c r="I2477" s="1" t="s">
        <v>3073</v>
      </c>
      <c r="J2477" t="str">
        <f t="shared" si="38"/>
        <v>http://www.badatelna.eu/reprodukce/?fondId=1073&amp;zaznamId=1108958&amp;reproId=3779922</v>
      </c>
      <c r="K2477">
        <f>IF(LEN(TRIM(E2477))=0,"",VLOOKUP(E2477,Sheet2!$B$1:$E$19,2,FALSE))</f>
        <v>1073</v>
      </c>
      <c r="L2477">
        <f>IF(LEN(TRIM(E2477))=0,"",VLOOKUP(E2477,Sheet2!$B$1:$E$19,3,FALSE))</f>
        <v>1108958</v>
      </c>
      <c r="M2477">
        <f>IF(LEN(TRIM(E2477))=0,"",VLOOKUP(E2477,Sheet2!$B$1:$E$19,4,FALSE))+(F2477-1)</f>
        <v>3779922</v>
      </c>
    </row>
    <row r="2478" spans="1:13" s="1" customFormat="1" ht="15" customHeight="1" x14ac:dyDescent="0.25">
      <c r="A2478" s="28" t="s">
        <v>128</v>
      </c>
      <c r="B2478" s="28" t="s">
        <v>39</v>
      </c>
      <c r="C2478" s="1">
        <v>1856</v>
      </c>
      <c r="D2478" s="1" t="s">
        <v>2919</v>
      </c>
      <c r="E2478" s="1">
        <v>998</v>
      </c>
      <c r="F2478" s="28">
        <v>49</v>
      </c>
      <c r="G2478" s="1">
        <v>47</v>
      </c>
      <c r="H2478" s="1">
        <v>79</v>
      </c>
      <c r="I2478" s="1">
        <v>77</v>
      </c>
      <c r="J2478" t="str">
        <f t="shared" si="38"/>
        <v>http://www.badatelna.eu/reprodukce/?fondId=241&amp;zaznamId=1133738&amp;reproId=3885695</v>
      </c>
      <c r="K2478">
        <f>IF(LEN(TRIM(E2478))=0,"",VLOOKUP(E2478,Sheet2!$B$1:$E$19,2,FALSE))</f>
        <v>241</v>
      </c>
      <c r="L2478">
        <f>IF(LEN(TRIM(E2478))=0,"",VLOOKUP(E2478,Sheet2!$B$1:$E$19,3,FALSE))</f>
        <v>1133738</v>
      </c>
      <c r="M2478">
        <f>IF(LEN(TRIM(E2478))=0,"",VLOOKUP(E2478,Sheet2!$B$1:$E$19,4,FALSE))+(F2478-1)</f>
        <v>3885695</v>
      </c>
    </row>
    <row r="2479" spans="1:13" s="1" customFormat="1" ht="15" customHeight="1" x14ac:dyDescent="0.25">
      <c r="A2479" s="28" t="s">
        <v>128</v>
      </c>
      <c r="B2479" s="28" t="s">
        <v>39</v>
      </c>
      <c r="C2479" s="6" t="s">
        <v>2745</v>
      </c>
      <c r="D2479" s="1" t="s">
        <v>454</v>
      </c>
      <c r="E2479" s="1">
        <v>2173</v>
      </c>
      <c r="F2479" s="28">
        <v>229</v>
      </c>
      <c r="G2479" s="9">
        <v>62</v>
      </c>
      <c r="H2479" s="1" t="s">
        <v>3073</v>
      </c>
      <c r="I2479" s="1" t="s">
        <v>3073</v>
      </c>
      <c r="J2479" t="str">
        <f t="shared" si="38"/>
        <v>http://www.badatelna.eu/reprodukce/?fondId=1073&amp;zaznamId=1108959&amp;reproId=3780222</v>
      </c>
      <c r="K2479">
        <f>IF(LEN(TRIM(E2479))=0,"",VLOOKUP(E2479,Sheet2!$B$1:$E$19,2,FALSE))</f>
        <v>1073</v>
      </c>
      <c r="L2479">
        <f>IF(LEN(TRIM(E2479))=0,"",VLOOKUP(E2479,Sheet2!$B$1:$E$19,3,FALSE))</f>
        <v>1108959</v>
      </c>
      <c r="M2479">
        <f>IF(LEN(TRIM(E2479))=0,"",VLOOKUP(E2479,Sheet2!$B$1:$E$19,4,FALSE))+(F2479-1)</f>
        <v>3780222</v>
      </c>
    </row>
    <row r="2480" spans="1:13" s="1" customFormat="1" ht="15" customHeight="1" x14ac:dyDescent="0.25">
      <c r="A2480" s="28" t="s">
        <v>128</v>
      </c>
      <c r="B2480" s="28" t="s">
        <v>424</v>
      </c>
      <c r="C2480" s="1">
        <v>1866</v>
      </c>
      <c r="D2480" s="1" t="s">
        <v>2919</v>
      </c>
      <c r="E2480" s="1">
        <v>999</v>
      </c>
      <c r="F2480" s="28">
        <v>92</v>
      </c>
      <c r="G2480" s="1">
        <v>13</v>
      </c>
      <c r="H2480" s="1">
        <v>108</v>
      </c>
      <c r="I2480" s="1">
        <v>168</v>
      </c>
      <c r="J2480" t="str">
        <f t="shared" si="38"/>
        <v>http://www.badatelna.eu/reprodukce/?fondId=241&amp;zaznamId=1133739&amp;reproId=3885821</v>
      </c>
      <c r="K2480">
        <f>IF(LEN(TRIM(E2480))=0,"",VLOOKUP(E2480,Sheet2!$B$1:$E$19,2,FALSE))</f>
        <v>241</v>
      </c>
      <c r="L2480">
        <f>IF(LEN(TRIM(E2480))=0,"",VLOOKUP(E2480,Sheet2!$B$1:$E$19,3,FALSE))</f>
        <v>1133739</v>
      </c>
      <c r="M2480">
        <f>IF(LEN(TRIM(E2480))=0,"",VLOOKUP(E2480,Sheet2!$B$1:$E$19,4,FALSE))+(F2480-1)</f>
        <v>3885821</v>
      </c>
    </row>
    <row r="2481" spans="1:13" s="1" customFormat="1" ht="15" customHeight="1" x14ac:dyDescent="0.25">
      <c r="A2481" s="27" t="s">
        <v>128</v>
      </c>
      <c r="B2481" s="27" t="s">
        <v>424</v>
      </c>
      <c r="C2481" s="5" t="s">
        <v>1378</v>
      </c>
      <c r="D2481" s="3" t="s">
        <v>454</v>
      </c>
      <c r="E2481" s="3">
        <v>2170</v>
      </c>
      <c r="F2481" s="28">
        <v>20</v>
      </c>
      <c r="G2481" s="10">
        <v>16</v>
      </c>
      <c r="H2481" s="3">
        <v>70</v>
      </c>
      <c r="I2481" s="3">
        <v>66</v>
      </c>
      <c r="J2481" t="str">
        <f t="shared" si="38"/>
        <v>http://www.badatelna.eu/reprodukce/?fondId=1073&amp;zaznamId=1108956&amp;reproId=3779612</v>
      </c>
      <c r="K2481">
        <f>IF(LEN(TRIM(E2481))=0,"",VLOOKUP(E2481,Sheet2!$B$1:$E$19,2,FALSE))</f>
        <v>1073</v>
      </c>
      <c r="L2481">
        <f>IF(LEN(TRIM(E2481))=0,"",VLOOKUP(E2481,Sheet2!$B$1:$E$19,3,FALSE))</f>
        <v>1108956</v>
      </c>
      <c r="M2481">
        <f>IF(LEN(TRIM(E2481))=0,"",VLOOKUP(E2481,Sheet2!$B$1:$E$19,4,FALSE))+(F2481-1)</f>
        <v>3779612</v>
      </c>
    </row>
    <row r="2482" spans="1:13" s="1" customFormat="1" ht="15" customHeight="1" x14ac:dyDescent="0.25">
      <c r="A2482" s="28" t="s">
        <v>128</v>
      </c>
      <c r="B2482" s="28" t="s">
        <v>424</v>
      </c>
      <c r="C2482" s="6" t="s">
        <v>1536</v>
      </c>
      <c r="D2482" s="1" t="s">
        <v>454</v>
      </c>
      <c r="E2482" s="1">
        <v>2172</v>
      </c>
      <c r="F2482" s="28">
        <v>14</v>
      </c>
      <c r="G2482" s="9">
        <v>13</v>
      </c>
      <c r="H2482" s="1" t="s">
        <v>3073</v>
      </c>
      <c r="I2482" s="1" t="s">
        <v>3073</v>
      </c>
      <c r="J2482" t="str">
        <f t="shared" si="38"/>
        <v>http://www.badatelna.eu/reprodukce/?fondId=1073&amp;zaznamId=1108958&amp;reproId=3779755</v>
      </c>
      <c r="K2482">
        <f>IF(LEN(TRIM(E2482))=0,"",VLOOKUP(E2482,Sheet2!$B$1:$E$19,2,FALSE))</f>
        <v>1073</v>
      </c>
      <c r="L2482">
        <f>IF(LEN(TRIM(E2482))=0,"",VLOOKUP(E2482,Sheet2!$B$1:$E$19,3,FALSE))</f>
        <v>1108958</v>
      </c>
      <c r="M2482">
        <f>IF(LEN(TRIM(E2482))=0,"",VLOOKUP(E2482,Sheet2!$B$1:$E$19,4,FALSE))+(F2482-1)</f>
        <v>3779755</v>
      </c>
    </row>
    <row r="2483" spans="1:13" s="1" customFormat="1" ht="15" customHeight="1" x14ac:dyDescent="0.25">
      <c r="A2483" s="27" t="s">
        <v>128</v>
      </c>
      <c r="B2483" s="27" t="s">
        <v>625</v>
      </c>
      <c r="C2483" s="5" t="s">
        <v>1381</v>
      </c>
      <c r="D2483" s="3" t="s">
        <v>454</v>
      </c>
      <c r="E2483" s="3">
        <v>2170</v>
      </c>
      <c r="F2483" s="28">
        <v>14</v>
      </c>
      <c r="G2483" s="10">
        <v>10</v>
      </c>
      <c r="H2483" s="3">
        <v>70</v>
      </c>
      <c r="I2483" s="3">
        <v>66</v>
      </c>
      <c r="J2483" t="str">
        <f t="shared" si="38"/>
        <v>http://www.badatelna.eu/reprodukce/?fondId=1073&amp;zaznamId=1108956&amp;reproId=3779606</v>
      </c>
      <c r="K2483">
        <f>IF(LEN(TRIM(E2483))=0,"",VLOOKUP(E2483,Sheet2!$B$1:$E$19,2,FALSE))</f>
        <v>1073</v>
      </c>
      <c r="L2483">
        <f>IF(LEN(TRIM(E2483))=0,"",VLOOKUP(E2483,Sheet2!$B$1:$E$19,3,FALSE))</f>
        <v>1108956</v>
      </c>
      <c r="M2483">
        <f>IF(LEN(TRIM(E2483))=0,"",VLOOKUP(E2483,Sheet2!$B$1:$E$19,4,FALSE))+(F2483-1)</f>
        <v>3779606</v>
      </c>
    </row>
    <row r="2484" spans="1:13" s="1" customFormat="1" ht="15" customHeight="1" x14ac:dyDescent="0.25">
      <c r="A2484" s="28" t="s">
        <v>128</v>
      </c>
      <c r="B2484" s="28" t="s">
        <v>239</v>
      </c>
      <c r="C2484" s="6" t="s">
        <v>2649</v>
      </c>
      <c r="D2484" s="1" t="s">
        <v>454</v>
      </c>
      <c r="E2484" s="1">
        <v>2173</v>
      </c>
      <c r="F2484" s="28">
        <v>221</v>
      </c>
      <c r="G2484" s="9">
        <v>48</v>
      </c>
      <c r="H2484" s="1" t="s">
        <v>3073</v>
      </c>
      <c r="I2484" s="1" t="s">
        <v>3073</v>
      </c>
      <c r="J2484" t="str">
        <f t="shared" si="38"/>
        <v>http://www.badatelna.eu/reprodukce/?fondId=1073&amp;zaznamId=1108959&amp;reproId=3780214</v>
      </c>
      <c r="K2484">
        <f>IF(LEN(TRIM(E2484))=0,"",VLOOKUP(E2484,Sheet2!$B$1:$E$19,2,FALSE))</f>
        <v>1073</v>
      </c>
      <c r="L2484">
        <f>IF(LEN(TRIM(E2484))=0,"",VLOOKUP(E2484,Sheet2!$B$1:$E$19,3,FALSE))</f>
        <v>1108959</v>
      </c>
      <c r="M2484">
        <f>IF(LEN(TRIM(E2484))=0,"",VLOOKUP(E2484,Sheet2!$B$1:$E$19,4,FALSE))+(F2484-1)</f>
        <v>3780214</v>
      </c>
    </row>
    <row r="2485" spans="1:13" s="1" customFormat="1" ht="15" customHeight="1" x14ac:dyDescent="0.25">
      <c r="A2485" s="28" t="s">
        <v>128</v>
      </c>
      <c r="B2485" s="28" t="s">
        <v>670</v>
      </c>
      <c r="C2485" s="6" t="s">
        <v>1903</v>
      </c>
      <c r="D2485" s="1" t="s">
        <v>454</v>
      </c>
      <c r="E2485" s="1">
        <v>2172</v>
      </c>
      <c r="F2485" s="28">
        <v>205</v>
      </c>
      <c r="G2485" s="9">
        <v>191</v>
      </c>
      <c r="H2485" s="1" t="s">
        <v>3073</v>
      </c>
      <c r="I2485" s="1" t="s">
        <v>3073</v>
      </c>
      <c r="J2485" t="str">
        <f t="shared" si="38"/>
        <v>http://www.badatelna.eu/reprodukce/?fondId=1073&amp;zaznamId=1108958&amp;reproId=3779946</v>
      </c>
      <c r="K2485">
        <f>IF(LEN(TRIM(E2485))=0,"",VLOOKUP(E2485,Sheet2!$B$1:$E$19,2,FALSE))</f>
        <v>1073</v>
      </c>
      <c r="L2485">
        <f>IF(LEN(TRIM(E2485))=0,"",VLOOKUP(E2485,Sheet2!$B$1:$E$19,3,FALSE))</f>
        <v>1108958</v>
      </c>
      <c r="M2485">
        <f>IF(LEN(TRIM(E2485))=0,"",VLOOKUP(E2485,Sheet2!$B$1:$E$19,4,FALSE))+(F2485-1)</f>
        <v>3779946</v>
      </c>
    </row>
    <row r="2486" spans="1:13" s="1" customFormat="1" ht="15" customHeight="1" x14ac:dyDescent="0.25">
      <c r="A2486" s="28" t="s">
        <v>128</v>
      </c>
      <c r="B2486" s="28" t="s">
        <v>475</v>
      </c>
      <c r="C2486" s="15">
        <v>1409</v>
      </c>
      <c r="D2486" s="1" t="s">
        <v>454</v>
      </c>
      <c r="E2486" s="1">
        <v>2172</v>
      </c>
      <c r="F2486" s="28">
        <v>153</v>
      </c>
      <c r="G2486" s="9">
        <v>148</v>
      </c>
      <c r="H2486" s="1">
        <v>154</v>
      </c>
      <c r="I2486" s="1">
        <v>149</v>
      </c>
      <c r="J2486" t="str">
        <f t="shared" si="38"/>
        <v>http://www.badatelna.eu/reprodukce/?fondId=1073&amp;zaznamId=1108958&amp;reproId=3779894</v>
      </c>
      <c r="K2486">
        <f>IF(LEN(TRIM(E2486))=0,"",VLOOKUP(E2486,Sheet2!$B$1:$E$19,2,FALSE))</f>
        <v>1073</v>
      </c>
      <c r="L2486">
        <f>IF(LEN(TRIM(E2486))=0,"",VLOOKUP(E2486,Sheet2!$B$1:$E$19,3,FALSE))</f>
        <v>1108958</v>
      </c>
      <c r="M2486">
        <f>IF(LEN(TRIM(E2486))=0,"",VLOOKUP(E2486,Sheet2!$B$1:$E$19,4,FALSE))+(F2486-1)</f>
        <v>3779894</v>
      </c>
    </row>
    <row r="2487" spans="1:13" s="1" customFormat="1" ht="15" customHeight="1" x14ac:dyDescent="0.25">
      <c r="A2487" s="28" t="s">
        <v>128</v>
      </c>
      <c r="B2487" s="28" t="s">
        <v>671</v>
      </c>
      <c r="C2487" s="15">
        <v>4142</v>
      </c>
      <c r="D2487" s="1" t="s">
        <v>454</v>
      </c>
      <c r="E2487" s="1">
        <v>2172</v>
      </c>
      <c r="F2487" s="28">
        <v>179</v>
      </c>
      <c r="G2487" s="9">
        <v>172</v>
      </c>
      <c r="H2487" s="1" t="s">
        <v>3073</v>
      </c>
      <c r="I2487" s="1" t="s">
        <v>3073</v>
      </c>
      <c r="J2487" t="str">
        <f t="shared" si="38"/>
        <v>http://www.badatelna.eu/reprodukce/?fondId=1073&amp;zaznamId=1108958&amp;reproId=3779920</v>
      </c>
      <c r="K2487">
        <f>IF(LEN(TRIM(E2487))=0,"",VLOOKUP(E2487,Sheet2!$B$1:$E$19,2,FALSE))</f>
        <v>1073</v>
      </c>
      <c r="L2487">
        <f>IF(LEN(TRIM(E2487))=0,"",VLOOKUP(E2487,Sheet2!$B$1:$E$19,3,FALSE))</f>
        <v>1108958</v>
      </c>
      <c r="M2487">
        <f>IF(LEN(TRIM(E2487))=0,"",VLOOKUP(E2487,Sheet2!$B$1:$E$19,4,FALSE))+(F2487-1)</f>
        <v>3779920</v>
      </c>
    </row>
    <row r="2488" spans="1:13" s="1" customFormat="1" ht="15" customHeight="1" x14ac:dyDescent="0.25">
      <c r="A2488" s="28" t="s">
        <v>128</v>
      </c>
      <c r="B2488" s="28" t="s">
        <v>184</v>
      </c>
      <c r="C2488" s="1">
        <v>1848</v>
      </c>
      <c r="D2488" s="1" t="s">
        <v>2919</v>
      </c>
      <c r="E2488" s="1">
        <v>998</v>
      </c>
      <c r="F2488" s="28">
        <v>10</v>
      </c>
      <c r="G2488" s="1">
        <v>8</v>
      </c>
      <c r="H2488" s="1">
        <v>78</v>
      </c>
      <c r="I2488" s="1">
        <v>76</v>
      </c>
      <c r="J2488" t="str">
        <f t="shared" si="38"/>
        <v>http://www.badatelna.eu/reprodukce/?fondId=241&amp;zaznamId=1133738&amp;reproId=3885656</v>
      </c>
      <c r="K2488">
        <f>IF(LEN(TRIM(E2488))=0,"",VLOOKUP(E2488,Sheet2!$B$1:$E$19,2,FALSE))</f>
        <v>241</v>
      </c>
      <c r="L2488">
        <f>IF(LEN(TRIM(E2488))=0,"",VLOOKUP(E2488,Sheet2!$B$1:$E$19,3,FALSE))</f>
        <v>1133738</v>
      </c>
      <c r="M2488">
        <f>IF(LEN(TRIM(E2488))=0,"",VLOOKUP(E2488,Sheet2!$B$1:$E$19,4,FALSE))+(F2488-1)</f>
        <v>3885656</v>
      </c>
    </row>
    <row r="2489" spans="1:13" s="1" customFormat="1" ht="15" customHeight="1" x14ac:dyDescent="0.25">
      <c r="A2489" s="28" t="s">
        <v>128</v>
      </c>
      <c r="B2489" s="28" t="s">
        <v>184</v>
      </c>
      <c r="C2489" s="1">
        <v>1851</v>
      </c>
      <c r="D2489" s="1" t="s">
        <v>2919</v>
      </c>
      <c r="E2489" s="1">
        <v>998</v>
      </c>
      <c r="F2489" s="28">
        <v>32</v>
      </c>
      <c r="G2489" s="1">
        <v>30</v>
      </c>
      <c r="H2489" s="1">
        <v>78</v>
      </c>
      <c r="I2489" s="1">
        <v>76</v>
      </c>
      <c r="J2489" t="str">
        <f t="shared" si="38"/>
        <v>http://www.badatelna.eu/reprodukce/?fondId=241&amp;zaznamId=1133738&amp;reproId=3885678</v>
      </c>
      <c r="K2489">
        <f>IF(LEN(TRIM(E2489))=0,"",VLOOKUP(E2489,Sheet2!$B$1:$E$19,2,FALSE))</f>
        <v>241</v>
      </c>
      <c r="L2489">
        <f>IF(LEN(TRIM(E2489))=0,"",VLOOKUP(E2489,Sheet2!$B$1:$E$19,3,FALSE))</f>
        <v>1133738</v>
      </c>
      <c r="M2489">
        <f>IF(LEN(TRIM(E2489))=0,"",VLOOKUP(E2489,Sheet2!$B$1:$E$19,4,FALSE))+(F2489-1)</f>
        <v>3885678</v>
      </c>
    </row>
    <row r="2490" spans="1:13" s="1" customFormat="1" ht="15" customHeight="1" x14ac:dyDescent="0.25">
      <c r="A2490" s="28" t="s">
        <v>128</v>
      </c>
      <c r="B2490" s="28" t="s">
        <v>306</v>
      </c>
      <c r="C2490" s="1">
        <v>1860</v>
      </c>
      <c r="D2490" s="1" t="s">
        <v>2919</v>
      </c>
      <c r="E2490" s="1">
        <v>998</v>
      </c>
      <c r="F2490" s="28">
        <v>58</v>
      </c>
      <c r="G2490" s="1">
        <v>55</v>
      </c>
      <c r="H2490" s="1">
        <v>79</v>
      </c>
      <c r="I2490" s="1">
        <v>77</v>
      </c>
      <c r="J2490" t="str">
        <f t="shared" si="38"/>
        <v>http://www.badatelna.eu/reprodukce/?fondId=241&amp;zaznamId=1133738&amp;reproId=3885704</v>
      </c>
      <c r="K2490">
        <f>IF(LEN(TRIM(E2490))=0,"",VLOOKUP(E2490,Sheet2!$B$1:$E$19,2,FALSE))</f>
        <v>241</v>
      </c>
      <c r="L2490">
        <f>IF(LEN(TRIM(E2490))=0,"",VLOOKUP(E2490,Sheet2!$B$1:$E$19,3,FALSE))</f>
        <v>1133738</v>
      </c>
      <c r="M2490">
        <f>IF(LEN(TRIM(E2490))=0,"",VLOOKUP(E2490,Sheet2!$B$1:$E$19,4,FALSE))+(F2490-1)</f>
        <v>3885704</v>
      </c>
    </row>
    <row r="2491" spans="1:13" s="1" customFormat="1" ht="15" customHeight="1" x14ac:dyDescent="0.25">
      <c r="A2491" s="28" t="s">
        <v>128</v>
      </c>
      <c r="B2491" s="28" t="s">
        <v>306</v>
      </c>
      <c r="C2491" s="6" t="s">
        <v>1582</v>
      </c>
      <c r="D2491" s="1" t="s">
        <v>454</v>
      </c>
      <c r="E2491" s="1">
        <v>2172</v>
      </c>
      <c r="F2491" s="28">
        <v>22</v>
      </c>
      <c r="G2491" s="9">
        <v>21</v>
      </c>
      <c r="H2491" s="1">
        <v>25</v>
      </c>
      <c r="I2491" s="1">
        <v>24</v>
      </c>
      <c r="J2491" t="str">
        <f t="shared" si="38"/>
        <v>http://www.badatelna.eu/reprodukce/?fondId=1073&amp;zaznamId=1108958&amp;reproId=3779763</v>
      </c>
      <c r="K2491">
        <f>IF(LEN(TRIM(E2491))=0,"",VLOOKUP(E2491,Sheet2!$B$1:$E$19,2,FALSE))</f>
        <v>1073</v>
      </c>
      <c r="L2491">
        <f>IF(LEN(TRIM(E2491))=0,"",VLOOKUP(E2491,Sheet2!$B$1:$E$19,3,FALSE))</f>
        <v>1108958</v>
      </c>
      <c r="M2491">
        <f>IF(LEN(TRIM(E2491))=0,"",VLOOKUP(E2491,Sheet2!$B$1:$E$19,4,FALSE))+(F2491-1)</f>
        <v>3779763</v>
      </c>
    </row>
    <row r="2492" spans="1:13" s="1" customFormat="1" ht="15" customHeight="1" x14ac:dyDescent="0.25">
      <c r="A2492" s="28" t="s">
        <v>128</v>
      </c>
      <c r="B2492" s="28" t="s">
        <v>3053</v>
      </c>
      <c r="C2492" s="1">
        <v>1862</v>
      </c>
      <c r="D2492" s="1" t="s">
        <v>2919</v>
      </c>
      <c r="E2492" s="1">
        <v>999</v>
      </c>
      <c r="F2492" s="28">
        <v>81</v>
      </c>
      <c r="G2492" s="1">
        <v>2</v>
      </c>
      <c r="H2492" s="1">
        <v>108</v>
      </c>
      <c r="I2492" s="1">
        <v>168</v>
      </c>
      <c r="J2492" t="str">
        <f t="shared" si="38"/>
        <v>http://www.badatelna.eu/reprodukce/?fondId=241&amp;zaznamId=1133739&amp;reproId=3885810</v>
      </c>
      <c r="K2492">
        <f>IF(LEN(TRIM(E2492))=0,"",VLOOKUP(E2492,Sheet2!$B$1:$E$19,2,FALSE))</f>
        <v>241</v>
      </c>
      <c r="L2492">
        <f>IF(LEN(TRIM(E2492))=0,"",VLOOKUP(E2492,Sheet2!$B$1:$E$19,3,FALSE))</f>
        <v>1133739</v>
      </c>
      <c r="M2492">
        <f>IF(LEN(TRIM(E2492))=0,"",VLOOKUP(E2492,Sheet2!$B$1:$E$19,4,FALSE))+(F2492-1)</f>
        <v>3885810</v>
      </c>
    </row>
    <row r="2493" spans="1:13" s="1" customFormat="1" ht="15" customHeight="1" x14ac:dyDescent="0.25">
      <c r="A2493" s="27" t="s">
        <v>128</v>
      </c>
      <c r="B2493" s="27" t="s">
        <v>542</v>
      </c>
      <c r="C2493" s="5" t="s">
        <v>1385</v>
      </c>
      <c r="D2493" s="3" t="s">
        <v>454</v>
      </c>
      <c r="E2493" s="3">
        <v>2170</v>
      </c>
      <c r="F2493" s="28">
        <v>5</v>
      </c>
      <c r="G2493" s="10">
        <v>1</v>
      </c>
      <c r="H2493" s="3">
        <v>70</v>
      </c>
      <c r="I2493" s="3">
        <v>66</v>
      </c>
      <c r="J2493" t="str">
        <f t="shared" si="38"/>
        <v>http://www.badatelna.eu/reprodukce/?fondId=1073&amp;zaznamId=1108956&amp;reproId=3779597</v>
      </c>
      <c r="K2493">
        <f>IF(LEN(TRIM(E2493))=0,"",VLOOKUP(E2493,Sheet2!$B$1:$E$19,2,FALSE))</f>
        <v>1073</v>
      </c>
      <c r="L2493">
        <f>IF(LEN(TRIM(E2493))=0,"",VLOOKUP(E2493,Sheet2!$B$1:$E$19,3,FALSE))</f>
        <v>1108956</v>
      </c>
      <c r="M2493">
        <f>IF(LEN(TRIM(E2493))=0,"",VLOOKUP(E2493,Sheet2!$B$1:$E$19,4,FALSE))+(F2493-1)</f>
        <v>3779597</v>
      </c>
    </row>
    <row r="2494" spans="1:13" s="1" customFormat="1" ht="15" customHeight="1" x14ac:dyDescent="0.25">
      <c r="A2494" s="28" t="s">
        <v>128</v>
      </c>
      <c r="B2494" s="28" t="s">
        <v>3003</v>
      </c>
      <c r="C2494" s="1">
        <v>1848</v>
      </c>
      <c r="D2494" s="1" t="s">
        <v>2919</v>
      </c>
      <c r="E2494" s="1">
        <v>998</v>
      </c>
      <c r="F2494" s="28">
        <v>13</v>
      </c>
      <c r="G2494" s="1">
        <v>11</v>
      </c>
      <c r="H2494" s="1">
        <v>78</v>
      </c>
      <c r="I2494" s="1">
        <v>76</v>
      </c>
      <c r="J2494" t="str">
        <f t="shared" si="38"/>
        <v>http://www.badatelna.eu/reprodukce/?fondId=241&amp;zaznamId=1133738&amp;reproId=3885659</v>
      </c>
      <c r="K2494">
        <f>IF(LEN(TRIM(E2494))=0,"",VLOOKUP(E2494,Sheet2!$B$1:$E$19,2,FALSE))</f>
        <v>241</v>
      </c>
      <c r="L2494">
        <f>IF(LEN(TRIM(E2494))=0,"",VLOOKUP(E2494,Sheet2!$B$1:$E$19,3,FALSE))</f>
        <v>1133738</v>
      </c>
      <c r="M2494">
        <f>IF(LEN(TRIM(E2494))=0,"",VLOOKUP(E2494,Sheet2!$B$1:$E$19,4,FALSE))+(F2494-1)</f>
        <v>3885659</v>
      </c>
    </row>
    <row r="2495" spans="1:13" s="1" customFormat="1" ht="15" customHeight="1" x14ac:dyDescent="0.25">
      <c r="A2495" s="28" t="s">
        <v>128</v>
      </c>
      <c r="B2495" s="28" t="s">
        <v>469</v>
      </c>
      <c r="C2495" s="1">
        <v>1865</v>
      </c>
      <c r="D2495" s="1" t="s">
        <v>2919</v>
      </c>
      <c r="E2495" s="1">
        <v>999</v>
      </c>
      <c r="F2495" s="28">
        <v>88</v>
      </c>
      <c r="G2495" s="1">
        <v>9</v>
      </c>
      <c r="H2495" s="1">
        <v>108</v>
      </c>
      <c r="I2495" s="1">
        <v>168</v>
      </c>
      <c r="J2495" t="str">
        <f t="shared" si="38"/>
        <v>http://www.badatelna.eu/reprodukce/?fondId=241&amp;zaznamId=1133739&amp;reproId=3885817</v>
      </c>
      <c r="K2495">
        <f>IF(LEN(TRIM(E2495))=0,"",VLOOKUP(E2495,Sheet2!$B$1:$E$19,2,FALSE))</f>
        <v>241</v>
      </c>
      <c r="L2495">
        <f>IF(LEN(TRIM(E2495))=0,"",VLOOKUP(E2495,Sheet2!$B$1:$E$19,3,FALSE))</f>
        <v>1133739</v>
      </c>
      <c r="M2495">
        <f>IF(LEN(TRIM(E2495))=0,"",VLOOKUP(E2495,Sheet2!$B$1:$E$19,4,FALSE))+(F2495-1)</f>
        <v>3885817</v>
      </c>
    </row>
    <row r="2496" spans="1:13" s="1" customFormat="1" ht="15" customHeight="1" x14ac:dyDescent="0.25">
      <c r="A2496" s="28" t="s">
        <v>128</v>
      </c>
      <c r="B2496" s="28" t="s">
        <v>469</v>
      </c>
      <c r="C2496" s="15">
        <v>5794</v>
      </c>
      <c r="D2496" s="1" t="s">
        <v>454</v>
      </c>
      <c r="E2496" s="1">
        <v>2172</v>
      </c>
      <c r="F2496" s="28">
        <v>187</v>
      </c>
      <c r="G2496" s="9">
        <v>177</v>
      </c>
      <c r="H2496" s="1" t="s">
        <v>3073</v>
      </c>
      <c r="I2496" s="1" t="s">
        <v>3073</v>
      </c>
      <c r="J2496" t="str">
        <f t="shared" si="38"/>
        <v>http://www.badatelna.eu/reprodukce/?fondId=1073&amp;zaznamId=1108958&amp;reproId=3779928</v>
      </c>
      <c r="K2496">
        <f>IF(LEN(TRIM(E2496))=0,"",VLOOKUP(E2496,Sheet2!$B$1:$E$19,2,FALSE))</f>
        <v>1073</v>
      </c>
      <c r="L2496">
        <f>IF(LEN(TRIM(E2496))=0,"",VLOOKUP(E2496,Sheet2!$B$1:$E$19,3,FALSE))</f>
        <v>1108958</v>
      </c>
      <c r="M2496">
        <f>IF(LEN(TRIM(E2496))=0,"",VLOOKUP(E2496,Sheet2!$B$1:$E$19,4,FALSE))+(F2496-1)</f>
        <v>3779928</v>
      </c>
    </row>
    <row r="2497" spans="1:13" s="1" customFormat="1" ht="15" customHeight="1" x14ac:dyDescent="0.25">
      <c r="A2497" s="28" t="s">
        <v>128</v>
      </c>
      <c r="B2497" s="28" t="s">
        <v>13</v>
      </c>
      <c r="C2497" s="1">
        <v>1866</v>
      </c>
      <c r="D2497" s="1" t="s">
        <v>2919</v>
      </c>
      <c r="E2497" s="1">
        <v>999</v>
      </c>
      <c r="F2497" s="28">
        <v>92</v>
      </c>
      <c r="G2497" s="1">
        <v>13</v>
      </c>
      <c r="H2497" s="1">
        <v>108</v>
      </c>
      <c r="I2497" s="1">
        <v>168</v>
      </c>
      <c r="J2497" t="str">
        <f t="shared" si="38"/>
        <v>http://www.badatelna.eu/reprodukce/?fondId=241&amp;zaznamId=1133739&amp;reproId=3885821</v>
      </c>
      <c r="K2497">
        <f>IF(LEN(TRIM(E2497))=0,"",VLOOKUP(E2497,Sheet2!$B$1:$E$19,2,FALSE))</f>
        <v>241</v>
      </c>
      <c r="L2497">
        <f>IF(LEN(TRIM(E2497))=0,"",VLOOKUP(E2497,Sheet2!$B$1:$E$19,3,FALSE))</f>
        <v>1133739</v>
      </c>
      <c r="M2497">
        <f>IF(LEN(TRIM(E2497))=0,"",VLOOKUP(E2497,Sheet2!$B$1:$E$19,4,FALSE))+(F2497-1)</f>
        <v>3885821</v>
      </c>
    </row>
    <row r="2498" spans="1:13" s="1" customFormat="1" ht="15" customHeight="1" x14ac:dyDescent="0.25">
      <c r="A2498" s="27" t="s">
        <v>128</v>
      </c>
      <c r="B2498" s="27" t="s">
        <v>13</v>
      </c>
      <c r="C2498" s="5" t="s">
        <v>1073</v>
      </c>
      <c r="D2498" s="3" t="s">
        <v>454</v>
      </c>
      <c r="E2498" s="3">
        <v>2170</v>
      </c>
      <c r="F2498" s="37">
        <v>19</v>
      </c>
      <c r="G2498" s="10">
        <v>15</v>
      </c>
      <c r="H2498" s="3">
        <v>70</v>
      </c>
      <c r="I2498" s="3">
        <v>66</v>
      </c>
      <c r="J2498" t="str">
        <f t="shared" si="38"/>
        <v>http://www.badatelna.eu/reprodukce/?fondId=1073&amp;zaznamId=1108956&amp;reproId=3779611</v>
      </c>
      <c r="K2498">
        <f>IF(LEN(TRIM(E2498))=0,"",VLOOKUP(E2498,Sheet2!$B$1:$E$19,2,FALSE))</f>
        <v>1073</v>
      </c>
      <c r="L2498">
        <f>IF(LEN(TRIM(E2498))=0,"",VLOOKUP(E2498,Sheet2!$B$1:$E$19,3,FALSE))</f>
        <v>1108956</v>
      </c>
      <c r="M2498">
        <f>IF(LEN(TRIM(E2498))=0,"",VLOOKUP(E2498,Sheet2!$B$1:$E$19,4,FALSE))+(F2498-1)</f>
        <v>3779611</v>
      </c>
    </row>
    <row r="2499" spans="1:13" s="1" customFormat="1" ht="15" customHeight="1" x14ac:dyDescent="0.25">
      <c r="A2499" s="28" t="s">
        <v>128</v>
      </c>
      <c r="B2499" s="28" t="s">
        <v>91</v>
      </c>
      <c r="C2499" s="15">
        <v>4544</v>
      </c>
      <c r="D2499" s="1" t="s">
        <v>454</v>
      </c>
      <c r="E2499" s="1">
        <v>2172</v>
      </c>
      <c r="F2499" s="28">
        <v>181</v>
      </c>
      <c r="G2499" s="9">
        <v>173</v>
      </c>
      <c r="H2499" s="1" t="s">
        <v>3073</v>
      </c>
      <c r="I2499" s="1" t="s">
        <v>3073</v>
      </c>
      <c r="J2499" t="str">
        <f t="shared" ref="J2499:J2562" si="39">IF(LEN(TRIM(E2499))=0,"","http://www.badatelna.eu/reprodukce/?fondId="&amp;K2499&amp;"&amp;zaznamId="&amp;L2499&amp;"&amp;reproId="&amp;M2499)</f>
        <v>http://www.badatelna.eu/reprodukce/?fondId=1073&amp;zaznamId=1108958&amp;reproId=3779922</v>
      </c>
      <c r="K2499">
        <f>IF(LEN(TRIM(E2499))=0,"",VLOOKUP(E2499,Sheet2!$B$1:$E$19,2,FALSE))</f>
        <v>1073</v>
      </c>
      <c r="L2499">
        <f>IF(LEN(TRIM(E2499))=0,"",VLOOKUP(E2499,Sheet2!$B$1:$E$19,3,FALSE))</f>
        <v>1108958</v>
      </c>
      <c r="M2499">
        <f>IF(LEN(TRIM(E2499))=0,"",VLOOKUP(E2499,Sheet2!$B$1:$E$19,4,FALSE))+(F2499-1)</f>
        <v>3779922</v>
      </c>
    </row>
    <row r="2500" spans="1:13" s="1" customFormat="1" ht="15" customHeight="1" x14ac:dyDescent="0.25">
      <c r="A2500" s="27" t="s">
        <v>128</v>
      </c>
      <c r="B2500" s="27" t="s">
        <v>626</v>
      </c>
      <c r="C2500" s="5" t="s">
        <v>1384</v>
      </c>
      <c r="D2500" s="3" t="s">
        <v>454</v>
      </c>
      <c r="E2500" s="3">
        <v>2170</v>
      </c>
      <c r="F2500" s="28">
        <v>23</v>
      </c>
      <c r="G2500" s="10">
        <v>19</v>
      </c>
      <c r="H2500" s="3">
        <v>70</v>
      </c>
      <c r="I2500" s="3">
        <v>66</v>
      </c>
      <c r="J2500" t="str">
        <f t="shared" si="39"/>
        <v>http://www.badatelna.eu/reprodukce/?fondId=1073&amp;zaznamId=1108956&amp;reproId=3779615</v>
      </c>
      <c r="K2500">
        <f>IF(LEN(TRIM(E2500))=0,"",VLOOKUP(E2500,Sheet2!$B$1:$E$19,2,FALSE))</f>
        <v>1073</v>
      </c>
      <c r="L2500">
        <f>IF(LEN(TRIM(E2500))=0,"",VLOOKUP(E2500,Sheet2!$B$1:$E$19,3,FALSE))</f>
        <v>1108956</v>
      </c>
      <c r="M2500">
        <f>IF(LEN(TRIM(E2500))=0,"",VLOOKUP(E2500,Sheet2!$B$1:$E$19,4,FALSE))+(F2500-1)</f>
        <v>3779615</v>
      </c>
    </row>
    <row r="2501" spans="1:13" s="1" customFormat="1" ht="15" customHeight="1" x14ac:dyDescent="0.25">
      <c r="A2501" s="28" t="s">
        <v>128</v>
      </c>
      <c r="B2501" s="28" t="s">
        <v>672</v>
      </c>
      <c r="C2501" s="6" t="s">
        <v>1849</v>
      </c>
      <c r="D2501" s="1" t="s">
        <v>454</v>
      </c>
      <c r="E2501" s="1">
        <v>2172</v>
      </c>
      <c r="F2501" s="28">
        <v>179</v>
      </c>
      <c r="G2501" s="9">
        <v>172</v>
      </c>
      <c r="H2501" s="1" t="s">
        <v>3073</v>
      </c>
      <c r="I2501" s="1" t="s">
        <v>3073</v>
      </c>
      <c r="J2501" t="str">
        <f t="shared" si="39"/>
        <v>http://www.badatelna.eu/reprodukce/?fondId=1073&amp;zaznamId=1108958&amp;reproId=3779920</v>
      </c>
      <c r="K2501">
        <f>IF(LEN(TRIM(E2501))=0,"",VLOOKUP(E2501,Sheet2!$B$1:$E$19,2,FALSE))</f>
        <v>1073</v>
      </c>
      <c r="L2501">
        <f>IF(LEN(TRIM(E2501))=0,"",VLOOKUP(E2501,Sheet2!$B$1:$E$19,3,FALSE))</f>
        <v>1108958</v>
      </c>
      <c r="M2501">
        <f>IF(LEN(TRIM(E2501))=0,"",VLOOKUP(E2501,Sheet2!$B$1:$E$19,4,FALSE))+(F2501-1)</f>
        <v>3779920</v>
      </c>
    </row>
    <row r="2502" spans="1:13" s="1" customFormat="1" ht="15" customHeight="1" x14ac:dyDescent="0.25">
      <c r="A2502" s="28" t="s">
        <v>128</v>
      </c>
      <c r="B2502" s="28" t="s">
        <v>500</v>
      </c>
      <c r="C2502" s="6" t="s">
        <v>1833</v>
      </c>
      <c r="D2502" s="1" t="s">
        <v>454</v>
      </c>
      <c r="E2502" s="1">
        <v>2172</v>
      </c>
      <c r="F2502" s="28">
        <v>172</v>
      </c>
      <c r="G2502" s="9" t="s">
        <v>3092</v>
      </c>
      <c r="H2502" s="1" t="s">
        <v>3073</v>
      </c>
      <c r="I2502" s="1" t="s">
        <v>3073</v>
      </c>
      <c r="J2502" t="str">
        <f t="shared" si="39"/>
        <v>http://www.badatelna.eu/reprodukce/?fondId=1073&amp;zaznamId=1108958&amp;reproId=3779913</v>
      </c>
      <c r="K2502">
        <f>IF(LEN(TRIM(E2502))=0,"",VLOOKUP(E2502,Sheet2!$B$1:$E$19,2,FALSE))</f>
        <v>1073</v>
      </c>
      <c r="L2502">
        <f>IF(LEN(TRIM(E2502))=0,"",VLOOKUP(E2502,Sheet2!$B$1:$E$19,3,FALSE))</f>
        <v>1108958</v>
      </c>
      <c r="M2502">
        <f>IF(LEN(TRIM(E2502))=0,"",VLOOKUP(E2502,Sheet2!$B$1:$E$19,4,FALSE))+(F2502-1)</f>
        <v>3779913</v>
      </c>
    </row>
    <row r="2503" spans="1:13" s="1" customFormat="1" ht="15" customHeight="1" x14ac:dyDescent="0.25">
      <c r="A2503" s="28" t="s">
        <v>354</v>
      </c>
      <c r="B2503" s="28" t="s">
        <v>290</v>
      </c>
      <c r="C2503" s="6" t="s">
        <v>2187</v>
      </c>
      <c r="D2503" s="1" t="s">
        <v>454</v>
      </c>
      <c r="E2503" s="1">
        <v>2173</v>
      </c>
      <c r="F2503" s="28">
        <v>180</v>
      </c>
      <c r="G2503" s="9">
        <v>6</v>
      </c>
      <c r="H2503" s="1">
        <v>192</v>
      </c>
      <c r="I2503" s="1">
        <v>426</v>
      </c>
      <c r="J2503" t="str">
        <f t="shared" si="39"/>
        <v>http://www.badatelna.eu/reprodukce/?fondId=1073&amp;zaznamId=1108959&amp;reproId=3780173</v>
      </c>
      <c r="K2503">
        <f>IF(LEN(TRIM(E2503))=0,"",VLOOKUP(E2503,Sheet2!$B$1:$E$19,2,FALSE))</f>
        <v>1073</v>
      </c>
      <c r="L2503">
        <f>IF(LEN(TRIM(E2503))=0,"",VLOOKUP(E2503,Sheet2!$B$1:$E$19,3,FALSE))</f>
        <v>1108959</v>
      </c>
      <c r="M2503">
        <f>IF(LEN(TRIM(E2503))=0,"",VLOOKUP(E2503,Sheet2!$B$1:$E$19,4,FALSE))+(F2503-1)</f>
        <v>3780173</v>
      </c>
    </row>
    <row r="2504" spans="1:13" s="1" customFormat="1" ht="15" customHeight="1" x14ac:dyDescent="0.25">
      <c r="A2504" s="27" t="s">
        <v>354</v>
      </c>
      <c r="B2504" s="27" t="s">
        <v>420</v>
      </c>
      <c r="C2504" s="5" t="s">
        <v>1387</v>
      </c>
      <c r="D2504" s="3" t="s">
        <v>454</v>
      </c>
      <c r="E2504" s="3">
        <v>2170</v>
      </c>
      <c r="F2504" s="31">
        <v>26</v>
      </c>
      <c r="G2504" s="10">
        <v>22</v>
      </c>
      <c r="H2504" s="3">
        <v>70</v>
      </c>
      <c r="I2504" s="3">
        <v>66</v>
      </c>
      <c r="J2504" t="str">
        <f t="shared" si="39"/>
        <v>http://www.badatelna.eu/reprodukce/?fondId=1073&amp;zaznamId=1108956&amp;reproId=3779618</v>
      </c>
      <c r="K2504">
        <f>IF(LEN(TRIM(E2504))=0,"",VLOOKUP(E2504,Sheet2!$B$1:$E$19,2,FALSE))</f>
        <v>1073</v>
      </c>
      <c r="L2504">
        <f>IF(LEN(TRIM(E2504))=0,"",VLOOKUP(E2504,Sheet2!$B$1:$E$19,3,FALSE))</f>
        <v>1108956</v>
      </c>
      <c r="M2504">
        <f>IF(LEN(TRIM(E2504))=0,"",VLOOKUP(E2504,Sheet2!$B$1:$E$19,4,FALSE))+(F2504-1)</f>
        <v>3779618</v>
      </c>
    </row>
    <row r="2505" spans="1:13" s="1" customFormat="1" ht="15" customHeight="1" x14ac:dyDescent="0.25">
      <c r="A2505" s="27" t="s">
        <v>354</v>
      </c>
      <c r="B2505" s="27" t="s">
        <v>562</v>
      </c>
      <c r="C2505" s="5" t="s">
        <v>1389</v>
      </c>
      <c r="D2505" s="3" t="s">
        <v>454</v>
      </c>
      <c r="E2505" s="3">
        <v>2170</v>
      </c>
      <c r="F2505" s="28">
        <v>29</v>
      </c>
      <c r="G2505" s="10">
        <v>25</v>
      </c>
      <c r="H2505" s="3">
        <v>70</v>
      </c>
      <c r="I2505" s="3">
        <v>66</v>
      </c>
      <c r="J2505" t="str">
        <f t="shared" si="39"/>
        <v>http://www.badatelna.eu/reprodukce/?fondId=1073&amp;zaznamId=1108956&amp;reproId=3779621</v>
      </c>
      <c r="K2505">
        <f>IF(LEN(TRIM(E2505))=0,"",VLOOKUP(E2505,Sheet2!$B$1:$E$19,2,FALSE))</f>
        <v>1073</v>
      </c>
      <c r="L2505">
        <f>IF(LEN(TRIM(E2505))=0,"",VLOOKUP(E2505,Sheet2!$B$1:$E$19,3,FALSE))</f>
        <v>1108956</v>
      </c>
      <c r="M2505">
        <f>IF(LEN(TRIM(E2505))=0,"",VLOOKUP(E2505,Sheet2!$B$1:$E$19,4,FALSE))+(F2505-1)</f>
        <v>3779621</v>
      </c>
    </row>
    <row r="2506" spans="1:13" s="1" customFormat="1" ht="15" customHeight="1" x14ac:dyDescent="0.25">
      <c r="A2506" s="27" t="s">
        <v>354</v>
      </c>
      <c r="B2506" s="27" t="s">
        <v>28</v>
      </c>
      <c r="C2506" s="5" t="s">
        <v>1388</v>
      </c>
      <c r="D2506" s="3" t="s">
        <v>454</v>
      </c>
      <c r="E2506" s="3">
        <v>2170</v>
      </c>
      <c r="F2506" s="31">
        <v>26</v>
      </c>
      <c r="G2506" s="10">
        <v>22</v>
      </c>
      <c r="H2506" s="3">
        <v>70</v>
      </c>
      <c r="I2506" s="3">
        <v>66</v>
      </c>
      <c r="J2506" t="str">
        <f t="shared" si="39"/>
        <v>http://www.badatelna.eu/reprodukce/?fondId=1073&amp;zaznamId=1108956&amp;reproId=3779618</v>
      </c>
      <c r="K2506">
        <f>IF(LEN(TRIM(E2506))=0,"",VLOOKUP(E2506,Sheet2!$B$1:$E$19,2,FALSE))</f>
        <v>1073</v>
      </c>
      <c r="L2506">
        <f>IF(LEN(TRIM(E2506))=0,"",VLOOKUP(E2506,Sheet2!$B$1:$E$19,3,FALSE))</f>
        <v>1108956</v>
      </c>
      <c r="M2506">
        <f>IF(LEN(TRIM(E2506))=0,"",VLOOKUP(E2506,Sheet2!$B$1:$E$19,4,FALSE))+(F2506-1)</f>
        <v>3779618</v>
      </c>
    </row>
    <row r="2507" spans="1:13" s="1" customFormat="1" ht="15" customHeight="1" x14ac:dyDescent="0.25">
      <c r="A2507" s="28" t="s">
        <v>354</v>
      </c>
      <c r="B2507" s="28" t="s">
        <v>154</v>
      </c>
      <c r="C2507" s="6" t="s">
        <v>2189</v>
      </c>
      <c r="D2507" s="1" t="s">
        <v>454</v>
      </c>
      <c r="E2507" s="1">
        <v>2173</v>
      </c>
      <c r="F2507" s="28">
        <v>178</v>
      </c>
      <c r="G2507" s="9">
        <v>3</v>
      </c>
      <c r="H2507" s="1">
        <v>192</v>
      </c>
      <c r="I2507" s="1">
        <v>426</v>
      </c>
      <c r="J2507" t="str">
        <f t="shared" si="39"/>
        <v>http://www.badatelna.eu/reprodukce/?fondId=1073&amp;zaznamId=1108959&amp;reproId=3780171</v>
      </c>
      <c r="K2507">
        <f>IF(LEN(TRIM(E2507))=0,"",VLOOKUP(E2507,Sheet2!$B$1:$E$19,2,FALSE))</f>
        <v>1073</v>
      </c>
      <c r="L2507">
        <f>IF(LEN(TRIM(E2507))=0,"",VLOOKUP(E2507,Sheet2!$B$1:$E$19,3,FALSE))</f>
        <v>1108959</v>
      </c>
      <c r="M2507">
        <f>IF(LEN(TRIM(E2507))=0,"",VLOOKUP(E2507,Sheet2!$B$1:$E$19,4,FALSE))+(F2507-1)</f>
        <v>3780171</v>
      </c>
    </row>
    <row r="2508" spans="1:13" s="1" customFormat="1" ht="15" customHeight="1" x14ac:dyDescent="0.25">
      <c r="A2508" s="28" t="s">
        <v>354</v>
      </c>
      <c r="B2508" s="28" t="s">
        <v>356</v>
      </c>
      <c r="C2508" s="6" t="s">
        <v>2188</v>
      </c>
      <c r="D2508" s="1" t="s">
        <v>454</v>
      </c>
      <c r="E2508" s="1">
        <v>2173</v>
      </c>
      <c r="F2508" s="28">
        <v>181</v>
      </c>
      <c r="G2508" s="9">
        <v>9</v>
      </c>
      <c r="H2508" s="1">
        <v>192</v>
      </c>
      <c r="I2508" s="1">
        <v>426</v>
      </c>
      <c r="J2508" t="str">
        <f t="shared" si="39"/>
        <v>http://www.badatelna.eu/reprodukce/?fondId=1073&amp;zaznamId=1108959&amp;reproId=3780174</v>
      </c>
      <c r="K2508">
        <f>IF(LEN(TRIM(E2508))=0,"",VLOOKUP(E2508,Sheet2!$B$1:$E$19,2,FALSE))</f>
        <v>1073</v>
      </c>
      <c r="L2508">
        <f>IF(LEN(TRIM(E2508))=0,"",VLOOKUP(E2508,Sheet2!$B$1:$E$19,3,FALSE))</f>
        <v>1108959</v>
      </c>
      <c r="M2508">
        <f>IF(LEN(TRIM(E2508))=0,"",VLOOKUP(E2508,Sheet2!$B$1:$E$19,4,FALSE))+(F2508-1)</f>
        <v>3780174</v>
      </c>
    </row>
    <row r="2509" spans="1:13" s="1" customFormat="1" ht="15" customHeight="1" x14ac:dyDescent="0.25">
      <c r="A2509" s="27" t="s">
        <v>627</v>
      </c>
      <c r="B2509" s="27" t="s">
        <v>528</v>
      </c>
      <c r="C2509" s="5" t="s">
        <v>1432</v>
      </c>
      <c r="D2509" s="3" t="s">
        <v>454</v>
      </c>
      <c r="E2509" s="3">
        <v>2170</v>
      </c>
      <c r="F2509" s="28">
        <v>42</v>
      </c>
      <c r="G2509" s="10">
        <v>38</v>
      </c>
      <c r="H2509" s="3">
        <v>71</v>
      </c>
      <c r="I2509" s="3">
        <v>67</v>
      </c>
      <c r="J2509" t="str">
        <f t="shared" si="39"/>
        <v>http://www.badatelna.eu/reprodukce/?fondId=1073&amp;zaznamId=1108956&amp;reproId=3779634</v>
      </c>
      <c r="K2509">
        <f>IF(LEN(TRIM(E2509))=0,"",VLOOKUP(E2509,Sheet2!$B$1:$E$19,2,FALSE))</f>
        <v>1073</v>
      </c>
      <c r="L2509">
        <f>IF(LEN(TRIM(E2509))=0,"",VLOOKUP(E2509,Sheet2!$B$1:$E$19,3,FALSE))</f>
        <v>1108956</v>
      </c>
      <c r="M2509">
        <f>IF(LEN(TRIM(E2509))=0,"",VLOOKUP(E2509,Sheet2!$B$1:$E$19,4,FALSE))+(F2509-1)</f>
        <v>3779634</v>
      </c>
    </row>
    <row r="2510" spans="1:13" s="1" customFormat="1" ht="15" customHeight="1" x14ac:dyDescent="0.25">
      <c r="A2510" s="28" t="s">
        <v>627</v>
      </c>
      <c r="B2510" s="28" t="s">
        <v>673</v>
      </c>
      <c r="C2510" s="6" t="s">
        <v>1532</v>
      </c>
      <c r="D2510" s="1" t="s">
        <v>454</v>
      </c>
      <c r="E2510" s="1">
        <v>2172</v>
      </c>
      <c r="F2510" s="28">
        <v>14</v>
      </c>
      <c r="G2510" s="9">
        <v>13</v>
      </c>
      <c r="H2510" s="1" t="s">
        <v>3073</v>
      </c>
      <c r="I2510" s="1" t="s">
        <v>3073</v>
      </c>
      <c r="J2510" t="str">
        <f t="shared" si="39"/>
        <v>http://www.badatelna.eu/reprodukce/?fondId=1073&amp;zaznamId=1108958&amp;reproId=3779755</v>
      </c>
      <c r="K2510">
        <f>IF(LEN(TRIM(E2510))=0,"",VLOOKUP(E2510,Sheet2!$B$1:$E$19,2,FALSE))</f>
        <v>1073</v>
      </c>
      <c r="L2510">
        <f>IF(LEN(TRIM(E2510))=0,"",VLOOKUP(E2510,Sheet2!$B$1:$E$19,3,FALSE))</f>
        <v>1108958</v>
      </c>
      <c r="M2510">
        <f>IF(LEN(TRIM(E2510))=0,"",VLOOKUP(E2510,Sheet2!$B$1:$E$19,4,FALSE))+(F2510-1)</f>
        <v>3779755</v>
      </c>
    </row>
    <row r="2511" spans="1:13" s="1" customFormat="1" ht="15" customHeight="1" x14ac:dyDescent="0.25">
      <c r="A2511" s="27" t="s">
        <v>627</v>
      </c>
      <c r="B2511" s="27" t="s">
        <v>493</v>
      </c>
      <c r="C2511" s="5" t="s">
        <v>1431</v>
      </c>
      <c r="D2511" s="3" t="s">
        <v>454</v>
      </c>
      <c r="E2511" s="3">
        <v>2170</v>
      </c>
      <c r="F2511" s="28">
        <v>40</v>
      </c>
      <c r="G2511" s="10">
        <v>36</v>
      </c>
      <c r="H2511" s="3">
        <v>71</v>
      </c>
      <c r="I2511" s="3">
        <v>67</v>
      </c>
      <c r="J2511" t="str">
        <f t="shared" si="39"/>
        <v>http://www.badatelna.eu/reprodukce/?fondId=1073&amp;zaznamId=1108956&amp;reproId=3779632</v>
      </c>
      <c r="K2511">
        <f>IF(LEN(TRIM(E2511))=0,"",VLOOKUP(E2511,Sheet2!$B$1:$E$19,2,FALSE))</f>
        <v>1073</v>
      </c>
      <c r="L2511">
        <f>IF(LEN(TRIM(E2511))=0,"",VLOOKUP(E2511,Sheet2!$B$1:$E$19,3,FALSE))</f>
        <v>1108956</v>
      </c>
      <c r="M2511">
        <f>IF(LEN(TRIM(E2511))=0,"",VLOOKUP(E2511,Sheet2!$B$1:$E$19,4,FALSE))+(F2511-1)</f>
        <v>3779632</v>
      </c>
    </row>
    <row r="2512" spans="1:13" s="1" customFormat="1" ht="15" customHeight="1" x14ac:dyDescent="0.25">
      <c r="A2512" s="27" t="s">
        <v>627</v>
      </c>
      <c r="B2512" s="27" t="s">
        <v>478</v>
      </c>
      <c r="C2512" s="5" t="s">
        <v>1391</v>
      </c>
      <c r="D2512" s="3" t="s">
        <v>454</v>
      </c>
      <c r="E2512" s="3">
        <v>2170</v>
      </c>
      <c r="F2512" s="28">
        <v>25</v>
      </c>
      <c r="G2512" s="10">
        <v>21</v>
      </c>
      <c r="H2512" s="3">
        <v>70</v>
      </c>
      <c r="I2512" s="3">
        <v>66</v>
      </c>
      <c r="J2512" t="str">
        <f t="shared" si="39"/>
        <v>http://www.badatelna.eu/reprodukce/?fondId=1073&amp;zaznamId=1108956&amp;reproId=3779617</v>
      </c>
      <c r="K2512">
        <f>IF(LEN(TRIM(E2512))=0,"",VLOOKUP(E2512,Sheet2!$B$1:$E$19,2,FALSE))</f>
        <v>1073</v>
      </c>
      <c r="L2512">
        <f>IF(LEN(TRIM(E2512))=0,"",VLOOKUP(E2512,Sheet2!$B$1:$E$19,3,FALSE))</f>
        <v>1108956</v>
      </c>
      <c r="M2512">
        <f>IF(LEN(TRIM(E2512))=0,"",VLOOKUP(E2512,Sheet2!$B$1:$E$19,4,FALSE))+(F2512-1)</f>
        <v>3779617</v>
      </c>
    </row>
    <row r="2513" spans="1:13" s="1" customFormat="1" ht="15" customHeight="1" x14ac:dyDescent="0.25">
      <c r="A2513" s="27" t="s">
        <v>627</v>
      </c>
      <c r="B2513" s="27" t="s">
        <v>340</v>
      </c>
      <c r="C2513" s="5" t="s">
        <v>1390</v>
      </c>
      <c r="D2513" s="3" t="s">
        <v>454</v>
      </c>
      <c r="E2513" s="3">
        <v>2170</v>
      </c>
      <c r="F2513" s="28">
        <v>24</v>
      </c>
      <c r="G2513" s="10">
        <v>20</v>
      </c>
      <c r="H2513" s="3">
        <v>70</v>
      </c>
      <c r="I2513" s="3">
        <v>66</v>
      </c>
      <c r="J2513" t="str">
        <f t="shared" si="39"/>
        <v>http://www.badatelna.eu/reprodukce/?fondId=1073&amp;zaznamId=1108956&amp;reproId=3779616</v>
      </c>
      <c r="K2513">
        <f>IF(LEN(TRIM(E2513))=0,"",VLOOKUP(E2513,Sheet2!$B$1:$E$19,2,FALSE))</f>
        <v>1073</v>
      </c>
      <c r="L2513">
        <f>IF(LEN(TRIM(E2513))=0,"",VLOOKUP(E2513,Sheet2!$B$1:$E$19,3,FALSE))</f>
        <v>1108956</v>
      </c>
      <c r="M2513">
        <f>IF(LEN(TRIM(E2513))=0,"",VLOOKUP(E2513,Sheet2!$B$1:$E$19,4,FALSE))+(F2513-1)</f>
        <v>3779616</v>
      </c>
    </row>
    <row r="2514" spans="1:13" s="1" customFormat="1" ht="15" customHeight="1" x14ac:dyDescent="0.25">
      <c r="A2514" s="28" t="s">
        <v>627</v>
      </c>
      <c r="B2514" s="28" t="s">
        <v>28</v>
      </c>
      <c r="C2514" s="6" t="s">
        <v>1952</v>
      </c>
      <c r="D2514" s="1" t="s">
        <v>454</v>
      </c>
      <c r="E2514" s="1">
        <v>2172</v>
      </c>
      <c r="F2514" s="28">
        <v>227</v>
      </c>
      <c r="G2514" s="9">
        <v>208</v>
      </c>
      <c r="H2514" s="1" t="s">
        <v>3073</v>
      </c>
      <c r="I2514" s="1" t="s">
        <v>3073</v>
      </c>
      <c r="J2514" t="str">
        <f t="shared" si="39"/>
        <v>http://www.badatelna.eu/reprodukce/?fondId=1073&amp;zaznamId=1108958&amp;reproId=3779968</v>
      </c>
      <c r="K2514">
        <f>IF(LEN(TRIM(E2514))=0,"",VLOOKUP(E2514,Sheet2!$B$1:$E$19,2,FALSE))</f>
        <v>1073</v>
      </c>
      <c r="L2514">
        <f>IF(LEN(TRIM(E2514))=0,"",VLOOKUP(E2514,Sheet2!$B$1:$E$19,3,FALSE))</f>
        <v>1108958</v>
      </c>
      <c r="M2514">
        <f>IF(LEN(TRIM(E2514))=0,"",VLOOKUP(E2514,Sheet2!$B$1:$E$19,4,FALSE))+(F2514-1)</f>
        <v>3779968</v>
      </c>
    </row>
    <row r="2515" spans="1:13" s="1" customFormat="1" ht="15" customHeight="1" x14ac:dyDescent="0.25">
      <c r="A2515" s="28" t="s">
        <v>674</v>
      </c>
      <c r="B2515" s="28" t="s">
        <v>675</v>
      </c>
      <c r="C2515" s="6" t="s">
        <v>1823</v>
      </c>
      <c r="D2515" s="1" t="s">
        <v>454</v>
      </c>
      <c r="E2515" s="1">
        <v>2172</v>
      </c>
      <c r="F2515" s="28">
        <v>168</v>
      </c>
      <c r="G2515" s="9">
        <v>161</v>
      </c>
      <c r="H2515" s="1" t="s">
        <v>3073</v>
      </c>
      <c r="I2515" s="1" t="s">
        <v>3073</v>
      </c>
      <c r="J2515" t="str">
        <f t="shared" si="39"/>
        <v>http://www.badatelna.eu/reprodukce/?fondId=1073&amp;zaznamId=1108958&amp;reproId=3779909</v>
      </c>
      <c r="K2515">
        <f>IF(LEN(TRIM(E2515))=0,"",VLOOKUP(E2515,Sheet2!$B$1:$E$19,2,FALSE))</f>
        <v>1073</v>
      </c>
      <c r="L2515">
        <f>IF(LEN(TRIM(E2515))=0,"",VLOOKUP(E2515,Sheet2!$B$1:$E$19,3,FALSE))</f>
        <v>1108958</v>
      </c>
      <c r="M2515">
        <f>IF(LEN(TRIM(E2515))=0,"",VLOOKUP(E2515,Sheet2!$B$1:$E$19,4,FALSE))+(F2515-1)</f>
        <v>3779909</v>
      </c>
    </row>
    <row r="2516" spans="1:13" s="1" customFormat="1" ht="15" customHeight="1" x14ac:dyDescent="0.25">
      <c r="A2516" s="28" t="s">
        <v>78</v>
      </c>
      <c r="B2516" s="28" t="s">
        <v>77</v>
      </c>
      <c r="C2516" s="6" t="s">
        <v>2278</v>
      </c>
      <c r="D2516" s="1" t="s">
        <v>454</v>
      </c>
      <c r="E2516" s="1">
        <v>2173</v>
      </c>
      <c r="F2516" s="31">
        <v>197</v>
      </c>
      <c r="G2516" s="12">
        <v>4</v>
      </c>
      <c r="H2516" s="1" t="s">
        <v>3073</v>
      </c>
      <c r="I2516" s="1" t="s">
        <v>3073</v>
      </c>
      <c r="J2516" t="str">
        <f t="shared" si="39"/>
        <v>http://www.badatelna.eu/reprodukce/?fondId=1073&amp;zaznamId=1108959&amp;reproId=3780190</v>
      </c>
      <c r="K2516">
        <f>IF(LEN(TRIM(E2516))=0,"",VLOOKUP(E2516,Sheet2!$B$1:$E$19,2,FALSE))</f>
        <v>1073</v>
      </c>
      <c r="L2516">
        <f>IF(LEN(TRIM(E2516))=0,"",VLOOKUP(E2516,Sheet2!$B$1:$E$19,3,FALSE))</f>
        <v>1108959</v>
      </c>
      <c r="M2516">
        <f>IF(LEN(TRIM(E2516))=0,"",VLOOKUP(E2516,Sheet2!$B$1:$E$19,4,FALSE))+(F2516-1)</f>
        <v>3780190</v>
      </c>
    </row>
    <row r="2517" spans="1:13" s="1" customFormat="1" ht="15" customHeight="1" x14ac:dyDescent="0.25">
      <c r="A2517" s="28" t="s">
        <v>676</v>
      </c>
      <c r="B2517" s="28" t="s">
        <v>677</v>
      </c>
      <c r="C2517" s="6" t="s">
        <v>1618</v>
      </c>
      <c r="D2517" s="1" t="s">
        <v>454</v>
      </c>
      <c r="E2517" s="1">
        <v>2172</v>
      </c>
      <c r="F2517" s="28">
        <v>73</v>
      </c>
      <c r="G2517" s="9">
        <v>72</v>
      </c>
      <c r="H2517" s="1">
        <v>77</v>
      </c>
      <c r="I2517" s="1">
        <v>76</v>
      </c>
      <c r="J2517" t="str">
        <f t="shared" si="39"/>
        <v>http://www.badatelna.eu/reprodukce/?fondId=1073&amp;zaznamId=1108958&amp;reproId=3779814</v>
      </c>
      <c r="K2517">
        <f>IF(LEN(TRIM(E2517))=0,"",VLOOKUP(E2517,Sheet2!$B$1:$E$19,2,FALSE))</f>
        <v>1073</v>
      </c>
      <c r="L2517">
        <f>IF(LEN(TRIM(E2517))=0,"",VLOOKUP(E2517,Sheet2!$B$1:$E$19,3,FALSE))</f>
        <v>1108958</v>
      </c>
      <c r="M2517">
        <f>IF(LEN(TRIM(E2517))=0,"",VLOOKUP(E2517,Sheet2!$B$1:$E$19,4,FALSE))+(F2517-1)</f>
        <v>3779814</v>
      </c>
    </row>
    <row r="2518" spans="1:13" s="1" customFormat="1" ht="15" customHeight="1" x14ac:dyDescent="0.25">
      <c r="A2518" s="28" t="s">
        <v>676</v>
      </c>
      <c r="B2518" s="28" t="s">
        <v>80</v>
      </c>
      <c r="C2518" s="6" t="s">
        <v>2906</v>
      </c>
      <c r="D2518" s="1" t="s">
        <v>454</v>
      </c>
      <c r="E2518" s="1">
        <v>2173</v>
      </c>
      <c r="F2518" s="28">
        <v>212</v>
      </c>
      <c r="G2518" s="9" t="s">
        <v>2761</v>
      </c>
      <c r="H2518" s="1" t="s">
        <v>3073</v>
      </c>
      <c r="I2518" s="1" t="s">
        <v>3073</v>
      </c>
      <c r="J2518" t="str">
        <f t="shared" si="39"/>
        <v>http://www.badatelna.eu/reprodukce/?fondId=1073&amp;zaznamId=1108959&amp;reproId=3780205</v>
      </c>
      <c r="K2518">
        <f>IF(LEN(TRIM(E2518))=0,"",VLOOKUP(E2518,Sheet2!$B$1:$E$19,2,FALSE))</f>
        <v>1073</v>
      </c>
      <c r="L2518">
        <f>IF(LEN(TRIM(E2518))=0,"",VLOOKUP(E2518,Sheet2!$B$1:$E$19,3,FALSE))</f>
        <v>1108959</v>
      </c>
      <c r="M2518">
        <f>IF(LEN(TRIM(E2518))=0,"",VLOOKUP(E2518,Sheet2!$B$1:$E$19,4,FALSE))+(F2518-1)</f>
        <v>3780205</v>
      </c>
    </row>
    <row r="2519" spans="1:13" s="1" customFormat="1" ht="15" customHeight="1" x14ac:dyDescent="0.25">
      <c r="A2519" s="28" t="s">
        <v>676</v>
      </c>
      <c r="B2519" s="28" t="s">
        <v>678</v>
      </c>
      <c r="C2519" s="15">
        <v>10023</v>
      </c>
      <c r="D2519" s="1" t="s">
        <v>454</v>
      </c>
      <c r="E2519" s="1">
        <v>2172</v>
      </c>
      <c r="F2519" s="28">
        <v>211</v>
      </c>
      <c r="G2519" s="9">
        <v>195</v>
      </c>
      <c r="H2519" s="1" t="s">
        <v>3073</v>
      </c>
      <c r="I2519" s="1" t="s">
        <v>3073</v>
      </c>
      <c r="J2519" t="str">
        <f t="shared" si="39"/>
        <v>http://www.badatelna.eu/reprodukce/?fondId=1073&amp;zaznamId=1108958&amp;reproId=3779952</v>
      </c>
      <c r="K2519">
        <f>IF(LEN(TRIM(E2519))=0,"",VLOOKUP(E2519,Sheet2!$B$1:$E$19,2,FALSE))</f>
        <v>1073</v>
      </c>
      <c r="L2519">
        <f>IF(LEN(TRIM(E2519))=0,"",VLOOKUP(E2519,Sheet2!$B$1:$E$19,3,FALSE))</f>
        <v>1108958</v>
      </c>
      <c r="M2519">
        <f>IF(LEN(TRIM(E2519))=0,"",VLOOKUP(E2519,Sheet2!$B$1:$E$19,4,FALSE))+(F2519-1)</f>
        <v>3779952</v>
      </c>
    </row>
    <row r="2520" spans="1:13" s="1" customFormat="1" ht="15" customHeight="1" x14ac:dyDescent="0.25">
      <c r="A2520" s="29" t="s">
        <v>3013</v>
      </c>
      <c r="B2520" s="28" t="s">
        <v>420</v>
      </c>
      <c r="C2520" s="1">
        <v>1854</v>
      </c>
      <c r="D2520" s="1" t="s">
        <v>2919</v>
      </c>
      <c r="E2520" s="1">
        <v>998</v>
      </c>
      <c r="F2520" s="28">
        <v>41</v>
      </c>
      <c r="G2520" s="1">
        <v>39</v>
      </c>
      <c r="H2520" s="1">
        <v>78</v>
      </c>
      <c r="I2520" s="1">
        <v>76</v>
      </c>
      <c r="J2520" t="str">
        <f t="shared" si="39"/>
        <v>http://www.badatelna.eu/reprodukce/?fondId=241&amp;zaznamId=1133738&amp;reproId=3885687</v>
      </c>
      <c r="K2520">
        <f>IF(LEN(TRIM(E2520))=0,"",VLOOKUP(E2520,Sheet2!$B$1:$E$19,2,FALSE))</f>
        <v>241</v>
      </c>
      <c r="L2520">
        <f>IF(LEN(TRIM(E2520))=0,"",VLOOKUP(E2520,Sheet2!$B$1:$E$19,3,FALSE))</f>
        <v>1133738</v>
      </c>
      <c r="M2520">
        <f>IF(LEN(TRIM(E2520))=0,"",VLOOKUP(E2520,Sheet2!$B$1:$E$19,4,FALSE))+(F2520-1)</f>
        <v>3885687</v>
      </c>
    </row>
    <row r="2521" spans="1:13" s="1" customFormat="1" ht="15" customHeight="1" x14ac:dyDescent="0.25">
      <c r="A2521" s="29" t="s">
        <v>3013</v>
      </c>
      <c r="B2521" s="28" t="s">
        <v>522</v>
      </c>
      <c r="C2521" s="1">
        <v>1866</v>
      </c>
      <c r="D2521" s="1" t="s">
        <v>2919</v>
      </c>
      <c r="E2521" s="1">
        <v>999</v>
      </c>
      <c r="F2521" s="28">
        <v>91</v>
      </c>
      <c r="G2521" s="1">
        <v>12</v>
      </c>
      <c r="H2521" s="1">
        <v>108</v>
      </c>
      <c r="I2521" s="1">
        <v>168</v>
      </c>
      <c r="J2521" t="str">
        <f t="shared" si="39"/>
        <v>http://www.badatelna.eu/reprodukce/?fondId=241&amp;zaznamId=1133739&amp;reproId=3885820</v>
      </c>
      <c r="K2521">
        <f>IF(LEN(TRIM(E2521))=0,"",VLOOKUP(E2521,Sheet2!$B$1:$E$19,2,FALSE))</f>
        <v>241</v>
      </c>
      <c r="L2521">
        <f>IF(LEN(TRIM(E2521))=0,"",VLOOKUP(E2521,Sheet2!$B$1:$E$19,3,FALSE))</f>
        <v>1133739</v>
      </c>
      <c r="M2521">
        <f>IF(LEN(TRIM(E2521))=0,"",VLOOKUP(E2521,Sheet2!$B$1:$E$19,4,FALSE))+(F2521-1)</f>
        <v>3885820</v>
      </c>
    </row>
    <row r="2522" spans="1:13" s="1" customFormat="1" ht="15" customHeight="1" x14ac:dyDescent="0.25">
      <c r="A2522" s="29" t="s">
        <v>3013</v>
      </c>
      <c r="B2522" s="28" t="s">
        <v>462</v>
      </c>
      <c r="C2522" s="1">
        <v>1866</v>
      </c>
      <c r="D2522" s="1" t="s">
        <v>2919</v>
      </c>
      <c r="E2522" s="1">
        <v>999</v>
      </c>
      <c r="F2522" s="28">
        <v>91</v>
      </c>
      <c r="G2522" s="1">
        <v>12</v>
      </c>
      <c r="H2522" s="1">
        <v>108</v>
      </c>
      <c r="I2522" s="1">
        <v>168</v>
      </c>
      <c r="J2522" t="str">
        <f t="shared" si="39"/>
        <v>http://www.badatelna.eu/reprodukce/?fondId=241&amp;zaznamId=1133739&amp;reproId=3885820</v>
      </c>
      <c r="K2522">
        <f>IF(LEN(TRIM(E2522))=0,"",VLOOKUP(E2522,Sheet2!$B$1:$E$19,2,FALSE))</f>
        <v>241</v>
      </c>
      <c r="L2522">
        <f>IF(LEN(TRIM(E2522))=0,"",VLOOKUP(E2522,Sheet2!$B$1:$E$19,3,FALSE))</f>
        <v>1133739</v>
      </c>
      <c r="M2522">
        <f>IF(LEN(TRIM(E2522))=0,"",VLOOKUP(E2522,Sheet2!$B$1:$E$19,4,FALSE))+(F2522-1)</f>
        <v>3885820</v>
      </c>
    </row>
    <row r="2523" spans="1:13" s="1" customFormat="1" ht="15" customHeight="1" x14ac:dyDescent="0.25">
      <c r="A2523" s="28" t="s">
        <v>3013</v>
      </c>
      <c r="B2523" s="28"/>
      <c r="C2523" s="15"/>
      <c r="F2523" s="28"/>
      <c r="G2523" s="9"/>
      <c r="J2523" t="str">
        <f t="shared" si="39"/>
        <v/>
      </c>
      <c r="K2523" t="str">
        <f>IF(LEN(TRIM(E2523))=0,"",VLOOKUP(E2523,Sheet2!$B$1:$E$19,2,FALSE))</f>
        <v/>
      </c>
      <c r="L2523" t="str">
        <f>IF(LEN(TRIM(E2523))=0,"",VLOOKUP(E2523,Sheet2!$B$1:$E$19,3,FALSE))</f>
        <v/>
      </c>
      <c r="M2523" t="e">
        <f>IF(LEN(TRIM(E2523))=0,"",VLOOKUP(E2523,Sheet2!$B$1:$E$19,4,FALSE))+(F2523-1)</f>
        <v>#VALUE!</v>
      </c>
    </row>
    <row r="2524" spans="1:13" s="1" customFormat="1" ht="15" customHeight="1" x14ac:dyDescent="0.25">
      <c r="A2524" s="28" t="s">
        <v>679</v>
      </c>
      <c r="B2524" s="28" t="s">
        <v>420</v>
      </c>
      <c r="C2524" s="6" t="s">
        <v>1911</v>
      </c>
      <c r="D2524" s="1" t="s">
        <v>454</v>
      </c>
      <c r="E2524" s="1">
        <v>2172</v>
      </c>
      <c r="F2524" s="28">
        <v>209</v>
      </c>
      <c r="G2524" s="9">
        <v>193</v>
      </c>
      <c r="H2524" s="1" t="s">
        <v>3073</v>
      </c>
      <c r="I2524" s="1" t="s">
        <v>3073</v>
      </c>
      <c r="J2524" t="str">
        <f t="shared" si="39"/>
        <v>http://www.badatelna.eu/reprodukce/?fondId=1073&amp;zaznamId=1108958&amp;reproId=3779950</v>
      </c>
      <c r="K2524">
        <f>IF(LEN(TRIM(E2524))=0,"",VLOOKUP(E2524,Sheet2!$B$1:$E$19,2,FALSE))</f>
        <v>1073</v>
      </c>
      <c r="L2524">
        <f>IF(LEN(TRIM(E2524))=0,"",VLOOKUP(E2524,Sheet2!$B$1:$E$19,3,FALSE))</f>
        <v>1108958</v>
      </c>
      <c r="M2524">
        <f>IF(LEN(TRIM(E2524))=0,"",VLOOKUP(E2524,Sheet2!$B$1:$E$19,4,FALSE))+(F2524-1)</f>
        <v>3779950</v>
      </c>
    </row>
    <row r="2525" spans="1:13" s="1" customFormat="1" ht="15" customHeight="1" x14ac:dyDescent="0.25">
      <c r="A2525" s="29" t="s">
        <v>3107</v>
      </c>
      <c r="B2525" s="28" t="s">
        <v>19</v>
      </c>
      <c r="C2525" s="6" t="s">
        <v>2391</v>
      </c>
      <c r="D2525" s="1" t="s">
        <v>454</v>
      </c>
      <c r="E2525" s="1">
        <v>2173</v>
      </c>
      <c r="F2525" s="28">
        <v>202</v>
      </c>
      <c r="G2525" s="9">
        <v>13</v>
      </c>
      <c r="H2525" s="1" t="s">
        <v>3073</v>
      </c>
      <c r="I2525" s="1" t="s">
        <v>3073</v>
      </c>
      <c r="J2525" t="str">
        <f t="shared" si="39"/>
        <v>http://www.badatelna.eu/reprodukce/?fondId=1073&amp;zaznamId=1108959&amp;reproId=3780195</v>
      </c>
      <c r="K2525">
        <f>IF(LEN(TRIM(E2525))=0,"",VLOOKUP(E2525,Sheet2!$B$1:$E$19,2,FALSE))</f>
        <v>1073</v>
      </c>
      <c r="L2525">
        <f>IF(LEN(TRIM(E2525))=0,"",VLOOKUP(E2525,Sheet2!$B$1:$E$19,3,FALSE))</f>
        <v>1108959</v>
      </c>
      <c r="M2525">
        <f>IF(LEN(TRIM(E2525))=0,"",VLOOKUP(E2525,Sheet2!$B$1:$E$19,4,FALSE))+(F2525-1)</f>
        <v>3780195</v>
      </c>
    </row>
    <row r="2526" spans="1:13" s="1" customFormat="1" ht="15" customHeight="1" x14ac:dyDescent="0.25">
      <c r="A2526" s="28" t="s">
        <v>130</v>
      </c>
      <c r="B2526" s="28" t="s">
        <v>3004</v>
      </c>
      <c r="C2526" s="1">
        <v>1848</v>
      </c>
      <c r="D2526" s="1" t="s">
        <v>2919</v>
      </c>
      <c r="E2526" s="1">
        <v>998</v>
      </c>
      <c r="F2526" s="28">
        <v>14</v>
      </c>
      <c r="G2526" s="1">
        <v>12</v>
      </c>
      <c r="H2526" s="1">
        <v>78</v>
      </c>
      <c r="I2526" s="1">
        <v>76</v>
      </c>
      <c r="J2526" t="str">
        <f t="shared" si="39"/>
        <v>http://www.badatelna.eu/reprodukce/?fondId=241&amp;zaznamId=1133738&amp;reproId=3885660</v>
      </c>
      <c r="K2526">
        <f>IF(LEN(TRIM(E2526))=0,"",VLOOKUP(E2526,Sheet2!$B$1:$E$19,2,FALSE))</f>
        <v>241</v>
      </c>
      <c r="L2526">
        <f>IF(LEN(TRIM(E2526))=0,"",VLOOKUP(E2526,Sheet2!$B$1:$E$19,3,FALSE))</f>
        <v>1133738</v>
      </c>
      <c r="M2526">
        <f>IF(LEN(TRIM(E2526))=0,"",VLOOKUP(E2526,Sheet2!$B$1:$E$19,4,FALSE))+(F2526-1)</f>
        <v>3885660</v>
      </c>
    </row>
    <row r="2527" spans="1:13" s="1" customFormat="1" ht="15" customHeight="1" x14ac:dyDescent="0.25">
      <c r="A2527" s="28" t="s">
        <v>130</v>
      </c>
      <c r="B2527" s="28" t="s">
        <v>420</v>
      </c>
      <c r="C2527" s="1">
        <v>1862</v>
      </c>
      <c r="D2527" s="1" t="s">
        <v>2919</v>
      </c>
      <c r="E2527" s="1">
        <v>999</v>
      </c>
      <c r="F2527" s="28">
        <v>80</v>
      </c>
      <c r="G2527" s="1">
        <v>1</v>
      </c>
      <c r="H2527" s="1">
        <v>108</v>
      </c>
      <c r="I2527" s="1">
        <v>168</v>
      </c>
      <c r="J2527" t="str">
        <f t="shared" si="39"/>
        <v>http://www.badatelna.eu/reprodukce/?fondId=241&amp;zaznamId=1133739&amp;reproId=3885809</v>
      </c>
      <c r="K2527">
        <f>IF(LEN(TRIM(E2527))=0,"",VLOOKUP(E2527,Sheet2!$B$1:$E$19,2,FALSE))</f>
        <v>241</v>
      </c>
      <c r="L2527">
        <f>IF(LEN(TRIM(E2527))=0,"",VLOOKUP(E2527,Sheet2!$B$1:$E$19,3,FALSE))</f>
        <v>1133739</v>
      </c>
      <c r="M2527">
        <f>IF(LEN(TRIM(E2527))=0,"",VLOOKUP(E2527,Sheet2!$B$1:$E$19,4,FALSE))+(F2527-1)</f>
        <v>3885809</v>
      </c>
    </row>
    <row r="2528" spans="1:13" s="1" customFormat="1" ht="15" customHeight="1" x14ac:dyDescent="0.25">
      <c r="A2528" s="28" t="s">
        <v>130</v>
      </c>
      <c r="B2528" s="29" t="s">
        <v>3020</v>
      </c>
      <c r="C2528" s="1">
        <v>1859</v>
      </c>
      <c r="D2528" s="1" t="s">
        <v>2919</v>
      </c>
      <c r="E2528" s="1">
        <v>998</v>
      </c>
      <c r="F2528" s="28">
        <v>56</v>
      </c>
      <c r="G2528" s="1" t="s">
        <v>2941</v>
      </c>
      <c r="H2528" s="1">
        <v>79</v>
      </c>
      <c r="I2528" s="1">
        <v>77</v>
      </c>
      <c r="J2528" t="str">
        <f t="shared" si="39"/>
        <v>http://www.badatelna.eu/reprodukce/?fondId=241&amp;zaznamId=1133738&amp;reproId=3885702</v>
      </c>
      <c r="K2528">
        <f>IF(LEN(TRIM(E2528))=0,"",VLOOKUP(E2528,Sheet2!$B$1:$E$19,2,FALSE))</f>
        <v>241</v>
      </c>
      <c r="L2528">
        <f>IF(LEN(TRIM(E2528))=0,"",VLOOKUP(E2528,Sheet2!$B$1:$E$19,3,FALSE))</f>
        <v>1133738</v>
      </c>
      <c r="M2528">
        <f>IF(LEN(TRIM(E2528))=0,"",VLOOKUP(E2528,Sheet2!$B$1:$E$19,4,FALSE))+(F2528-1)</f>
        <v>3885702</v>
      </c>
    </row>
    <row r="2529" spans="1:13" s="1" customFormat="1" ht="15" customHeight="1" x14ac:dyDescent="0.25">
      <c r="A2529" s="28" t="s">
        <v>130</v>
      </c>
      <c r="B2529" s="28" t="s">
        <v>538</v>
      </c>
      <c r="C2529" s="15">
        <v>3809</v>
      </c>
      <c r="D2529" s="1" t="s">
        <v>454</v>
      </c>
      <c r="E2529" s="1">
        <v>2172</v>
      </c>
      <c r="F2529" s="28">
        <v>176</v>
      </c>
      <c r="G2529" s="9">
        <v>169</v>
      </c>
      <c r="H2529" s="1" t="s">
        <v>3073</v>
      </c>
      <c r="I2529" s="1" t="s">
        <v>3073</v>
      </c>
      <c r="J2529" t="str">
        <f t="shared" si="39"/>
        <v>http://www.badatelna.eu/reprodukce/?fondId=1073&amp;zaznamId=1108958&amp;reproId=3779917</v>
      </c>
      <c r="K2529">
        <f>IF(LEN(TRIM(E2529))=0,"",VLOOKUP(E2529,Sheet2!$B$1:$E$19,2,FALSE))</f>
        <v>1073</v>
      </c>
      <c r="L2529">
        <f>IF(LEN(TRIM(E2529))=0,"",VLOOKUP(E2529,Sheet2!$B$1:$E$19,3,FALSE))</f>
        <v>1108958</v>
      </c>
      <c r="M2529">
        <f>IF(LEN(TRIM(E2529))=0,"",VLOOKUP(E2529,Sheet2!$B$1:$E$19,4,FALSE))+(F2529-1)</f>
        <v>3779917</v>
      </c>
    </row>
    <row r="2530" spans="1:13" s="1" customFormat="1" ht="15" customHeight="1" x14ac:dyDescent="0.25">
      <c r="A2530" s="28" t="s">
        <v>130</v>
      </c>
      <c r="B2530" s="28" t="s">
        <v>274</v>
      </c>
      <c r="C2530" s="6" t="s">
        <v>2190</v>
      </c>
      <c r="D2530" s="1" t="s">
        <v>454</v>
      </c>
      <c r="E2530" s="1">
        <v>2173</v>
      </c>
      <c r="F2530" s="28">
        <v>179</v>
      </c>
      <c r="G2530" s="9">
        <v>4</v>
      </c>
      <c r="H2530" s="1">
        <v>192</v>
      </c>
      <c r="I2530" s="1">
        <v>426</v>
      </c>
      <c r="J2530" t="str">
        <f t="shared" si="39"/>
        <v>http://www.badatelna.eu/reprodukce/?fondId=1073&amp;zaznamId=1108959&amp;reproId=3780172</v>
      </c>
      <c r="K2530">
        <f>IF(LEN(TRIM(E2530))=0,"",VLOOKUP(E2530,Sheet2!$B$1:$E$19,2,FALSE))</f>
        <v>1073</v>
      </c>
      <c r="L2530">
        <f>IF(LEN(TRIM(E2530))=0,"",VLOOKUP(E2530,Sheet2!$B$1:$E$19,3,FALSE))</f>
        <v>1108959</v>
      </c>
      <c r="M2530">
        <f>IF(LEN(TRIM(E2530))=0,"",VLOOKUP(E2530,Sheet2!$B$1:$E$19,4,FALSE))+(F2530-1)</f>
        <v>3780172</v>
      </c>
    </row>
    <row r="2531" spans="1:13" s="1" customFormat="1" ht="15" customHeight="1" x14ac:dyDescent="0.25">
      <c r="A2531" s="28" t="s">
        <v>130</v>
      </c>
      <c r="B2531" s="28" t="s">
        <v>274</v>
      </c>
      <c r="C2531" s="6" t="s">
        <v>2189</v>
      </c>
      <c r="D2531" s="1" t="s">
        <v>454</v>
      </c>
      <c r="E2531" s="1">
        <v>2173</v>
      </c>
      <c r="F2531" s="37">
        <v>178</v>
      </c>
      <c r="G2531" s="9">
        <v>3</v>
      </c>
      <c r="H2531" s="1">
        <v>192</v>
      </c>
      <c r="I2531" s="1">
        <v>426</v>
      </c>
      <c r="J2531" t="str">
        <f t="shared" si="39"/>
        <v>http://www.badatelna.eu/reprodukce/?fondId=1073&amp;zaznamId=1108959&amp;reproId=3780171</v>
      </c>
      <c r="K2531">
        <f>IF(LEN(TRIM(E2531))=0,"",VLOOKUP(E2531,Sheet2!$B$1:$E$19,2,FALSE))</f>
        <v>1073</v>
      </c>
      <c r="L2531">
        <f>IF(LEN(TRIM(E2531))=0,"",VLOOKUP(E2531,Sheet2!$B$1:$E$19,3,FALSE))</f>
        <v>1108959</v>
      </c>
      <c r="M2531">
        <f>IF(LEN(TRIM(E2531))=0,"",VLOOKUP(E2531,Sheet2!$B$1:$E$19,4,FALSE))+(F2531-1)</f>
        <v>3780171</v>
      </c>
    </row>
    <row r="2532" spans="1:13" s="1" customFormat="1" ht="15" customHeight="1" x14ac:dyDescent="0.25">
      <c r="A2532" s="27" t="s">
        <v>130</v>
      </c>
      <c r="B2532" s="27" t="s">
        <v>25</v>
      </c>
      <c r="C2532" s="5" t="s">
        <v>1393</v>
      </c>
      <c r="D2532" s="3" t="s">
        <v>454</v>
      </c>
      <c r="E2532" s="3">
        <v>2170</v>
      </c>
      <c r="F2532" s="28">
        <v>25</v>
      </c>
      <c r="G2532" s="10">
        <v>21</v>
      </c>
      <c r="H2532" s="3">
        <v>70</v>
      </c>
      <c r="I2532" s="3">
        <v>66</v>
      </c>
      <c r="J2532" t="str">
        <f t="shared" si="39"/>
        <v>http://www.badatelna.eu/reprodukce/?fondId=1073&amp;zaznamId=1108956&amp;reproId=3779617</v>
      </c>
      <c r="K2532">
        <f>IF(LEN(TRIM(E2532))=0,"",VLOOKUP(E2532,Sheet2!$B$1:$E$19,2,FALSE))</f>
        <v>1073</v>
      </c>
      <c r="L2532">
        <f>IF(LEN(TRIM(E2532))=0,"",VLOOKUP(E2532,Sheet2!$B$1:$E$19,3,FALSE))</f>
        <v>1108956</v>
      </c>
      <c r="M2532">
        <f>IF(LEN(TRIM(E2532))=0,"",VLOOKUP(E2532,Sheet2!$B$1:$E$19,4,FALSE))+(F2532-1)</f>
        <v>3779617</v>
      </c>
    </row>
    <row r="2533" spans="1:13" s="1" customFormat="1" ht="15" customHeight="1" x14ac:dyDescent="0.25">
      <c r="A2533" s="27" t="s">
        <v>130</v>
      </c>
      <c r="B2533" s="27" t="s">
        <v>628</v>
      </c>
      <c r="C2533" s="5" t="s">
        <v>1392</v>
      </c>
      <c r="D2533" s="3" t="s">
        <v>454</v>
      </c>
      <c r="E2533" s="3">
        <v>2170</v>
      </c>
      <c r="F2533" s="31">
        <v>8</v>
      </c>
      <c r="G2533" s="10">
        <v>4</v>
      </c>
      <c r="H2533" s="3">
        <v>70</v>
      </c>
      <c r="I2533" s="3">
        <v>66</v>
      </c>
      <c r="J2533" t="str">
        <f t="shared" si="39"/>
        <v>http://www.badatelna.eu/reprodukce/?fondId=1073&amp;zaznamId=1108956&amp;reproId=3779600</v>
      </c>
      <c r="K2533">
        <f>IF(LEN(TRIM(E2533))=0,"",VLOOKUP(E2533,Sheet2!$B$1:$E$19,2,FALSE))</f>
        <v>1073</v>
      </c>
      <c r="L2533">
        <f>IF(LEN(TRIM(E2533))=0,"",VLOOKUP(E2533,Sheet2!$B$1:$E$19,3,FALSE))</f>
        <v>1108956</v>
      </c>
      <c r="M2533">
        <f>IF(LEN(TRIM(E2533))=0,"",VLOOKUP(E2533,Sheet2!$B$1:$E$19,4,FALSE))+(F2533-1)</f>
        <v>3779600</v>
      </c>
    </row>
    <row r="2534" spans="1:13" s="1" customFormat="1" ht="15" customHeight="1" x14ac:dyDescent="0.25">
      <c r="A2534" s="28" t="s">
        <v>130</v>
      </c>
      <c r="B2534" s="28" t="s">
        <v>3055</v>
      </c>
      <c r="C2534" s="1">
        <v>1863</v>
      </c>
      <c r="D2534" s="1" t="s">
        <v>2919</v>
      </c>
      <c r="E2534" s="1">
        <v>999</v>
      </c>
      <c r="F2534" s="28">
        <v>84</v>
      </c>
      <c r="G2534" s="1">
        <v>5</v>
      </c>
      <c r="H2534" s="1">
        <v>108</v>
      </c>
      <c r="I2534" s="1">
        <v>168</v>
      </c>
      <c r="J2534" t="str">
        <f t="shared" si="39"/>
        <v>http://www.badatelna.eu/reprodukce/?fondId=241&amp;zaznamId=1133739&amp;reproId=3885813</v>
      </c>
      <c r="K2534">
        <f>IF(LEN(TRIM(E2534))=0,"",VLOOKUP(E2534,Sheet2!$B$1:$E$19,2,FALSE))</f>
        <v>241</v>
      </c>
      <c r="L2534">
        <f>IF(LEN(TRIM(E2534))=0,"",VLOOKUP(E2534,Sheet2!$B$1:$E$19,3,FALSE))</f>
        <v>1133739</v>
      </c>
      <c r="M2534">
        <f>IF(LEN(TRIM(E2534))=0,"",VLOOKUP(E2534,Sheet2!$B$1:$E$19,4,FALSE))+(F2534-1)</f>
        <v>3885813</v>
      </c>
    </row>
    <row r="2535" spans="1:13" s="1" customFormat="1" ht="15" customHeight="1" x14ac:dyDescent="0.25">
      <c r="A2535" s="28" t="s">
        <v>130</v>
      </c>
      <c r="B2535" s="28" t="s">
        <v>49</v>
      </c>
      <c r="C2535" s="6" t="s">
        <v>2357</v>
      </c>
      <c r="D2535" s="1" t="s">
        <v>454</v>
      </c>
      <c r="E2535" s="1">
        <v>2173</v>
      </c>
      <c r="F2535" s="28">
        <v>200</v>
      </c>
      <c r="G2535" s="9">
        <v>9</v>
      </c>
      <c r="H2535" s="1" t="s">
        <v>3073</v>
      </c>
      <c r="I2535" s="1" t="s">
        <v>3073</v>
      </c>
      <c r="J2535" t="str">
        <f t="shared" si="39"/>
        <v>http://www.badatelna.eu/reprodukce/?fondId=1073&amp;zaznamId=1108959&amp;reproId=3780193</v>
      </c>
      <c r="K2535">
        <f>IF(LEN(TRIM(E2535))=0,"",VLOOKUP(E2535,Sheet2!$B$1:$E$19,2,FALSE))</f>
        <v>1073</v>
      </c>
      <c r="L2535">
        <f>IF(LEN(TRIM(E2535))=0,"",VLOOKUP(E2535,Sheet2!$B$1:$E$19,3,FALSE))</f>
        <v>1108959</v>
      </c>
      <c r="M2535">
        <f>IF(LEN(TRIM(E2535))=0,"",VLOOKUP(E2535,Sheet2!$B$1:$E$19,4,FALSE))+(F2535-1)</f>
        <v>3780193</v>
      </c>
    </row>
    <row r="2536" spans="1:13" s="1" customFormat="1" ht="15" customHeight="1" x14ac:dyDescent="0.25">
      <c r="A2536" s="28" t="s">
        <v>130</v>
      </c>
      <c r="B2536" s="28" t="s">
        <v>49</v>
      </c>
      <c r="C2536" s="6" t="s">
        <v>2411</v>
      </c>
      <c r="D2536" s="1" t="s">
        <v>454</v>
      </c>
      <c r="E2536" s="1">
        <v>2173</v>
      </c>
      <c r="F2536" s="28">
        <v>202</v>
      </c>
      <c r="G2536" s="9">
        <v>14</v>
      </c>
      <c r="H2536" s="1" t="s">
        <v>3073</v>
      </c>
      <c r="I2536" s="1" t="s">
        <v>3073</v>
      </c>
      <c r="J2536" t="str">
        <f t="shared" si="39"/>
        <v>http://www.badatelna.eu/reprodukce/?fondId=1073&amp;zaznamId=1108959&amp;reproId=3780195</v>
      </c>
      <c r="K2536">
        <f>IF(LEN(TRIM(E2536))=0,"",VLOOKUP(E2536,Sheet2!$B$1:$E$19,2,FALSE))</f>
        <v>1073</v>
      </c>
      <c r="L2536">
        <f>IF(LEN(TRIM(E2536))=0,"",VLOOKUP(E2536,Sheet2!$B$1:$E$19,3,FALSE))</f>
        <v>1108959</v>
      </c>
      <c r="M2536">
        <f>IF(LEN(TRIM(E2536))=0,"",VLOOKUP(E2536,Sheet2!$B$1:$E$19,4,FALSE))+(F2536-1)</f>
        <v>3780195</v>
      </c>
    </row>
    <row r="2537" spans="1:13" s="1" customFormat="1" ht="15" customHeight="1" x14ac:dyDescent="0.25">
      <c r="A2537" s="28" t="s">
        <v>130</v>
      </c>
      <c r="B2537" s="28" t="s">
        <v>49</v>
      </c>
      <c r="C2537" s="6" t="s">
        <v>2191</v>
      </c>
      <c r="D2537" s="1" t="s">
        <v>454</v>
      </c>
      <c r="E2537" s="1">
        <v>2173</v>
      </c>
      <c r="F2537" s="28">
        <v>179</v>
      </c>
      <c r="G2537" s="9">
        <v>4</v>
      </c>
      <c r="H2537" s="1">
        <v>192</v>
      </c>
      <c r="I2537" s="1">
        <v>426</v>
      </c>
      <c r="J2537" t="str">
        <f t="shared" si="39"/>
        <v>http://www.badatelna.eu/reprodukce/?fondId=1073&amp;zaznamId=1108959&amp;reproId=3780172</v>
      </c>
      <c r="K2537">
        <f>IF(LEN(TRIM(E2537))=0,"",VLOOKUP(E2537,Sheet2!$B$1:$E$19,2,FALSE))</f>
        <v>1073</v>
      </c>
      <c r="L2537">
        <f>IF(LEN(TRIM(E2537))=0,"",VLOOKUP(E2537,Sheet2!$B$1:$E$19,3,FALSE))</f>
        <v>1108959</v>
      </c>
      <c r="M2537">
        <f>IF(LEN(TRIM(E2537))=0,"",VLOOKUP(E2537,Sheet2!$B$1:$E$19,4,FALSE))+(F2537-1)</f>
        <v>3780172</v>
      </c>
    </row>
    <row r="2538" spans="1:13" s="1" customFormat="1" ht="15" customHeight="1" x14ac:dyDescent="0.25">
      <c r="A2538" s="28" t="s">
        <v>130</v>
      </c>
      <c r="B2538" s="28" t="s">
        <v>49</v>
      </c>
      <c r="C2538" s="6" t="s">
        <v>2191</v>
      </c>
      <c r="D2538" s="1" t="s">
        <v>454</v>
      </c>
      <c r="E2538" s="1">
        <v>2173</v>
      </c>
      <c r="F2538" s="28">
        <v>209</v>
      </c>
      <c r="G2538" s="9" t="s">
        <v>2758</v>
      </c>
      <c r="H2538" s="1" t="s">
        <v>3073</v>
      </c>
      <c r="I2538" s="1" t="s">
        <v>3073</v>
      </c>
      <c r="J2538" t="str">
        <f t="shared" si="39"/>
        <v>http://www.badatelna.eu/reprodukce/?fondId=1073&amp;zaznamId=1108959&amp;reproId=3780202</v>
      </c>
      <c r="K2538">
        <f>IF(LEN(TRIM(E2538))=0,"",VLOOKUP(E2538,Sheet2!$B$1:$E$19,2,FALSE))</f>
        <v>1073</v>
      </c>
      <c r="L2538">
        <f>IF(LEN(TRIM(E2538))=0,"",VLOOKUP(E2538,Sheet2!$B$1:$E$19,3,FALSE))</f>
        <v>1108959</v>
      </c>
      <c r="M2538">
        <f>IF(LEN(TRIM(E2538))=0,"",VLOOKUP(E2538,Sheet2!$B$1:$E$19,4,FALSE))+(F2538-1)</f>
        <v>3780202</v>
      </c>
    </row>
    <row r="2539" spans="1:13" s="1" customFormat="1" ht="15" customHeight="1" x14ac:dyDescent="0.25">
      <c r="A2539" s="29" t="s">
        <v>130</v>
      </c>
      <c r="B2539" s="28" t="s">
        <v>263</v>
      </c>
      <c r="C2539" s="1">
        <v>1853</v>
      </c>
      <c r="D2539" s="1" t="s">
        <v>2919</v>
      </c>
      <c r="E2539" s="1">
        <v>998</v>
      </c>
      <c r="F2539" s="28">
        <v>38</v>
      </c>
      <c r="G2539" s="1">
        <v>36</v>
      </c>
      <c r="H2539" s="1">
        <v>78</v>
      </c>
      <c r="I2539" s="1">
        <v>76</v>
      </c>
      <c r="J2539" t="str">
        <f t="shared" si="39"/>
        <v>http://www.badatelna.eu/reprodukce/?fondId=241&amp;zaznamId=1133738&amp;reproId=3885684</v>
      </c>
      <c r="K2539">
        <f>IF(LEN(TRIM(E2539))=0,"",VLOOKUP(E2539,Sheet2!$B$1:$E$19,2,FALSE))</f>
        <v>241</v>
      </c>
      <c r="L2539">
        <f>IF(LEN(TRIM(E2539))=0,"",VLOOKUP(E2539,Sheet2!$B$1:$E$19,3,FALSE))</f>
        <v>1133738</v>
      </c>
      <c r="M2539">
        <f>IF(LEN(TRIM(E2539))=0,"",VLOOKUP(E2539,Sheet2!$B$1:$E$19,4,FALSE))+(F2539-1)</f>
        <v>3885684</v>
      </c>
    </row>
    <row r="2540" spans="1:13" s="1" customFormat="1" ht="15" customHeight="1" x14ac:dyDescent="0.25">
      <c r="A2540" s="28" t="s">
        <v>130</v>
      </c>
      <c r="B2540" s="28" t="s">
        <v>360</v>
      </c>
      <c r="C2540" s="6" t="s">
        <v>2075</v>
      </c>
      <c r="D2540" s="1" t="s">
        <v>454</v>
      </c>
      <c r="E2540" s="1">
        <v>2173</v>
      </c>
      <c r="F2540" s="37">
        <v>183</v>
      </c>
      <c r="G2540" s="9">
        <v>12</v>
      </c>
      <c r="H2540" s="1">
        <v>192</v>
      </c>
      <c r="I2540" s="1">
        <v>426</v>
      </c>
      <c r="J2540" t="str">
        <f t="shared" si="39"/>
        <v>http://www.badatelna.eu/reprodukce/?fondId=1073&amp;zaznamId=1108959&amp;reproId=3780176</v>
      </c>
      <c r="K2540">
        <f>IF(LEN(TRIM(E2540))=0,"",VLOOKUP(E2540,Sheet2!$B$1:$E$19,2,FALSE))</f>
        <v>1073</v>
      </c>
      <c r="L2540">
        <f>IF(LEN(TRIM(E2540))=0,"",VLOOKUP(E2540,Sheet2!$B$1:$E$19,3,FALSE))</f>
        <v>1108959</v>
      </c>
      <c r="M2540">
        <f>IF(LEN(TRIM(E2540))=0,"",VLOOKUP(E2540,Sheet2!$B$1:$E$19,4,FALSE))+(F2540-1)</f>
        <v>3780176</v>
      </c>
    </row>
    <row r="2541" spans="1:13" s="1" customFormat="1" ht="15" customHeight="1" x14ac:dyDescent="0.25">
      <c r="A2541" s="28" t="s">
        <v>130</v>
      </c>
      <c r="B2541" s="28" t="s">
        <v>54</v>
      </c>
      <c r="C2541" s="1">
        <v>1864</v>
      </c>
      <c r="D2541" s="1" t="s">
        <v>2919</v>
      </c>
      <c r="E2541" s="1">
        <v>999</v>
      </c>
      <c r="F2541" s="28">
        <v>87</v>
      </c>
      <c r="G2541" s="1">
        <v>8</v>
      </c>
      <c r="H2541" s="1">
        <v>108</v>
      </c>
      <c r="I2541" s="1">
        <v>168</v>
      </c>
      <c r="J2541" t="str">
        <f t="shared" si="39"/>
        <v>http://www.badatelna.eu/reprodukce/?fondId=241&amp;zaznamId=1133739&amp;reproId=3885816</v>
      </c>
      <c r="K2541">
        <f>IF(LEN(TRIM(E2541))=0,"",VLOOKUP(E2541,Sheet2!$B$1:$E$19,2,FALSE))</f>
        <v>241</v>
      </c>
      <c r="L2541">
        <f>IF(LEN(TRIM(E2541))=0,"",VLOOKUP(E2541,Sheet2!$B$1:$E$19,3,FALSE))</f>
        <v>1133739</v>
      </c>
      <c r="M2541">
        <f>IF(LEN(TRIM(E2541))=0,"",VLOOKUP(E2541,Sheet2!$B$1:$E$19,4,FALSE))+(F2541-1)</f>
        <v>3885816</v>
      </c>
    </row>
    <row r="2542" spans="1:13" s="1" customFormat="1" ht="15" customHeight="1" x14ac:dyDescent="0.25">
      <c r="A2542" s="27" t="s">
        <v>130</v>
      </c>
      <c r="B2542" s="27" t="s">
        <v>54</v>
      </c>
      <c r="C2542" s="5" t="s">
        <v>1394</v>
      </c>
      <c r="D2542" s="3" t="s">
        <v>454</v>
      </c>
      <c r="E2542" s="3">
        <v>2170</v>
      </c>
      <c r="F2542" s="28">
        <v>13</v>
      </c>
      <c r="G2542" s="10">
        <v>9</v>
      </c>
      <c r="H2542" s="3">
        <v>70</v>
      </c>
      <c r="I2542" s="3">
        <v>66</v>
      </c>
      <c r="J2542" t="str">
        <f t="shared" si="39"/>
        <v>http://www.badatelna.eu/reprodukce/?fondId=1073&amp;zaznamId=1108956&amp;reproId=3779605</v>
      </c>
      <c r="K2542">
        <f>IF(LEN(TRIM(E2542))=0,"",VLOOKUP(E2542,Sheet2!$B$1:$E$19,2,FALSE))</f>
        <v>1073</v>
      </c>
      <c r="L2542">
        <f>IF(LEN(TRIM(E2542))=0,"",VLOOKUP(E2542,Sheet2!$B$1:$E$19,3,FALSE))</f>
        <v>1108956</v>
      </c>
      <c r="M2542">
        <f>IF(LEN(TRIM(E2542))=0,"",VLOOKUP(E2542,Sheet2!$B$1:$E$19,4,FALSE))+(F2542-1)</f>
        <v>3779605</v>
      </c>
    </row>
    <row r="2543" spans="1:13" s="1" customFormat="1" ht="15" customHeight="1" x14ac:dyDescent="0.25">
      <c r="A2543" s="27" t="s">
        <v>629</v>
      </c>
      <c r="B2543" s="27" t="s">
        <v>477</v>
      </c>
      <c r="C2543" s="5" t="s">
        <v>1433</v>
      </c>
      <c r="D2543" s="3" t="s">
        <v>454</v>
      </c>
      <c r="E2543" s="3">
        <v>2170</v>
      </c>
      <c r="F2543" s="28">
        <v>50</v>
      </c>
      <c r="G2543" s="10">
        <v>46</v>
      </c>
      <c r="H2543" s="3">
        <v>71</v>
      </c>
      <c r="I2543" s="3">
        <v>67</v>
      </c>
      <c r="J2543" t="str">
        <f t="shared" si="39"/>
        <v>http://www.badatelna.eu/reprodukce/?fondId=1073&amp;zaznamId=1108956&amp;reproId=3779642</v>
      </c>
      <c r="K2543">
        <f>IF(LEN(TRIM(E2543))=0,"",VLOOKUP(E2543,Sheet2!$B$1:$E$19,2,FALSE))</f>
        <v>1073</v>
      </c>
      <c r="L2543">
        <f>IF(LEN(TRIM(E2543))=0,"",VLOOKUP(E2543,Sheet2!$B$1:$E$19,3,FALSE))</f>
        <v>1108956</v>
      </c>
      <c r="M2543">
        <f>IF(LEN(TRIM(E2543))=0,"",VLOOKUP(E2543,Sheet2!$B$1:$E$19,4,FALSE))+(F2543-1)</f>
        <v>3779642</v>
      </c>
    </row>
    <row r="2544" spans="1:13" s="1" customFormat="1" ht="15" customHeight="1" x14ac:dyDescent="0.25">
      <c r="A2544" s="28" t="s">
        <v>680</v>
      </c>
      <c r="B2544" s="28" t="s">
        <v>306</v>
      </c>
      <c r="C2544" s="15">
        <v>14226</v>
      </c>
      <c r="D2544" s="1" t="s">
        <v>454</v>
      </c>
      <c r="E2544" s="1">
        <v>2172</v>
      </c>
      <c r="F2544" s="28">
        <v>241</v>
      </c>
      <c r="G2544" s="9">
        <v>220</v>
      </c>
      <c r="H2544" s="1" t="s">
        <v>3073</v>
      </c>
      <c r="I2544" s="1" t="s">
        <v>3073</v>
      </c>
      <c r="J2544" t="str">
        <f t="shared" si="39"/>
        <v>http://www.badatelna.eu/reprodukce/?fondId=1073&amp;zaznamId=1108958&amp;reproId=3779982</v>
      </c>
      <c r="K2544">
        <f>IF(LEN(TRIM(E2544))=0,"",VLOOKUP(E2544,Sheet2!$B$1:$E$19,2,FALSE))</f>
        <v>1073</v>
      </c>
      <c r="L2544">
        <f>IF(LEN(TRIM(E2544))=0,"",VLOOKUP(E2544,Sheet2!$B$1:$E$19,3,FALSE))</f>
        <v>1108958</v>
      </c>
      <c r="M2544">
        <f>IF(LEN(TRIM(E2544))=0,"",VLOOKUP(E2544,Sheet2!$B$1:$E$19,4,FALSE))+(F2544-1)</f>
        <v>3779982</v>
      </c>
    </row>
    <row r="2545" spans="1:13" s="1" customFormat="1" ht="15" customHeight="1" x14ac:dyDescent="0.25">
      <c r="A2545" s="28" t="s">
        <v>681</v>
      </c>
      <c r="B2545" s="28" t="s">
        <v>314</v>
      </c>
      <c r="C2545" s="6" t="s">
        <v>1750</v>
      </c>
      <c r="D2545" s="1" t="s">
        <v>454</v>
      </c>
      <c r="E2545" s="1">
        <v>2172</v>
      </c>
      <c r="F2545" s="28">
        <v>130</v>
      </c>
      <c r="G2545" s="9">
        <v>129</v>
      </c>
      <c r="H2545" s="1">
        <v>133</v>
      </c>
      <c r="I2545" s="1">
        <v>132</v>
      </c>
      <c r="J2545" t="str">
        <f t="shared" si="39"/>
        <v>http://www.badatelna.eu/reprodukce/?fondId=1073&amp;zaznamId=1108958&amp;reproId=3779871</v>
      </c>
      <c r="K2545">
        <f>IF(LEN(TRIM(E2545))=0,"",VLOOKUP(E2545,Sheet2!$B$1:$E$19,2,FALSE))</f>
        <v>1073</v>
      </c>
      <c r="L2545">
        <f>IF(LEN(TRIM(E2545))=0,"",VLOOKUP(E2545,Sheet2!$B$1:$E$19,3,FALSE))</f>
        <v>1108958</v>
      </c>
      <c r="M2545">
        <f>IF(LEN(TRIM(E2545))=0,"",VLOOKUP(E2545,Sheet2!$B$1:$E$19,4,FALSE))+(F2545-1)</f>
        <v>3779871</v>
      </c>
    </row>
    <row r="2546" spans="1:13" s="1" customFormat="1" ht="15" customHeight="1" x14ac:dyDescent="0.25">
      <c r="A2546" s="28" t="s">
        <v>3086</v>
      </c>
      <c r="B2546" s="28" t="s">
        <v>551</v>
      </c>
      <c r="C2546" s="15" t="s">
        <v>3089</v>
      </c>
      <c r="D2546" s="1" t="s">
        <v>454</v>
      </c>
      <c r="E2546" s="1">
        <v>2172</v>
      </c>
      <c r="F2546" s="28">
        <v>168</v>
      </c>
      <c r="G2546" s="9" t="s">
        <v>3087</v>
      </c>
      <c r="H2546" s="1" t="s">
        <v>3073</v>
      </c>
      <c r="I2546" s="1" t="s">
        <v>3073</v>
      </c>
      <c r="J2546" t="str">
        <f t="shared" si="39"/>
        <v>http://www.badatelna.eu/reprodukce/?fondId=1073&amp;zaznamId=1108958&amp;reproId=3779909</v>
      </c>
      <c r="K2546">
        <f>IF(LEN(TRIM(E2546))=0,"",VLOOKUP(E2546,Sheet2!$B$1:$E$19,2,FALSE))</f>
        <v>1073</v>
      </c>
      <c r="L2546">
        <f>IF(LEN(TRIM(E2546))=0,"",VLOOKUP(E2546,Sheet2!$B$1:$E$19,3,FALSE))</f>
        <v>1108958</v>
      </c>
      <c r="M2546">
        <f>IF(LEN(TRIM(E2546))=0,"",VLOOKUP(E2546,Sheet2!$B$1:$E$19,4,FALSE))+(F2546-1)</f>
        <v>3779909</v>
      </c>
    </row>
    <row r="2547" spans="1:13" s="1" customFormat="1" ht="15" customHeight="1" x14ac:dyDescent="0.25">
      <c r="A2547" s="28" t="s">
        <v>682</v>
      </c>
      <c r="B2547" s="28" t="s">
        <v>683</v>
      </c>
      <c r="C2547" s="15">
        <v>6189</v>
      </c>
      <c r="D2547" s="1" t="s">
        <v>454</v>
      </c>
      <c r="E2547" s="1">
        <v>2172</v>
      </c>
      <c r="F2547" s="28">
        <v>189</v>
      </c>
      <c r="G2547" s="9">
        <v>179</v>
      </c>
      <c r="H2547" s="1" t="s">
        <v>3073</v>
      </c>
      <c r="I2547" s="1" t="s">
        <v>3073</v>
      </c>
      <c r="J2547" t="str">
        <f t="shared" si="39"/>
        <v>http://www.badatelna.eu/reprodukce/?fondId=1073&amp;zaznamId=1108958&amp;reproId=3779930</v>
      </c>
      <c r="K2547">
        <f>IF(LEN(TRIM(E2547))=0,"",VLOOKUP(E2547,Sheet2!$B$1:$E$19,2,FALSE))</f>
        <v>1073</v>
      </c>
      <c r="L2547">
        <f>IF(LEN(TRIM(E2547))=0,"",VLOOKUP(E2547,Sheet2!$B$1:$E$19,3,FALSE))</f>
        <v>1108958</v>
      </c>
      <c r="M2547">
        <f>IF(LEN(TRIM(E2547))=0,"",VLOOKUP(E2547,Sheet2!$B$1:$E$19,4,FALSE))+(F2547-1)</f>
        <v>3779930</v>
      </c>
    </row>
    <row r="2548" spans="1:13" s="1" customFormat="1" ht="15" customHeight="1" x14ac:dyDescent="0.25">
      <c r="A2548" s="28" t="s">
        <v>358</v>
      </c>
      <c r="B2548" s="28" t="s">
        <v>3005</v>
      </c>
      <c r="C2548" s="1">
        <v>1848</v>
      </c>
      <c r="D2548" s="1" t="s">
        <v>2919</v>
      </c>
      <c r="E2548" s="1">
        <v>998</v>
      </c>
      <c r="F2548" s="28">
        <v>10</v>
      </c>
      <c r="G2548" s="1">
        <v>8</v>
      </c>
      <c r="H2548" s="1">
        <v>78</v>
      </c>
      <c r="I2548" s="1">
        <v>76</v>
      </c>
      <c r="J2548" t="str">
        <f t="shared" si="39"/>
        <v>http://www.badatelna.eu/reprodukce/?fondId=241&amp;zaznamId=1133738&amp;reproId=3885656</v>
      </c>
      <c r="K2548">
        <f>IF(LEN(TRIM(E2548))=0,"",VLOOKUP(E2548,Sheet2!$B$1:$E$19,2,FALSE))</f>
        <v>241</v>
      </c>
      <c r="L2548">
        <f>IF(LEN(TRIM(E2548))=0,"",VLOOKUP(E2548,Sheet2!$B$1:$E$19,3,FALSE))</f>
        <v>1133738</v>
      </c>
      <c r="M2548">
        <f>IF(LEN(TRIM(E2548))=0,"",VLOOKUP(E2548,Sheet2!$B$1:$E$19,4,FALSE))+(F2548-1)</f>
        <v>3885656</v>
      </c>
    </row>
    <row r="2549" spans="1:13" s="1" customFormat="1" ht="15" customHeight="1" x14ac:dyDescent="0.25">
      <c r="A2549" s="28" t="s">
        <v>358</v>
      </c>
      <c r="B2549" s="28" t="s">
        <v>29</v>
      </c>
      <c r="C2549" s="6" t="s">
        <v>1558</v>
      </c>
      <c r="D2549" s="1" t="s">
        <v>454</v>
      </c>
      <c r="E2549" s="1">
        <v>2172</v>
      </c>
      <c r="F2549" s="28">
        <v>18</v>
      </c>
      <c r="G2549" s="9">
        <v>17</v>
      </c>
      <c r="H2549" s="1" t="s">
        <v>3073</v>
      </c>
      <c r="I2549" s="1" t="s">
        <v>3073</v>
      </c>
      <c r="J2549" t="str">
        <f t="shared" si="39"/>
        <v>http://www.badatelna.eu/reprodukce/?fondId=1073&amp;zaznamId=1108958&amp;reproId=3779759</v>
      </c>
      <c r="K2549">
        <f>IF(LEN(TRIM(E2549))=0,"",VLOOKUP(E2549,Sheet2!$B$1:$E$19,2,FALSE))</f>
        <v>1073</v>
      </c>
      <c r="L2549">
        <f>IF(LEN(TRIM(E2549))=0,"",VLOOKUP(E2549,Sheet2!$B$1:$E$19,3,FALSE))</f>
        <v>1108958</v>
      </c>
      <c r="M2549">
        <f>IF(LEN(TRIM(E2549))=0,"",VLOOKUP(E2549,Sheet2!$B$1:$E$19,4,FALSE))+(F2549-1)</f>
        <v>3779759</v>
      </c>
    </row>
    <row r="2550" spans="1:13" s="1" customFormat="1" ht="15" customHeight="1" x14ac:dyDescent="0.25">
      <c r="A2550" s="28" t="s">
        <v>358</v>
      </c>
      <c r="B2550" s="28" t="s">
        <v>472</v>
      </c>
      <c r="C2550" s="1">
        <v>1849</v>
      </c>
      <c r="D2550" s="1" t="s">
        <v>2919</v>
      </c>
      <c r="E2550" s="1">
        <v>998</v>
      </c>
      <c r="F2550" s="28">
        <v>19</v>
      </c>
      <c r="G2550" s="1">
        <v>17</v>
      </c>
      <c r="H2550" s="1">
        <v>78</v>
      </c>
      <c r="I2550" s="1">
        <v>76</v>
      </c>
      <c r="J2550" t="str">
        <f t="shared" si="39"/>
        <v>http://www.badatelna.eu/reprodukce/?fondId=241&amp;zaznamId=1133738&amp;reproId=3885665</v>
      </c>
      <c r="K2550">
        <f>IF(LEN(TRIM(E2550))=0,"",VLOOKUP(E2550,Sheet2!$B$1:$E$19,2,FALSE))</f>
        <v>241</v>
      </c>
      <c r="L2550">
        <f>IF(LEN(TRIM(E2550))=0,"",VLOOKUP(E2550,Sheet2!$B$1:$E$19,3,FALSE))</f>
        <v>1133738</v>
      </c>
      <c r="M2550">
        <f>IF(LEN(TRIM(E2550))=0,"",VLOOKUP(E2550,Sheet2!$B$1:$E$19,4,FALSE))+(F2550-1)</f>
        <v>3885665</v>
      </c>
    </row>
    <row r="2551" spans="1:13" s="1" customFormat="1" ht="15" customHeight="1" x14ac:dyDescent="0.25">
      <c r="A2551" s="28" t="s">
        <v>358</v>
      </c>
      <c r="B2551" s="28" t="s">
        <v>970</v>
      </c>
      <c r="C2551" s="1">
        <v>1848</v>
      </c>
      <c r="D2551" s="1" t="s">
        <v>2919</v>
      </c>
      <c r="E2551" s="1">
        <v>998</v>
      </c>
      <c r="F2551" s="28">
        <v>17</v>
      </c>
      <c r="G2551" s="1">
        <v>15</v>
      </c>
      <c r="H2551" s="1">
        <v>78</v>
      </c>
      <c r="I2551" s="1">
        <v>76</v>
      </c>
      <c r="J2551" t="str">
        <f t="shared" si="39"/>
        <v>http://www.badatelna.eu/reprodukce/?fondId=241&amp;zaznamId=1133738&amp;reproId=3885663</v>
      </c>
      <c r="K2551">
        <f>IF(LEN(TRIM(E2551))=0,"",VLOOKUP(E2551,Sheet2!$B$1:$E$19,2,FALSE))</f>
        <v>241</v>
      </c>
      <c r="L2551">
        <f>IF(LEN(TRIM(E2551))=0,"",VLOOKUP(E2551,Sheet2!$B$1:$E$19,3,FALSE))</f>
        <v>1133738</v>
      </c>
      <c r="M2551">
        <f>IF(LEN(TRIM(E2551))=0,"",VLOOKUP(E2551,Sheet2!$B$1:$E$19,4,FALSE))+(F2551-1)</f>
        <v>3885663</v>
      </c>
    </row>
    <row r="2552" spans="1:13" s="1" customFormat="1" ht="15" customHeight="1" x14ac:dyDescent="0.25">
      <c r="A2552" s="29" t="s">
        <v>358</v>
      </c>
      <c r="B2552" s="28" t="s">
        <v>25</v>
      </c>
      <c r="C2552" s="6" t="s">
        <v>2442</v>
      </c>
      <c r="D2552" s="1" t="s">
        <v>454</v>
      </c>
      <c r="E2552" s="1">
        <v>2173</v>
      </c>
      <c r="F2552" s="28">
        <v>204</v>
      </c>
      <c r="G2552" s="1">
        <v>17</v>
      </c>
      <c r="H2552" s="1" t="s">
        <v>3073</v>
      </c>
      <c r="I2552" s="1" t="s">
        <v>3073</v>
      </c>
      <c r="J2552" t="str">
        <f t="shared" si="39"/>
        <v>http://www.badatelna.eu/reprodukce/?fondId=1073&amp;zaznamId=1108959&amp;reproId=3780197</v>
      </c>
      <c r="K2552">
        <f>IF(LEN(TRIM(E2552))=0,"",VLOOKUP(E2552,Sheet2!$B$1:$E$19,2,FALSE))</f>
        <v>1073</v>
      </c>
      <c r="L2552">
        <f>IF(LEN(TRIM(E2552))=0,"",VLOOKUP(E2552,Sheet2!$B$1:$E$19,3,FALSE))</f>
        <v>1108959</v>
      </c>
      <c r="M2552">
        <f>IF(LEN(TRIM(E2552))=0,"",VLOOKUP(E2552,Sheet2!$B$1:$E$19,4,FALSE))+(F2552-1)</f>
        <v>3780197</v>
      </c>
    </row>
    <row r="2553" spans="1:13" s="1" customFormat="1" ht="15" customHeight="1" x14ac:dyDescent="0.25">
      <c r="A2553" s="28" t="s">
        <v>358</v>
      </c>
      <c r="B2553" s="28" t="s">
        <v>359</v>
      </c>
      <c r="C2553" s="6" t="s">
        <v>2192</v>
      </c>
      <c r="D2553" s="1" t="s">
        <v>454</v>
      </c>
      <c r="E2553" s="1">
        <v>2173</v>
      </c>
      <c r="F2553" s="28">
        <v>182</v>
      </c>
      <c r="G2553" s="9">
        <v>10</v>
      </c>
      <c r="H2553" s="1">
        <v>192</v>
      </c>
      <c r="I2553" s="1">
        <v>426</v>
      </c>
      <c r="J2553" t="str">
        <f t="shared" si="39"/>
        <v>http://www.badatelna.eu/reprodukce/?fondId=1073&amp;zaznamId=1108959&amp;reproId=3780175</v>
      </c>
      <c r="K2553">
        <f>IF(LEN(TRIM(E2553))=0,"",VLOOKUP(E2553,Sheet2!$B$1:$E$19,2,FALSE))</f>
        <v>1073</v>
      </c>
      <c r="L2553">
        <f>IF(LEN(TRIM(E2553))=0,"",VLOOKUP(E2553,Sheet2!$B$1:$E$19,3,FALSE))</f>
        <v>1108959</v>
      </c>
      <c r="M2553">
        <f>IF(LEN(TRIM(E2553))=0,"",VLOOKUP(E2553,Sheet2!$B$1:$E$19,4,FALSE))+(F2553-1)</f>
        <v>3780175</v>
      </c>
    </row>
    <row r="2554" spans="1:13" s="1" customFormat="1" ht="15" customHeight="1" x14ac:dyDescent="0.25">
      <c r="A2554" s="28" t="s">
        <v>358</v>
      </c>
      <c r="B2554" s="28" t="s">
        <v>511</v>
      </c>
      <c r="C2554" s="15">
        <v>1590</v>
      </c>
      <c r="D2554" s="1" t="s">
        <v>454</v>
      </c>
      <c r="E2554" s="1">
        <v>2172</v>
      </c>
      <c r="F2554" s="28">
        <v>159</v>
      </c>
      <c r="G2554" s="9">
        <v>153</v>
      </c>
      <c r="H2554" s="1">
        <v>161</v>
      </c>
      <c r="I2554" s="1">
        <v>155</v>
      </c>
      <c r="J2554" t="str">
        <f t="shared" si="39"/>
        <v>http://www.badatelna.eu/reprodukce/?fondId=1073&amp;zaznamId=1108958&amp;reproId=3779900</v>
      </c>
      <c r="K2554">
        <f>IF(LEN(TRIM(E2554))=0,"",VLOOKUP(E2554,Sheet2!$B$1:$E$19,2,FALSE))</f>
        <v>1073</v>
      </c>
      <c r="L2554">
        <f>IF(LEN(TRIM(E2554))=0,"",VLOOKUP(E2554,Sheet2!$B$1:$E$19,3,FALSE))</f>
        <v>1108958</v>
      </c>
      <c r="M2554">
        <f>IF(LEN(TRIM(E2554))=0,"",VLOOKUP(E2554,Sheet2!$B$1:$E$19,4,FALSE))+(F2554-1)</f>
        <v>3779900</v>
      </c>
    </row>
    <row r="2555" spans="1:13" s="1" customFormat="1" ht="15" customHeight="1" x14ac:dyDescent="0.25">
      <c r="A2555" s="28" t="s">
        <v>358</v>
      </c>
      <c r="B2555" s="28" t="s">
        <v>39</v>
      </c>
      <c r="C2555" s="6" t="s">
        <v>2085</v>
      </c>
      <c r="D2555" s="1" t="s">
        <v>454</v>
      </c>
      <c r="E2555" s="1">
        <v>2173</v>
      </c>
      <c r="F2555" s="28">
        <v>209</v>
      </c>
      <c r="G2555" s="9" t="s">
        <v>2758</v>
      </c>
      <c r="H2555" s="1" t="s">
        <v>3073</v>
      </c>
      <c r="I2555" s="1" t="s">
        <v>3073</v>
      </c>
      <c r="J2555" t="str">
        <f t="shared" si="39"/>
        <v>http://www.badatelna.eu/reprodukce/?fondId=1073&amp;zaznamId=1108959&amp;reproId=3780202</v>
      </c>
      <c r="K2555">
        <f>IF(LEN(TRIM(E2555))=0,"",VLOOKUP(E2555,Sheet2!$B$1:$E$19,2,FALSE))</f>
        <v>1073</v>
      </c>
      <c r="L2555">
        <f>IF(LEN(TRIM(E2555))=0,"",VLOOKUP(E2555,Sheet2!$B$1:$E$19,3,FALSE))</f>
        <v>1108959</v>
      </c>
      <c r="M2555">
        <f>IF(LEN(TRIM(E2555))=0,"",VLOOKUP(E2555,Sheet2!$B$1:$E$19,4,FALSE))+(F2555-1)</f>
        <v>3780202</v>
      </c>
    </row>
    <row r="2556" spans="1:13" s="1" customFormat="1" ht="15" customHeight="1" x14ac:dyDescent="0.25">
      <c r="A2556" s="28" t="s">
        <v>358</v>
      </c>
      <c r="B2556" s="28" t="s">
        <v>22</v>
      </c>
      <c r="C2556" s="6" t="s">
        <v>2732</v>
      </c>
      <c r="D2556" s="1" t="s">
        <v>454</v>
      </c>
      <c r="E2556" s="1">
        <v>2173</v>
      </c>
      <c r="F2556" s="28">
        <v>226</v>
      </c>
      <c r="G2556" s="9">
        <v>57</v>
      </c>
      <c r="H2556" s="1" t="s">
        <v>3073</v>
      </c>
      <c r="I2556" s="1" t="s">
        <v>3073</v>
      </c>
      <c r="J2556" t="str">
        <f t="shared" si="39"/>
        <v>http://www.badatelna.eu/reprodukce/?fondId=1073&amp;zaznamId=1108959&amp;reproId=3780219</v>
      </c>
      <c r="K2556">
        <f>IF(LEN(TRIM(E2556))=0,"",VLOOKUP(E2556,Sheet2!$B$1:$E$19,2,FALSE))</f>
        <v>1073</v>
      </c>
      <c r="L2556">
        <f>IF(LEN(TRIM(E2556))=0,"",VLOOKUP(E2556,Sheet2!$B$1:$E$19,3,FALSE))</f>
        <v>1108959</v>
      </c>
      <c r="M2556">
        <f>IF(LEN(TRIM(E2556))=0,"",VLOOKUP(E2556,Sheet2!$B$1:$E$19,4,FALSE))+(F2556-1)</f>
        <v>3780219</v>
      </c>
    </row>
    <row r="2557" spans="1:13" s="1" customFormat="1" ht="15" customHeight="1" x14ac:dyDescent="0.25">
      <c r="A2557" s="27" t="s">
        <v>630</v>
      </c>
      <c r="B2557" s="27" t="s">
        <v>574</v>
      </c>
      <c r="C2557" s="5" t="s">
        <v>1398</v>
      </c>
      <c r="D2557" s="3" t="s">
        <v>454</v>
      </c>
      <c r="E2557" s="3">
        <v>2170</v>
      </c>
      <c r="F2557" s="28">
        <v>14</v>
      </c>
      <c r="G2557" s="10">
        <v>10</v>
      </c>
      <c r="H2557" s="3">
        <v>70</v>
      </c>
      <c r="I2557" s="3">
        <v>66</v>
      </c>
      <c r="J2557" t="str">
        <f t="shared" si="39"/>
        <v>http://www.badatelna.eu/reprodukce/?fondId=1073&amp;zaznamId=1108956&amp;reproId=3779606</v>
      </c>
      <c r="K2557">
        <f>IF(LEN(TRIM(E2557))=0,"",VLOOKUP(E2557,Sheet2!$B$1:$E$19,2,FALSE))</f>
        <v>1073</v>
      </c>
      <c r="L2557">
        <f>IF(LEN(TRIM(E2557))=0,"",VLOOKUP(E2557,Sheet2!$B$1:$E$19,3,FALSE))</f>
        <v>1108956</v>
      </c>
      <c r="M2557">
        <f>IF(LEN(TRIM(E2557))=0,"",VLOOKUP(E2557,Sheet2!$B$1:$E$19,4,FALSE))+(F2557-1)</f>
        <v>3779606</v>
      </c>
    </row>
    <row r="2558" spans="1:13" s="1" customFormat="1" ht="15" customHeight="1" x14ac:dyDescent="0.25">
      <c r="A2558" s="27" t="s">
        <v>630</v>
      </c>
      <c r="B2558" s="27" t="s">
        <v>415</v>
      </c>
      <c r="C2558" s="5" t="s">
        <v>1400</v>
      </c>
      <c r="D2558" s="3" t="s">
        <v>454</v>
      </c>
      <c r="E2558" s="3">
        <v>2170</v>
      </c>
      <c r="F2558" s="28">
        <v>25</v>
      </c>
      <c r="G2558" s="10">
        <v>21</v>
      </c>
      <c r="H2558" s="3">
        <v>70</v>
      </c>
      <c r="I2558" s="3">
        <v>66</v>
      </c>
      <c r="J2558" t="str">
        <f t="shared" si="39"/>
        <v>http://www.badatelna.eu/reprodukce/?fondId=1073&amp;zaznamId=1108956&amp;reproId=3779617</v>
      </c>
      <c r="K2558">
        <f>IF(LEN(TRIM(E2558))=0,"",VLOOKUP(E2558,Sheet2!$B$1:$E$19,2,FALSE))</f>
        <v>1073</v>
      </c>
      <c r="L2558">
        <f>IF(LEN(TRIM(E2558))=0,"",VLOOKUP(E2558,Sheet2!$B$1:$E$19,3,FALSE))</f>
        <v>1108956</v>
      </c>
      <c r="M2558">
        <f>IF(LEN(TRIM(E2558))=0,"",VLOOKUP(E2558,Sheet2!$B$1:$E$19,4,FALSE))+(F2558-1)</f>
        <v>3779617</v>
      </c>
    </row>
    <row r="2559" spans="1:13" s="1" customFormat="1" ht="15" customHeight="1" x14ac:dyDescent="0.25">
      <c r="A2559" s="27" t="s">
        <v>630</v>
      </c>
      <c r="B2559" s="27" t="s">
        <v>581</v>
      </c>
      <c r="C2559" s="5" t="s">
        <v>1399</v>
      </c>
      <c r="D2559" s="3" t="s">
        <v>454</v>
      </c>
      <c r="E2559" s="3">
        <v>2170</v>
      </c>
      <c r="F2559" s="37">
        <v>19</v>
      </c>
      <c r="G2559" s="10">
        <v>15</v>
      </c>
      <c r="H2559" s="3">
        <v>70</v>
      </c>
      <c r="I2559" s="3">
        <v>66</v>
      </c>
      <c r="J2559" t="str">
        <f t="shared" si="39"/>
        <v>http://www.badatelna.eu/reprodukce/?fondId=1073&amp;zaznamId=1108956&amp;reproId=3779611</v>
      </c>
      <c r="K2559">
        <f>IF(LEN(TRIM(E2559))=0,"",VLOOKUP(E2559,Sheet2!$B$1:$E$19,2,FALSE))</f>
        <v>1073</v>
      </c>
      <c r="L2559">
        <f>IF(LEN(TRIM(E2559))=0,"",VLOOKUP(E2559,Sheet2!$B$1:$E$19,3,FALSE))</f>
        <v>1108956</v>
      </c>
      <c r="M2559">
        <f>IF(LEN(TRIM(E2559))=0,"",VLOOKUP(E2559,Sheet2!$B$1:$E$19,4,FALSE))+(F2559-1)</f>
        <v>3779611</v>
      </c>
    </row>
    <row r="2560" spans="1:13" s="1" customFormat="1" ht="15" customHeight="1" x14ac:dyDescent="0.25">
      <c r="A2560" s="27" t="s">
        <v>630</v>
      </c>
      <c r="B2560" s="27" t="s">
        <v>631</v>
      </c>
      <c r="C2560" s="5" t="s">
        <v>1395</v>
      </c>
      <c r="D2560" s="3" t="s">
        <v>454</v>
      </c>
      <c r="E2560" s="3">
        <v>2170</v>
      </c>
      <c r="F2560" s="31">
        <v>18</v>
      </c>
      <c r="G2560" s="10">
        <v>14</v>
      </c>
      <c r="H2560" s="3">
        <v>70</v>
      </c>
      <c r="I2560" s="3">
        <v>66</v>
      </c>
      <c r="J2560" t="str">
        <f t="shared" si="39"/>
        <v>http://www.badatelna.eu/reprodukce/?fondId=1073&amp;zaznamId=1108956&amp;reproId=3779610</v>
      </c>
      <c r="K2560">
        <f>IF(LEN(TRIM(E2560))=0,"",VLOOKUP(E2560,Sheet2!$B$1:$E$19,2,FALSE))</f>
        <v>1073</v>
      </c>
      <c r="L2560">
        <f>IF(LEN(TRIM(E2560))=0,"",VLOOKUP(E2560,Sheet2!$B$1:$E$19,3,FALSE))</f>
        <v>1108956</v>
      </c>
      <c r="M2560">
        <f>IF(LEN(TRIM(E2560))=0,"",VLOOKUP(E2560,Sheet2!$B$1:$E$19,4,FALSE))+(F2560-1)</f>
        <v>3779610</v>
      </c>
    </row>
    <row r="2561" spans="1:13" s="1" customFormat="1" ht="15" customHeight="1" x14ac:dyDescent="0.25">
      <c r="A2561" s="27" t="s">
        <v>630</v>
      </c>
      <c r="B2561" s="27" t="s">
        <v>462</v>
      </c>
      <c r="C2561" s="5" t="s">
        <v>1397</v>
      </c>
      <c r="D2561" s="3" t="s">
        <v>454</v>
      </c>
      <c r="E2561" s="3">
        <v>2170</v>
      </c>
      <c r="F2561" s="31">
        <v>18</v>
      </c>
      <c r="G2561" s="10">
        <v>14</v>
      </c>
      <c r="H2561" s="3">
        <v>70</v>
      </c>
      <c r="I2561" s="3">
        <v>66</v>
      </c>
      <c r="J2561" t="str">
        <f t="shared" si="39"/>
        <v>http://www.badatelna.eu/reprodukce/?fondId=1073&amp;zaznamId=1108956&amp;reproId=3779610</v>
      </c>
      <c r="K2561">
        <f>IF(LEN(TRIM(E2561))=0,"",VLOOKUP(E2561,Sheet2!$B$1:$E$19,2,FALSE))</f>
        <v>1073</v>
      </c>
      <c r="L2561">
        <f>IF(LEN(TRIM(E2561))=0,"",VLOOKUP(E2561,Sheet2!$B$1:$E$19,3,FALSE))</f>
        <v>1108956</v>
      </c>
      <c r="M2561">
        <f>IF(LEN(TRIM(E2561))=0,"",VLOOKUP(E2561,Sheet2!$B$1:$E$19,4,FALSE))+(F2561-1)</f>
        <v>3779610</v>
      </c>
    </row>
    <row r="2562" spans="1:13" s="1" customFormat="1" ht="15" customHeight="1" x14ac:dyDescent="0.25">
      <c r="A2562" s="28" t="s">
        <v>630</v>
      </c>
      <c r="B2562" s="28" t="s">
        <v>28</v>
      </c>
      <c r="C2562" s="1">
        <v>1864</v>
      </c>
      <c r="D2562" s="1" t="s">
        <v>2919</v>
      </c>
      <c r="E2562" s="1">
        <v>999</v>
      </c>
      <c r="F2562" s="28">
        <v>86</v>
      </c>
      <c r="G2562" s="1">
        <v>7</v>
      </c>
      <c r="H2562" s="1">
        <v>108</v>
      </c>
      <c r="I2562" s="1">
        <v>168</v>
      </c>
      <c r="J2562" t="str">
        <f t="shared" si="39"/>
        <v>http://www.badatelna.eu/reprodukce/?fondId=241&amp;zaznamId=1133739&amp;reproId=3885815</v>
      </c>
      <c r="K2562">
        <f>IF(LEN(TRIM(E2562))=0,"",VLOOKUP(E2562,Sheet2!$B$1:$E$19,2,FALSE))</f>
        <v>241</v>
      </c>
      <c r="L2562">
        <f>IF(LEN(TRIM(E2562))=0,"",VLOOKUP(E2562,Sheet2!$B$1:$E$19,3,FALSE))</f>
        <v>1133739</v>
      </c>
      <c r="M2562">
        <f>IF(LEN(TRIM(E2562))=0,"",VLOOKUP(E2562,Sheet2!$B$1:$E$19,4,FALSE))+(F2562-1)</f>
        <v>3885815</v>
      </c>
    </row>
    <row r="2563" spans="1:13" s="1" customFormat="1" ht="15" customHeight="1" x14ac:dyDescent="0.25">
      <c r="A2563" s="27" t="s">
        <v>630</v>
      </c>
      <c r="B2563" s="27" t="s">
        <v>28</v>
      </c>
      <c r="C2563" s="5" t="s">
        <v>1396</v>
      </c>
      <c r="D2563" s="3" t="s">
        <v>454</v>
      </c>
      <c r="E2563" s="3">
        <v>2170</v>
      </c>
      <c r="F2563" s="28">
        <v>12</v>
      </c>
      <c r="G2563" s="10">
        <v>8</v>
      </c>
      <c r="H2563" s="3">
        <v>70</v>
      </c>
      <c r="I2563" s="3">
        <v>66</v>
      </c>
      <c r="J2563" t="str">
        <f t="shared" ref="J2563:J2626" si="40">IF(LEN(TRIM(E2563))=0,"","http://www.badatelna.eu/reprodukce/?fondId="&amp;K2563&amp;"&amp;zaznamId="&amp;L2563&amp;"&amp;reproId="&amp;M2563)</f>
        <v>http://www.badatelna.eu/reprodukce/?fondId=1073&amp;zaznamId=1108956&amp;reproId=3779604</v>
      </c>
      <c r="K2563">
        <f>IF(LEN(TRIM(E2563))=0,"",VLOOKUP(E2563,Sheet2!$B$1:$E$19,2,FALSE))</f>
        <v>1073</v>
      </c>
      <c r="L2563">
        <f>IF(LEN(TRIM(E2563))=0,"",VLOOKUP(E2563,Sheet2!$B$1:$E$19,3,FALSE))</f>
        <v>1108956</v>
      </c>
      <c r="M2563">
        <f>IF(LEN(TRIM(E2563))=0,"",VLOOKUP(E2563,Sheet2!$B$1:$E$19,4,FALSE))+(F2563-1)</f>
        <v>3779604</v>
      </c>
    </row>
    <row r="2564" spans="1:13" s="1" customFormat="1" ht="15" customHeight="1" x14ac:dyDescent="0.25">
      <c r="A2564" s="27" t="s">
        <v>630</v>
      </c>
      <c r="B2564" s="27" t="s">
        <v>632</v>
      </c>
      <c r="C2564" s="5" t="s">
        <v>1434</v>
      </c>
      <c r="D2564" s="3" t="s">
        <v>454</v>
      </c>
      <c r="E2564" s="3">
        <v>2170</v>
      </c>
      <c r="F2564" s="28">
        <v>34</v>
      </c>
      <c r="G2564" s="10">
        <v>30</v>
      </c>
      <c r="H2564" s="3">
        <v>71</v>
      </c>
      <c r="I2564" s="3">
        <v>67</v>
      </c>
      <c r="J2564" t="str">
        <f t="shared" si="40"/>
        <v>http://www.badatelna.eu/reprodukce/?fondId=1073&amp;zaznamId=1108956&amp;reproId=3779626</v>
      </c>
      <c r="K2564">
        <f>IF(LEN(TRIM(E2564))=0,"",VLOOKUP(E2564,Sheet2!$B$1:$E$19,2,FALSE))</f>
        <v>1073</v>
      </c>
      <c r="L2564">
        <f>IF(LEN(TRIM(E2564))=0,"",VLOOKUP(E2564,Sheet2!$B$1:$E$19,3,FALSE))</f>
        <v>1108956</v>
      </c>
      <c r="M2564">
        <f>IF(LEN(TRIM(E2564))=0,"",VLOOKUP(E2564,Sheet2!$B$1:$E$19,4,FALSE))+(F2564-1)</f>
        <v>3779626</v>
      </c>
    </row>
    <row r="2565" spans="1:13" s="1" customFormat="1" ht="15" customHeight="1" x14ac:dyDescent="0.25">
      <c r="A2565" s="28" t="s">
        <v>630</v>
      </c>
      <c r="B2565" s="28" t="s">
        <v>328</v>
      </c>
      <c r="C2565" s="6" t="s">
        <v>1507</v>
      </c>
      <c r="D2565" s="1" t="s">
        <v>454</v>
      </c>
      <c r="E2565" s="1">
        <v>2172</v>
      </c>
      <c r="F2565" s="28">
        <v>7</v>
      </c>
      <c r="G2565" s="9">
        <v>4</v>
      </c>
      <c r="H2565" s="1">
        <v>9</v>
      </c>
      <c r="I2565" s="1">
        <v>2</v>
      </c>
      <c r="J2565" t="str">
        <f t="shared" si="40"/>
        <v>http://www.badatelna.eu/reprodukce/?fondId=1073&amp;zaznamId=1108958&amp;reproId=3779748</v>
      </c>
      <c r="K2565">
        <f>IF(LEN(TRIM(E2565))=0,"",VLOOKUP(E2565,Sheet2!$B$1:$E$19,2,FALSE))</f>
        <v>1073</v>
      </c>
      <c r="L2565">
        <f>IF(LEN(TRIM(E2565))=0,"",VLOOKUP(E2565,Sheet2!$B$1:$E$19,3,FALSE))</f>
        <v>1108958</v>
      </c>
      <c r="M2565">
        <f>IF(LEN(TRIM(E2565))=0,"",VLOOKUP(E2565,Sheet2!$B$1:$E$19,4,FALSE))+(F2565-1)</f>
        <v>3779748</v>
      </c>
    </row>
    <row r="2566" spans="1:13" s="1" customFormat="1" ht="15" customHeight="1" x14ac:dyDescent="0.25">
      <c r="A2566" s="29" t="s">
        <v>630</v>
      </c>
      <c r="B2566" s="29" t="s">
        <v>15</v>
      </c>
      <c r="C2566" s="6" t="s">
        <v>2585</v>
      </c>
      <c r="D2566" s="1" t="s">
        <v>454</v>
      </c>
      <c r="E2566" s="1">
        <v>2173</v>
      </c>
      <c r="F2566" s="28">
        <v>215</v>
      </c>
      <c r="G2566" s="9">
        <v>39</v>
      </c>
      <c r="H2566" s="1" t="s">
        <v>3073</v>
      </c>
      <c r="I2566" s="1" t="s">
        <v>3073</v>
      </c>
      <c r="J2566" t="str">
        <f t="shared" si="40"/>
        <v>http://www.badatelna.eu/reprodukce/?fondId=1073&amp;zaznamId=1108959&amp;reproId=3780208</v>
      </c>
      <c r="K2566">
        <f>IF(LEN(TRIM(E2566))=0,"",VLOOKUP(E2566,Sheet2!$B$1:$E$19,2,FALSE))</f>
        <v>1073</v>
      </c>
      <c r="L2566">
        <f>IF(LEN(TRIM(E2566))=0,"",VLOOKUP(E2566,Sheet2!$B$1:$E$19,3,FALSE))</f>
        <v>1108959</v>
      </c>
      <c r="M2566">
        <f>IF(LEN(TRIM(E2566))=0,"",VLOOKUP(E2566,Sheet2!$B$1:$E$19,4,FALSE))+(F2566-1)</f>
        <v>3780208</v>
      </c>
    </row>
    <row r="2567" spans="1:13" s="1" customFormat="1" ht="15" customHeight="1" x14ac:dyDescent="0.25">
      <c r="A2567" s="27" t="s">
        <v>630</v>
      </c>
      <c r="B2567" s="27" t="s">
        <v>486</v>
      </c>
      <c r="C2567" s="5" t="s">
        <v>1435</v>
      </c>
      <c r="D2567" s="3" t="s">
        <v>454</v>
      </c>
      <c r="E2567" s="3">
        <v>2170</v>
      </c>
      <c r="F2567" s="28">
        <v>34</v>
      </c>
      <c r="G2567" s="10">
        <v>30</v>
      </c>
      <c r="H2567" s="3">
        <v>71</v>
      </c>
      <c r="I2567" s="3">
        <v>67</v>
      </c>
      <c r="J2567" t="str">
        <f t="shared" si="40"/>
        <v>http://www.badatelna.eu/reprodukce/?fondId=1073&amp;zaznamId=1108956&amp;reproId=3779626</v>
      </c>
      <c r="K2567">
        <f>IF(LEN(TRIM(E2567))=0,"",VLOOKUP(E2567,Sheet2!$B$1:$E$19,2,FALSE))</f>
        <v>1073</v>
      </c>
      <c r="L2567">
        <f>IF(LEN(TRIM(E2567))=0,"",VLOOKUP(E2567,Sheet2!$B$1:$E$19,3,FALSE))</f>
        <v>1108956</v>
      </c>
      <c r="M2567">
        <f>IF(LEN(TRIM(E2567))=0,"",VLOOKUP(E2567,Sheet2!$B$1:$E$19,4,FALSE))+(F2567-1)</f>
        <v>3779626</v>
      </c>
    </row>
    <row r="2568" spans="1:13" s="1" customFormat="1" ht="15" customHeight="1" x14ac:dyDescent="0.25">
      <c r="A2568" s="29" t="s">
        <v>3012</v>
      </c>
      <c r="B2568" s="28" t="s">
        <v>574</v>
      </c>
      <c r="C2568" s="1">
        <v>1865</v>
      </c>
      <c r="D2568" s="1" t="s">
        <v>2919</v>
      </c>
      <c r="E2568" s="1">
        <v>999</v>
      </c>
      <c r="F2568" s="28">
        <v>88</v>
      </c>
      <c r="G2568" s="1">
        <v>9</v>
      </c>
      <c r="H2568" s="1">
        <v>108</v>
      </c>
      <c r="I2568" s="1">
        <v>168</v>
      </c>
      <c r="J2568" t="str">
        <f t="shared" si="40"/>
        <v>http://www.badatelna.eu/reprodukce/?fondId=241&amp;zaznamId=1133739&amp;reproId=3885817</v>
      </c>
      <c r="K2568">
        <f>IF(LEN(TRIM(E2568))=0,"",VLOOKUP(E2568,Sheet2!$B$1:$E$19,2,FALSE))</f>
        <v>241</v>
      </c>
      <c r="L2568">
        <f>IF(LEN(TRIM(E2568))=0,"",VLOOKUP(E2568,Sheet2!$B$1:$E$19,3,FALSE))</f>
        <v>1133739</v>
      </c>
      <c r="M2568">
        <f>IF(LEN(TRIM(E2568))=0,"",VLOOKUP(E2568,Sheet2!$B$1:$E$19,4,FALSE))+(F2568-1)</f>
        <v>3885817</v>
      </c>
    </row>
    <row r="2569" spans="1:13" s="1" customFormat="1" ht="15" customHeight="1" x14ac:dyDescent="0.25">
      <c r="A2569" s="28" t="s">
        <v>3012</v>
      </c>
      <c r="B2569" s="29" t="s">
        <v>288</v>
      </c>
      <c r="C2569" s="1">
        <v>1854</v>
      </c>
      <c r="D2569" s="1" t="s">
        <v>2919</v>
      </c>
      <c r="E2569" s="1">
        <v>998</v>
      </c>
      <c r="F2569" s="28">
        <v>42</v>
      </c>
      <c r="G2569" s="1">
        <v>40</v>
      </c>
      <c r="H2569" s="1">
        <v>78</v>
      </c>
      <c r="I2569" s="1">
        <v>76</v>
      </c>
      <c r="J2569" t="str">
        <f t="shared" si="40"/>
        <v>http://www.badatelna.eu/reprodukce/?fondId=241&amp;zaznamId=1133738&amp;reproId=3885688</v>
      </c>
      <c r="K2569">
        <f>IF(LEN(TRIM(E2569))=0,"",VLOOKUP(E2569,Sheet2!$B$1:$E$19,2,FALSE))</f>
        <v>241</v>
      </c>
      <c r="L2569">
        <f>IF(LEN(TRIM(E2569))=0,"",VLOOKUP(E2569,Sheet2!$B$1:$E$19,3,FALSE))</f>
        <v>1133738</v>
      </c>
      <c r="M2569">
        <f>IF(LEN(TRIM(E2569))=0,"",VLOOKUP(E2569,Sheet2!$B$1:$E$19,4,FALSE))+(F2569-1)</f>
        <v>3885688</v>
      </c>
    </row>
    <row r="2570" spans="1:13" s="1" customFormat="1" ht="15" customHeight="1" x14ac:dyDescent="0.25">
      <c r="A2570" s="28" t="s">
        <v>3012</v>
      </c>
      <c r="B2570" s="28" t="s">
        <v>10</v>
      </c>
      <c r="C2570" s="1">
        <v>1866</v>
      </c>
      <c r="D2570" s="1" t="s">
        <v>2919</v>
      </c>
      <c r="E2570" s="1">
        <v>999</v>
      </c>
      <c r="F2570" s="28">
        <v>90</v>
      </c>
      <c r="G2570" s="1">
        <v>11</v>
      </c>
      <c r="H2570" s="1">
        <v>108</v>
      </c>
      <c r="I2570" s="1">
        <v>168</v>
      </c>
      <c r="J2570" t="str">
        <f t="shared" si="40"/>
        <v>http://www.badatelna.eu/reprodukce/?fondId=241&amp;zaznamId=1133739&amp;reproId=3885819</v>
      </c>
      <c r="K2570">
        <f>IF(LEN(TRIM(E2570))=0,"",VLOOKUP(E2570,Sheet2!$B$1:$E$19,2,FALSE))</f>
        <v>241</v>
      </c>
      <c r="L2570">
        <f>IF(LEN(TRIM(E2570))=0,"",VLOOKUP(E2570,Sheet2!$B$1:$E$19,3,FALSE))</f>
        <v>1133739</v>
      </c>
      <c r="M2570">
        <f>IF(LEN(TRIM(E2570))=0,"",VLOOKUP(E2570,Sheet2!$B$1:$E$19,4,FALSE))+(F2570-1)</f>
        <v>3885819</v>
      </c>
    </row>
    <row r="2571" spans="1:13" s="1" customFormat="1" ht="15" customHeight="1" x14ac:dyDescent="0.25">
      <c r="A2571" s="28" t="s">
        <v>3012</v>
      </c>
      <c r="B2571" s="28" t="s">
        <v>22</v>
      </c>
      <c r="C2571" s="1">
        <v>1854</v>
      </c>
      <c r="D2571" s="1" t="s">
        <v>2919</v>
      </c>
      <c r="E2571" s="1">
        <v>998</v>
      </c>
      <c r="F2571" s="28">
        <v>42</v>
      </c>
      <c r="G2571" s="1">
        <v>40</v>
      </c>
      <c r="H2571" s="1">
        <v>78</v>
      </c>
      <c r="I2571" s="1">
        <v>76</v>
      </c>
      <c r="J2571" t="str">
        <f t="shared" si="40"/>
        <v>http://www.badatelna.eu/reprodukce/?fondId=241&amp;zaznamId=1133738&amp;reproId=3885688</v>
      </c>
      <c r="K2571">
        <f>IF(LEN(TRIM(E2571))=0,"",VLOOKUP(E2571,Sheet2!$B$1:$E$19,2,FALSE))</f>
        <v>241</v>
      </c>
      <c r="L2571">
        <f>IF(LEN(TRIM(E2571))=0,"",VLOOKUP(E2571,Sheet2!$B$1:$E$19,3,FALSE))</f>
        <v>1133738</v>
      </c>
      <c r="M2571">
        <f>IF(LEN(TRIM(E2571))=0,"",VLOOKUP(E2571,Sheet2!$B$1:$E$19,4,FALSE))+(F2571-1)</f>
        <v>3885688</v>
      </c>
    </row>
    <row r="2572" spans="1:13" s="1" customFormat="1" ht="15" customHeight="1" x14ac:dyDescent="0.25">
      <c r="A2572" s="28"/>
      <c r="B2572" s="28"/>
      <c r="C2572" s="28" t="s">
        <v>3136</v>
      </c>
      <c r="F2572" s="28"/>
      <c r="J2572" t="str">
        <f t="shared" si="40"/>
        <v/>
      </c>
      <c r="K2572" t="str">
        <f>IF(LEN(TRIM(E2572))=0,"",VLOOKUP(E2572,Sheet2!$B$1:$E$19,2,FALSE))</f>
        <v/>
      </c>
      <c r="L2572" t="str">
        <f>IF(LEN(TRIM(E2572))=0,"",VLOOKUP(E2572,Sheet2!$B$1:$E$19,3,FALSE))</f>
        <v/>
      </c>
      <c r="M2572" t="e">
        <f>IF(LEN(TRIM(E2572))=0,"",VLOOKUP(E2572,Sheet2!$B$1:$E$19,4,FALSE))+(F2572-1)</f>
        <v>#VALUE!</v>
      </c>
    </row>
    <row r="2573" spans="1:13" s="1" customFormat="1" ht="15" customHeight="1" x14ac:dyDescent="0.25">
      <c r="A2573" s="28" t="s">
        <v>684</v>
      </c>
      <c r="B2573" s="28" t="s">
        <v>13</v>
      </c>
      <c r="C2573" s="6" t="s">
        <v>1879</v>
      </c>
      <c r="D2573" s="1" t="s">
        <v>454</v>
      </c>
      <c r="E2573" s="1">
        <v>2172</v>
      </c>
      <c r="F2573" s="28">
        <v>191</v>
      </c>
      <c r="G2573" s="9">
        <v>181</v>
      </c>
      <c r="H2573" s="1" t="s">
        <v>3073</v>
      </c>
      <c r="I2573" s="1" t="s">
        <v>3073</v>
      </c>
      <c r="J2573" t="str">
        <f t="shared" si="40"/>
        <v>http://www.badatelna.eu/reprodukce/?fondId=1073&amp;zaznamId=1108958&amp;reproId=3779932</v>
      </c>
      <c r="K2573">
        <f>IF(LEN(TRIM(E2573))=0,"",VLOOKUP(E2573,Sheet2!$B$1:$E$19,2,FALSE))</f>
        <v>1073</v>
      </c>
      <c r="L2573">
        <f>IF(LEN(TRIM(E2573))=0,"",VLOOKUP(E2573,Sheet2!$B$1:$E$19,3,FALSE))</f>
        <v>1108958</v>
      </c>
      <c r="M2573">
        <f>IF(LEN(TRIM(E2573))=0,"",VLOOKUP(E2573,Sheet2!$B$1:$E$19,4,FALSE))+(F2573-1)</f>
        <v>3779932</v>
      </c>
    </row>
    <row r="2574" spans="1:13" s="1" customFormat="1" ht="15" customHeight="1" x14ac:dyDescent="0.25">
      <c r="A2574" s="28" t="s">
        <v>355</v>
      </c>
      <c r="B2574" s="28" t="s">
        <v>465</v>
      </c>
      <c r="C2574" s="15">
        <v>5970</v>
      </c>
      <c r="D2574" s="1" t="s">
        <v>454</v>
      </c>
      <c r="E2574" s="1">
        <v>2172</v>
      </c>
      <c r="F2574" s="28">
        <v>188</v>
      </c>
      <c r="G2574" s="9">
        <v>178</v>
      </c>
      <c r="H2574" s="1" t="s">
        <v>3073</v>
      </c>
      <c r="I2574" s="1" t="s">
        <v>3073</v>
      </c>
      <c r="J2574" t="str">
        <f t="shared" si="40"/>
        <v>http://www.badatelna.eu/reprodukce/?fondId=1073&amp;zaznamId=1108958&amp;reproId=3779929</v>
      </c>
      <c r="K2574">
        <f>IF(LEN(TRIM(E2574))=0,"",VLOOKUP(E2574,Sheet2!$B$1:$E$19,2,FALSE))</f>
        <v>1073</v>
      </c>
      <c r="L2574">
        <f>IF(LEN(TRIM(E2574))=0,"",VLOOKUP(E2574,Sheet2!$B$1:$E$19,3,FALSE))</f>
        <v>1108958</v>
      </c>
      <c r="M2574">
        <f>IF(LEN(TRIM(E2574))=0,"",VLOOKUP(E2574,Sheet2!$B$1:$E$19,4,FALSE))+(F2574-1)</f>
        <v>3779929</v>
      </c>
    </row>
    <row r="2575" spans="1:13" s="1" customFormat="1" ht="15" customHeight="1" x14ac:dyDescent="0.25">
      <c r="A2575" s="28" t="s">
        <v>355</v>
      </c>
      <c r="B2575" s="28" t="s">
        <v>357</v>
      </c>
      <c r="C2575" s="1">
        <v>1882</v>
      </c>
      <c r="D2575" s="1" t="s">
        <v>454</v>
      </c>
      <c r="E2575" s="1">
        <v>2172</v>
      </c>
      <c r="F2575" s="29">
        <v>28</v>
      </c>
      <c r="G2575" s="20" t="s">
        <v>2757</v>
      </c>
      <c r="H2575" s="1">
        <v>31</v>
      </c>
      <c r="I2575" s="1">
        <v>30</v>
      </c>
      <c r="J2575" t="str">
        <f t="shared" si="40"/>
        <v>http://www.badatelna.eu/reprodukce/?fondId=1073&amp;zaznamId=1108958&amp;reproId=3779769</v>
      </c>
      <c r="K2575">
        <f>IF(LEN(TRIM(E2575))=0,"",VLOOKUP(E2575,Sheet2!$B$1:$E$19,2,FALSE))</f>
        <v>1073</v>
      </c>
      <c r="L2575">
        <f>IF(LEN(TRIM(E2575))=0,"",VLOOKUP(E2575,Sheet2!$B$1:$E$19,3,FALSE))</f>
        <v>1108958</v>
      </c>
      <c r="M2575">
        <f>IF(LEN(TRIM(E2575))=0,"",VLOOKUP(E2575,Sheet2!$B$1:$E$19,4,FALSE))+(F2575-1)</f>
        <v>3779769</v>
      </c>
    </row>
    <row r="2576" spans="1:13" s="1" customFormat="1" ht="15" customHeight="1" x14ac:dyDescent="0.25">
      <c r="A2576" s="28" t="s">
        <v>355</v>
      </c>
      <c r="B2576" s="28" t="s">
        <v>685</v>
      </c>
      <c r="C2576" s="6" t="s">
        <v>1827</v>
      </c>
      <c r="D2576" s="1" t="s">
        <v>454</v>
      </c>
      <c r="E2576" s="1">
        <v>2172</v>
      </c>
      <c r="F2576" s="28">
        <v>170</v>
      </c>
      <c r="G2576" s="9">
        <v>163</v>
      </c>
      <c r="H2576" s="1" t="s">
        <v>3073</v>
      </c>
      <c r="I2576" s="1" t="s">
        <v>3073</v>
      </c>
      <c r="J2576" t="str">
        <f t="shared" si="40"/>
        <v>http://www.badatelna.eu/reprodukce/?fondId=1073&amp;zaznamId=1108958&amp;reproId=3779911</v>
      </c>
      <c r="K2576">
        <f>IF(LEN(TRIM(E2576))=0,"",VLOOKUP(E2576,Sheet2!$B$1:$E$19,2,FALSE))</f>
        <v>1073</v>
      </c>
      <c r="L2576">
        <f>IF(LEN(TRIM(E2576))=0,"",VLOOKUP(E2576,Sheet2!$B$1:$E$19,3,FALSE))</f>
        <v>1108958</v>
      </c>
      <c r="M2576">
        <f>IF(LEN(TRIM(E2576))=0,"",VLOOKUP(E2576,Sheet2!$B$1:$E$19,4,FALSE))+(F2576-1)</f>
        <v>3779911</v>
      </c>
    </row>
    <row r="2577" spans="1:13" s="1" customFormat="1" ht="15" customHeight="1" x14ac:dyDescent="0.25">
      <c r="A2577" s="28" t="s">
        <v>355</v>
      </c>
      <c r="B2577" s="29" t="s">
        <v>288</v>
      </c>
      <c r="C2577" s="1">
        <v>1855</v>
      </c>
      <c r="D2577" s="1" t="s">
        <v>2919</v>
      </c>
      <c r="E2577" s="1">
        <v>998</v>
      </c>
      <c r="F2577" s="28">
        <v>46</v>
      </c>
      <c r="G2577" s="1">
        <v>44</v>
      </c>
      <c r="H2577" s="1">
        <v>79</v>
      </c>
      <c r="I2577" s="1">
        <v>77</v>
      </c>
      <c r="J2577" t="str">
        <f t="shared" si="40"/>
        <v>http://www.badatelna.eu/reprodukce/?fondId=241&amp;zaznamId=1133738&amp;reproId=3885692</v>
      </c>
      <c r="K2577">
        <f>IF(LEN(TRIM(E2577))=0,"",VLOOKUP(E2577,Sheet2!$B$1:$E$19,2,FALSE))</f>
        <v>241</v>
      </c>
      <c r="L2577">
        <f>IF(LEN(TRIM(E2577))=0,"",VLOOKUP(E2577,Sheet2!$B$1:$E$19,3,FALSE))</f>
        <v>1133738</v>
      </c>
      <c r="M2577">
        <f>IF(LEN(TRIM(E2577))=0,"",VLOOKUP(E2577,Sheet2!$B$1:$E$19,4,FALSE))+(F2577-1)</f>
        <v>3885692</v>
      </c>
    </row>
    <row r="2578" spans="1:13" s="1" customFormat="1" ht="15" customHeight="1" x14ac:dyDescent="0.25">
      <c r="A2578" s="28" t="s">
        <v>355</v>
      </c>
      <c r="B2578" s="28" t="s">
        <v>686</v>
      </c>
      <c r="C2578" s="1">
        <v>1883</v>
      </c>
      <c r="D2578" s="1" t="s">
        <v>454</v>
      </c>
      <c r="E2578" s="1">
        <v>2172</v>
      </c>
      <c r="F2578" s="28">
        <v>35</v>
      </c>
      <c r="G2578" s="9">
        <v>34</v>
      </c>
      <c r="H2578" s="1">
        <v>37</v>
      </c>
      <c r="I2578" s="1">
        <v>36</v>
      </c>
      <c r="J2578" t="str">
        <f t="shared" si="40"/>
        <v>http://www.badatelna.eu/reprodukce/?fondId=1073&amp;zaznamId=1108958&amp;reproId=3779776</v>
      </c>
      <c r="K2578">
        <f>IF(LEN(TRIM(E2578))=0,"",VLOOKUP(E2578,Sheet2!$B$1:$E$19,2,FALSE))</f>
        <v>1073</v>
      </c>
      <c r="L2578">
        <f>IF(LEN(TRIM(E2578))=0,"",VLOOKUP(E2578,Sheet2!$B$1:$E$19,3,FALSE))</f>
        <v>1108958</v>
      </c>
      <c r="M2578">
        <f>IF(LEN(TRIM(E2578))=0,"",VLOOKUP(E2578,Sheet2!$B$1:$E$19,4,FALSE))+(F2578-1)</f>
        <v>3779776</v>
      </c>
    </row>
    <row r="2579" spans="1:13" s="1" customFormat="1" ht="15" customHeight="1" x14ac:dyDescent="0.25">
      <c r="A2579" s="27" t="s">
        <v>355</v>
      </c>
      <c r="B2579" s="27" t="s">
        <v>472</v>
      </c>
      <c r="C2579" s="5" t="s">
        <v>1404</v>
      </c>
      <c r="D2579" s="3" t="s">
        <v>454</v>
      </c>
      <c r="E2579" s="3">
        <v>2170</v>
      </c>
      <c r="F2579" s="31">
        <v>26</v>
      </c>
      <c r="G2579" s="10">
        <v>22</v>
      </c>
      <c r="H2579" s="3">
        <v>70</v>
      </c>
      <c r="I2579" s="3">
        <v>66</v>
      </c>
      <c r="J2579" t="str">
        <f t="shared" si="40"/>
        <v>http://www.badatelna.eu/reprodukce/?fondId=1073&amp;zaznamId=1108956&amp;reproId=3779618</v>
      </c>
      <c r="K2579">
        <f>IF(LEN(TRIM(E2579))=0,"",VLOOKUP(E2579,Sheet2!$B$1:$E$19,2,FALSE))</f>
        <v>1073</v>
      </c>
      <c r="L2579">
        <f>IF(LEN(TRIM(E2579))=0,"",VLOOKUP(E2579,Sheet2!$B$1:$E$19,3,FALSE))</f>
        <v>1108956</v>
      </c>
      <c r="M2579">
        <f>IF(LEN(TRIM(E2579))=0,"",VLOOKUP(E2579,Sheet2!$B$1:$E$19,4,FALSE))+(F2579-1)</f>
        <v>3779618</v>
      </c>
    </row>
    <row r="2580" spans="1:13" s="1" customFormat="1" ht="15" customHeight="1" x14ac:dyDescent="0.25">
      <c r="A2580" s="28" t="s">
        <v>355</v>
      </c>
      <c r="B2580" s="28" t="s">
        <v>493</v>
      </c>
      <c r="C2580" s="1">
        <v>1891</v>
      </c>
      <c r="D2580" s="1" t="s">
        <v>454</v>
      </c>
      <c r="E2580" s="1">
        <v>2172</v>
      </c>
      <c r="F2580" s="28">
        <v>81</v>
      </c>
      <c r="G2580" s="9">
        <v>80</v>
      </c>
      <c r="H2580" s="1">
        <v>83</v>
      </c>
      <c r="I2580" s="1">
        <v>82</v>
      </c>
      <c r="J2580" t="str">
        <f t="shared" si="40"/>
        <v>http://www.badatelna.eu/reprodukce/?fondId=1073&amp;zaznamId=1108958&amp;reproId=3779822</v>
      </c>
      <c r="K2580">
        <f>IF(LEN(TRIM(E2580))=0,"",VLOOKUP(E2580,Sheet2!$B$1:$E$19,2,FALSE))</f>
        <v>1073</v>
      </c>
      <c r="L2580">
        <f>IF(LEN(TRIM(E2580))=0,"",VLOOKUP(E2580,Sheet2!$B$1:$E$19,3,FALSE))</f>
        <v>1108958</v>
      </c>
      <c r="M2580">
        <f>IF(LEN(TRIM(E2580))=0,"",VLOOKUP(E2580,Sheet2!$B$1:$E$19,4,FALSE))+(F2580-1)</f>
        <v>3779822</v>
      </c>
    </row>
    <row r="2581" spans="1:13" s="1" customFormat="1" ht="15" customHeight="1" x14ac:dyDescent="0.25">
      <c r="A2581" s="28" t="s">
        <v>355</v>
      </c>
      <c r="B2581" s="28" t="s">
        <v>687</v>
      </c>
      <c r="C2581" s="1">
        <v>1884</v>
      </c>
      <c r="D2581" s="1" t="s">
        <v>454</v>
      </c>
      <c r="E2581" s="1">
        <v>2172</v>
      </c>
      <c r="F2581" s="28">
        <v>41</v>
      </c>
      <c r="G2581" s="9" t="s">
        <v>2763</v>
      </c>
      <c r="H2581" s="1">
        <v>43</v>
      </c>
      <c r="I2581" s="1">
        <v>42</v>
      </c>
      <c r="J2581" t="str">
        <f t="shared" si="40"/>
        <v>http://www.badatelna.eu/reprodukce/?fondId=1073&amp;zaznamId=1108958&amp;reproId=3779782</v>
      </c>
      <c r="K2581">
        <f>IF(LEN(TRIM(E2581))=0,"",VLOOKUP(E2581,Sheet2!$B$1:$E$19,2,FALSE))</f>
        <v>1073</v>
      </c>
      <c r="L2581">
        <f>IF(LEN(TRIM(E2581))=0,"",VLOOKUP(E2581,Sheet2!$B$1:$E$19,3,FALSE))</f>
        <v>1108958</v>
      </c>
      <c r="M2581">
        <f>IF(LEN(TRIM(E2581))=0,"",VLOOKUP(E2581,Sheet2!$B$1:$E$19,4,FALSE))+(F2581-1)</f>
        <v>3779782</v>
      </c>
    </row>
    <row r="2582" spans="1:13" s="1" customFormat="1" ht="15" customHeight="1" x14ac:dyDescent="0.25">
      <c r="A2582" s="27" t="s">
        <v>355</v>
      </c>
      <c r="B2582" s="27" t="s">
        <v>633</v>
      </c>
      <c r="C2582" s="5" t="s">
        <v>1439</v>
      </c>
      <c r="D2582" s="3" t="s">
        <v>454</v>
      </c>
      <c r="E2582" s="3">
        <v>2170</v>
      </c>
      <c r="F2582" s="28">
        <v>50</v>
      </c>
      <c r="G2582" s="10">
        <v>46</v>
      </c>
      <c r="H2582" s="3">
        <v>71</v>
      </c>
      <c r="I2582" s="3">
        <v>67</v>
      </c>
      <c r="J2582" t="str">
        <f t="shared" si="40"/>
        <v>http://www.badatelna.eu/reprodukce/?fondId=1073&amp;zaznamId=1108956&amp;reproId=3779642</v>
      </c>
      <c r="K2582">
        <f>IF(LEN(TRIM(E2582))=0,"",VLOOKUP(E2582,Sheet2!$B$1:$E$19,2,FALSE))</f>
        <v>1073</v>
      </c>
      <c r="L2582">
        <f>IF(LEN(TRIM(E2582))=0,"",VLOOKUP(E2582,Sheet2!$B$1:$E$19,3,FALSE))</f>
        <v>1108956</v>
      </c>
      <c r="M2582">
        <f>IF(LEN(TRIM(E2582))=0,"",VLOOKUP(E2582,Sheet2!$B$1:$E$19,4,FALSE))+(F2582-1)</f>
        <v>3779642</v>
      </c>
    </row>
    <row r="2583" spans="1:13" s="1" customFormat="1" ht="15" customHeight="1" x14ac:dyDescent="0.25">
      <c r="A2583" s="28" t="s">
        <v>355</v>
      </c>
      <c r="B2583" s="28" t="s">
        <v>3007</v>
      </c>
      <c r="C2583" s="1">
        <v>1849</v>
      </c>
      <c r="D2583" s="1" t="s">
        <v>2919</v>
      </c>
      <c r="E2583" s="1">
        <v>998</v>
      </c>
      <c r="F2583" s="28">
        <v>27</v>
      </c>
      <c r="G2583" s="1">
        <v>25</v>
      </c>
      <c r="H2583" s="1">
        <v>78</v>
      </c>
      <c r="I2583" s="1">
        <v>76</v>
      </c>
      <c r="J2583" t="str">
        <f t="shared" si="40"/>
        <v>http://www.badatelna.eu/reprodukce/?fondId=241&amp;zaznamId=1133738&amp;reproId=3885673</v>
      </c>
      <c r="K2583">
        <f>IF(LEN(TRIM(E2583))=0,"",VLOOKUP(E2583,Sheet2!$B$1:$E$19,2,FALSE))</f>
        <v>241</v>
      </c>
      <c r="L2583">
        <f>IF(LEN(TRIM(E2583))=0,"",VLOOKUP(E2583,Sheet2!$B$1:$E$19,3,FALSE))</f>
        <v>1133738</v>
      </c>
      <c r="M2583">
        <f>IF(LEN(TRIM(E2583))=0,"",VLOOKUP(E2583,Sheet2!$B$1:$E$19,4,FALSE))+(F2583-1)</f>
        <v>3885673</v>
      </c>
    </row>
    <row r="2584" spans="1:13" s="1" customFormat="1" ht="15" customHeight="1" x14ac:dyDescent="0.25">
      <c r="A2584" s="28" t="s">
        <v>355</v>
      </c>
      <c r="B2584" s="28" t="s">
        <v>521</v>
      </c>
      <c r="C2584" s="6" t="s">
        <v>1589</v>
      </c>
      <c r="D2584" s="1" t="s">
        <v>454</v>
      </c>
      <c r="E2584" s="1">
        <v>2172</v>
      </c>
      <c r="F2584" s="28">
        <v>64</v>
      </c>
      <c r="G2584" s="9">
        <v>63</v>
      </c>
      <c r="H2584" s="1" t="s">
        <v>3073</v>
      </c>
      <c r="I2584" s="1" t="s">
        <v>3073</v>
      </c>
      <c r="J2584" t="str">
        <f t="shared" si="40"/>
        <v>http://www.badatelna.eu/reprodukce/?fondId=1073&amp;zaznamId=1108958&amp;reproId=3779805</v>
      </c>
      <c r="K2584">
        <f>IF(LEN(TRIM(E2584))=0,"",VLOOKUP(E2584,Sheet2!$B$1:$E$19,2,FALSE))</f>
        <v>1073</v>
      </c>
      <c r="L2584">
        <f>IF(LEN(TRIM(E2584))=0,"",VLOOKUP(E2584,Sheet2!$B$1:$E$19,3,FALSE))</f>
        <v>1108958</v>
      </c>
      <c r="M2584">
        <f>IF(LEN(TRIM(E2584))=0,"",VLOOKUP(E2584,Sheet2!$B$1:$E$19,4,FALSE))+(F2584-1)</f>
        <v>3779805</v>
      </c>
    </row>
    <row r="2585" spans="1:13" s="1" customFormat="1" ht="15" customHeight="1" x14ac:dyDescent="0.25">
      <c r="A2585" s="27" t="s">
        <v>355</v>
      </c>
      <c r="B2585" s="27" t="s">
        <v>274</v>
      </c>
      <c r="C2585" s="5" t="s">
        <v>1437</v>
      </c>
      <c r="D2585" s="3" t="s">
        <v>454</v>
      </c>
      <c r="E2585" s="3">
        <v>2170</v>
      </c>
      <c r="F2585" s="31">
        <v>37</v>
      </c>
      <c r="G2585" s="10">
        <v>33</v>
      </c>
      <c r="H2585" s="3">
        <v>71</v>
      </c>
      <c r="I2585" s="3">
        <v>67</v>
      </c>
      <c r="J2585" t="str">
        <f t="shared" si="40"/>
        <v>http://www.badatelna.eu/reprodukce/?fondId=1073&amp;zaznamId=1108956&amp;reproId=3779629</v>
      </c>
      <c r="K2585">
        <f>IF(LEN(TRIM(E2585))=0,"",VLOOKUP(E2585,Sheet2!$B$1:$E$19,2,FALSE))</f>
        <v>1073</v>
      </c>
      <c r="L2585">
        <f>IF(LEN(TRIM(E2585))=0,"",VLOOKUP(E2585,Sheet2!$B$1:$E$19,3,FALSE))</f>
        <v>1108956</v>
      </c>
      <c r="M2585">
        <f>IF(LEN(TRIM(E2585))=0,"",VLOOKUP(E2585,Sheet2!$B$1:$E$19,4,FALSE))+(F2585-1)</f>
        <v>3779629</v>
      </c>
    </row>
    <row r="2586" spans="1:13" s="1" customFormat="1" ht="15" customHeight="1" x14ac:dyDescent="0.25">
      <c r="A2586" s="28" t="s">
        <v>355</v>
      </c>
      <c r="B2586" s="28" t="s">
        <v>688</v>
      </c>
      <c r="C2586" s="6" t="s">
        <v>1790</v>
      </c>
      <c r="D2586" s="1" t="s">
        <v>454</v>
      </c>
      <c r="E2586" s="1">
        <v>2172</v>
      </c>
      <c r="F2586" s="28">
        <v>153</v>
      </c>
      <c r="G2586" s="9">
        <v>148</v>
      </c>
      <c r="H2586" s="1">
        <v>154</v>
      </c>
      <c r="I2586" s="1">
        <v>149</v>
      </c>
      <c r="J2586" t="str">
        <f t="shared" si="40"/>
        <v>http://www.badatelna.eu/reprodukce/?fondId=1073&amp;zaznamId=1108958&amp;reproId=3779894</v>
      </c>
      <c r="K2586">
        <f>IF(LEN(TRIM(E2586))=0,"",VLOOKUP(E2586,Sheet2!$B$1:$E$19,2,FALSE))</f>
        <v>1073</v>
      </c>
      <c r="L2586">
        <f>IF(LEN(TRIM(E2586))=0,"",VLOOKUP(E2586,Sheet2!$B$1:$E$19,3,FALSE))</f>
        <v>1108958</v>
      </c>
      <c r="M2586">
        <f>IF(LEN(TRIM(E2586))=0,"",VLOOKUP(E2586,Sheet2!$B$1:$E$19,4,FALSE))+(F2586-1)</f>
        <v>3779894</v>
      </c>
    </row>
    <row r="2587" spans="1:13" s="1" customFormat="1" ht="15" customHeight="1" x14ac:dyDescent="0.25">
      <c r="A2587" s="28" t="s">
        <v>355</v>
      </c>
      <c r="B2587" s="28" t="s">
        <v>19</v>
      </c>
      <c r="C2587" s="1">
        <v>1861</v>
      </c>
      <c r="D2587" s="1" t="s">
        <v>2919</v>
      </c>
      <c r="E2587" s="1">
        <v>998</v>
      </c>
      <c r="F2587" s="28">
        <v>60</v>
      </c>
      <c r="G2587" s="1">
        <v>57</v>
      </c>
      <c r="H2587" s="1">
        <v>79</v>
      </c>
      <c r="I2587" s="1">
        <v>77</v>
      </c>
      <c r="J2587" t="str">
        <f t="shared" si="40"/>
        <v>http://www.badatelna.eu/reprodukce/?fondId=241&amp;zaznamId=1133738&amp;reproId=3885706</v>
      </c>
      <c r="K2587">
        <f>IF(LEN(TRIM(E2587))=0,"",VLOOKUP(E2587,Sheet2!$B$1:$E$19,2,FALSE))</f>
        <v>241</v>
      </c>
      <c r="L2587">
        <f>IF(LEN(TRIM(E2587))=0,"",VLOOKUP(E2587,Sheet2!$B$1:$E$19,3,FALSE))</f>
        <v>1133738</v>
      </c>
      <c r="M2587">
        <f>IF(LEN(TRIM(E2587))=0,"",VLOOKUP(E2587,Sheet2!$B$1:$E$19,4,FALSE))+(F2587-1)</f>
        <v>3885706</v>
      </c>
    </row>
    <row r="2588" spans="1:13" s="1" customFormat="1" ht="15" customHeight="1" x14ac:dyDescent="0.25">
      <c r="A2588" s="28" t="s">
        <v>355</v>
      </c>
      <c r="B2588" s="28" t="s">
        <v>19</v>
      </c>
      <c r="C2588" s="6" t="s">
        <v>1666</v>
      </c>
      <c r="D2588" s="1" t="s">
        <v>454</v>
      </c>
      <c r="E2588" s="1">
        <v>2172</v>
      </c>
      <c r="F2588" s="28">
        <v>100</v>
      </c>
      <c r="G2588" s="9">
        <v>99</v>
      </c>
      <c r="H2588" s="1">
        <v>104</v>
      </c>
      <c r="I2588" s="1">
        <v>103</v>
      </c>
      <c r="J2588" t="str">
        <f t="shared" si="40"/>
        <v>http://www.badatelna.eu/reprodukce/?fondId=1073&amp;zaznamId=1108958&amp;reproId=3779841</v>
      </c>
      <c r="K2588">
        <f>IF(LEN(TRIM(E2588))=0,"",VLOOKUP(E2588,Sheet2!$B$1:$E$19,2,FALSE))</f>
        <v>1073</v>
      </c>
      <c r="L2588">
        <f>IF(LEN(TRIM(E2588))=0,"",VLOOKUP(E2588,Sheet2!$B$1:$E$19,3,FALSE))</f>
        <v>1108958</v>
      </c>
      <c r="M2588">
        <f>IF(LEN(TRIM(E2588))=0,"",VLOOKUP(E2588,Sheet2!$B$1:$E$19,4,FALSE))+(F2588-1)</f>
        <v>3779841</v>
      </c>
    </row>
    <row r="2589" spans="1:13" s="1" customFormat="1" ht="15" customHeight="1" x14ac:dyDescent="0.25">
      <c r="A2589" s="28" t="s">
        <v>355</v>
      </c>
      <c r="B2589" s="28" t="s">
        <v>689</v>
      </c>
      <c r="C2589" s="6" t="s">
        <v>1629</v>
      </c>
      <c r="D2589" s="1" t="s">
        <v>454</v>
      </c>
      <c r="E2589" s="1">
        <v>2172</v>
      </c>
      <c r="F2589" s="28">
        <v>86</v>
      </c>
      <c r="G2589" s="9">
        <v>85</v>
      </c>
      <c r="H2589" s="1">
        <v>90</v>
      </c>
      <c r="I2589" s="1">
        <v>89</v>
      </c>
      <c r="J2589" t="str">
        <f t="shared" si="40"/>
        <v>http://www.badatelna.eu/reprodukce/?fondId=1073&amp;zaznamId=1108958&amp;reproId=3779827</v>
      </c>
      <c r="K2589">
        <f>IF(LEN(TRIM(E2589))=0,"",VLOOKUP(E2589,Sheet2!$B$1:$E$19,2,FALSE))</f>
        <v>1073</v>
      </c>
      <c r="L2589">
        <f>IF(LEN(TRIM(E2589))=0,"",VLOOKUP(E2589,Sheet2!$B$1:$E$19,3,FALSE))</f>
        <v>1108958</v>
      </c>
      <c r="M2589">
        <f>IF(LEN(TRIM(E2589))=0,"",VLOOKUP(E2589,Sheet2!$B$1:$E$19,4,FALSE))+(F2589-1)</f>
        <v>3779827</v>
      </c>
    </row>
    <row r="2590" spans="1:13" s="1" customFormat="1" ht="15" customHeight="1" x14ac:dyDescent="0.25">
      <c r="A2590" s="28" t="s">
        <v>355</v>
      </c>
      <c r="B2590" s="28" t="s">
        <v>529</v>
      </c>
      <c r="C2590" s="6" t="s">
        <v>1912</v>
      </c>
      <c r="D2590" s="1" t="s">
        <v>454</v>
      </c>
      <c r="E2590" s="1">
        <v>2172</v>
      </c>
      <c r="F2590" s="28">
        <v>209</v>
      </c>
      <c r="G2590" s="9">
        <v>193</v>
      </c>
      <c r="H2590" s="1" t="s">
        <v>3073</v>
      </c>
      <c r="I2590" s="1" t="s">
        <v>3073</v>
      </c>
      <c r="J2590" t="str">
        <f t="shared" si="40"/>
        <v>http://www.badatelna.eu/reprodukce/?fondId=1073&amp;zaznamId=1108958&amp;reproId=3779950</v>
      </c>
      <c r="K2590">
        <f>IF(LEN(TRIM(E2590))=0,"",VLOOKUP(E2590,Sheet2!$B$1:$E$19,2,FALSE))</f>
        <v>1073</v>
      </c>
      <c r="L2590">
        <f>IF(LEN(TRIM(E2590))=0,"",VLOOKUP(E2590,Sheet2!$B$1:$E$19,3,FALSE))</f>
        <v>1108958</v>
      </c>
      <c r="M2590">
        <f>IF(LEN(TRIM(E2590))=0,"",VLOOKUP(E2590,Sheet2!$B$1:$E$19,4,FALSE))+(F2590-1)</f>
        <v>3779950</v>
      </c>
    </row>
    <row r="2591" spans="1:13" s="1" customFormat="1" ht="15" customHeight="1" x14ac:dyDescent="0.25">
      <c r="A2591" s="28" t="s">
        <v>355</v>
      </c>
      <c r="B2591" s="28" t="s">
        <v>690</v>
      </c>
      <c r="C2591" s="6" t="s">
        <v>1968</v>
      </c>
      <c r="D2591" s="1" t="s">
        <v>454</v>
      </c>
      <c r="E2591" s="1">
        <v>2172</v>
      </c>
      <c r="F2591" s="28">
        <v>237</v>
      </c>
      <c r="G2591" s="9">
        <v>217</v>
      </c>
      <c r="H2591" s="1" t="s">
        <v>3073</v>
      </c>
      <c r="I2591" s="1" t="s">
        <v>3073</v>
      </c>
      <c r="J2591" t="str">
        <f t="shared" si="40"/>
        <v>http://www.badatelna.eu/reprodukce/?fondId=1073&amp;zaznamId=1108958&amp;reproId=3779978</v>
      </c>
      <c r="K2591">
        <f>IF(LEN(TRIM(E2591))=0,"",VLOOKUP(E2591,Sheet2!$B$1:$E$19,2,FALSE))</f>
        <v>1073</v>
      </c>
      <c r="L2591">
        <f>IF(LEN(TRIM(E2591))=0,"",VLOOKUP(E2591,Sheet2!$B$1:$E$19,3,FALSE))</f>
        <v>1108958</v>
      </c>
      <c r="M2591">
        <f>IF(LEN(TRIM(E2591))=0,"",VLOOKUP(E2591,Sheet2!$B$1:$E$19,4,FALSE))+(F2591-1)</f>
        <v>3779978</v>
      </c>
    </row>
    <row r="2592" spans="1:13" s="1" customFormat="1" ht="15" customHeight="1" x14ac:dyDescent="0.25">
      <c r="A2592" s="28" t="s">
        <v>355</v>
      </c>
      <c r="B2592" s="28" t="s">
        <v>691</v>
      </c>
      <c r="C2592" s="1">
        <v>1852</v>
      </c>
      <c r="D2592" s="1" t="s">
        <v>2919</v>
      </c>
      <c r="E2592" s="1">
        <v>998</v>
      </c>
      <c r="F2592" s="28">
        <v>35</v>
      </c>
      <c r="G2592" s="1">
        <v>33</v>
      </c>
      <c r="H2592" s="1">
        <v>78</v>
      </c>
      <c r="I2592" s="1">
        <v>76</v>
      </c>
      <c r="J2592" t="str">
        <f t="shared" si="40"/>
        <v>http://www.badatelna.eu/reprodukce/?fondId=241&amp;zaznamId=1133738&amp;reproId=3885681</v>
      </c>
      <c r="K2592">
        <f>IF(LEN(TRIM(E2592))=0,"",VLOOKUP(E2592,Sheet2!$B$1:$E$19,2,FALSE))</f>
        <v>241</v>
      </c>
      <c r="L2592">
        <f>IF(LEN(TRIM(E2592))=0,"",VLOOKUP(E2592,Sheet2!$B$1:$E$19,3,FALSE))</f>
        <v>1133738</v>
      </c>
      <c r="M2592">
        <f>IF(LEN(TRIM(E2592))=0,"",VLOOKUP(E2592,Sheet2!$B$1:$E$19,4,FALSE))+(F2592-1)</f>
        <v>3885681</v>
      </c>
    </row>
    <row r="2593" spans="1:13" s="1" customFormat="1" ht="15" customHeight="1" x14ac:dyDescent="0.25">
      <c r="A2593" s="28" t="s">
        <v>355</v>
      </c>
      <c r="B2593" s="28" t="s">
        <v>691</v>
      </c>
      <c r="C2593" s="6" t="s">
        <v>1704</v>
      </c>
      <c r="D2593" s="1" t="s">
        <v>454</v>
      </c>
      <c r="E2593" s="1">
        <v>2172</v>
      </c>
      <c r="F2593" s="28">
        <v>114</v>
      </c>
      <c r="G2593" s="9" t="s">
        <v>2770</v>
      </c>
      <c r="H2593" s="1">
        <v>117</v>
      </c>
      <c r="I2593" s="1">
        <v>116</v>
      </c>
      <c r="J2593" t="str">
        <f t="shared" si="40"/>
        <v>http://www.badatelna.eu/reprodukce/?fondId=1073&amp;zaznamId=1108958&amp;reproId=3779855</v>
      </c>
      <c r="K2593">
        <f>IF(LEN(TRIM(E2593))=0,"",VLOOKUP(E2593,Sheet2!$B$1:$E$19,2,FALSE))</f>
        <v>1073</v>
      </c>
      <c r="L2593">
        <f>IF(LEN(TRIM(E2593))=0,"",VLOOKUP(E2593,Sheet2!$B$1:$E$19,3,FALSE))</f>
        <v>1108958</v>
      </c>
      <c r="M2593">
        <f>IF(LEN(TRIM(E2593))=0,"",VLOOKUP(E2593,Sheet2!$B$1:$E$19,4,FALSE))+(F2593-1)</f>
        <v>3779855</v>
      </c>
    </row>
    <row r="2594" spans="1:13" s="1" customFormat="1" ht="15" customHeight="1" x14ac:dyDescent="0.25">
      <c r="A2594" s="28" t="s">
        <v>355</v>
      </c>
      <c r="B2594" s="28" t="s">
        <v>16</v>
      </c>
      <c r="C2594" s="1">
        <v>1848</v>
      </c>
      <c r="D2594" s="1" t="s">
        <v>2919</v>
      </c>
      <c r="E2594" s="1">
        <v>998</v>
      </c>
      <c r="F2594" s="28">
        <v>10</v>
      </c>
      <c r="G2594" s="1">
        <v>8</v>
      </c>
      <c r="H2594" s="1">
        <v>78</v>
      </c>
      <c r="I2594" s="1">
        <v>76</v>
      </c>
      <c r="J2594" t="str">
        <f t="shared" si="40"/>
        <v>http://www.badatelna.eu/reprodukce/?fondId=241&amp;zaznamId=1133738&amp;reproId=3885656</v>
      </c>
      <c r="K2594">
        <f>IF(LEN(TRIM(E2594))=0,"",VLOOKUP(E2594,Sheet2!$B$1:$E$19,2,FALSE))</f>
        <v>241</v>
      </c>
      <c r="L2594">
        <f>IF(LEN(TRIM(E2594))=0,"",VLOOKUP(E2594,Sheet2!$B$1:$E$19,3,FALSE))</f>
        <v>1133738</v>
      </c>
      <c r="M2594">
        <f>IF(LEN(TRIM(E2594))=0,"",VLOOKUP(E2594,Sheet2!$B$1:$E$19,4,FALSE))+(F2594-1)</f>
        <v>3885656</v>
      </c>
    </row>
    <row r="2595" spans="1:13" s="1" customFormat="1" ht="15" customHeight="1" x14ac:dyDescent="0.25">
      <c r="A2595" s="27" t="s">
        <v>355</v>
      </c>
      <c r="B2595" s="27" t="s">
        <v>16</v>
      </c>
      <c r="C2595" s="5" t="s">
        <v>1403</v>
      </c>
      <c r="D2595" s="3" t="s">
        <v>454</v>
      </c>
      <c r="E2595" s="3">
        <v>2170</v>
      </c>
      <c r="F2595" s="28">
        <v>24</v>
      </c>
      <c r="G2595" s="10">
        <v>20</v>
      </c>
      <c r="H2595" s="3">
        <v>70</v>
      </c>
      <c r="I2595" s="3">
        <v>66</v>
      </c>
      <c r="J2595" t="str">
        <f t="shared" si="40"/>
        <v>http://www.badatelna.eu/reprodukce/?fondId=1073&amp;zaznamId=1108956&amp;reproId=3779616</v>
      </c>
      <c r="K2595">
        <f>IF(LEN(TRIM(E2595))=0,"",VLOOKUP(E2595,Sheet2!$B$1:$E$19,2,FALSE))</f>
        <v>1073</v>
      </c>
      <c r="L2595">
        <f>IF(LEN(TRIM(E2595))=0,"",VLOOKUP(E2595,Sheet2!$B$1:$E$19,3,FALSE))</f>
        <v>1108956</v>
      </c>
      <c r="M2595">
        <f>IF(LEN(TRIM(E2595))=0,"",VLOOKUP(E2595,Sheet2!$B$1:$E$19,4,FALSE))+(F2595-1)</f>
        <v>3779616</v>
      </c>
    </row>
    <row r="2596" spans="1:13" s="1" customFormat="1" ht="15" customHeight="1" x14ac:dyDescent="0.25">
      <c r="A2596" s="28" t="s">
        <v>355</v>
      </c>
      <c r="B2596" s="28" t="s">
        <v>16</v>
      </c>
      <c r="C2596" s="6" t="s">
        <v>2700</v>
      </c>
      <c r="D2596" s="1" t="s">
        <v>454</v>
      </c>
      <c r="E2596" s="1">
        <v>2173</v>
      </c>
      <c r="F2596" s="28">
        <v>224</v>
      </c>
      <c r="G2596" s="9">
        <v>53</v>
      </c>
      <c r="H2596" s="1" t="s">
        <v>3073</v>
      </c>
      <c r="I2596" s="1" t="s">
        <v>3073</v>
      </c>
      <c r="J2596" t="str">
        <f t="shared" si="40"/>
        <v>http://www.badatelna.eu/reprodukce/?fondId=1073&amp;zaznamId=1108959&amp;reproId=3780217</v>
      </c>
      <c r="K2596">
        <f>IF(LEN(TRIM(E2596))=0,"",VLOOKUP(E2596,Sheet2!$B$1:$E$19,2,FALSE))</f>
        <v>1073</v>
      </c>
      <c r="L2596">
        <f>IF(LEN(TRIM(E2596))=0,"",VLOOKUP(E2596,Sheet2!$B$1:$E$19,3,FALSE))</f>
        <v>1108959</v>
      </c>
      <c r="M2596">
        <f>IF(LEN(TRIM(E2596))=0,"",VLOOKUP(E2596,Sheet2!$B$1:$E$19,4,FALSE))+(F2596-1)</f>
        <v>3780217</v>
      </c>
    </row>
    <row r="2597" spans="1:13" s="1" customFormat="1" ht="15" customHeight="1" x14ac:dyDescent="0.25">
      <c r="A2597" s="27" t="s">
        <v>355</v>
      </c>
      <c r="B2597" s="27" t="s">
        <v>16</v>
      </c>
      <c r="C2597" s="5" t="s">
        <v>1440</v>
      </c>
      <c r="D2597" s="3" t="s">
        <v>454</v>
      </c>
      <c r="E2597" s="3">
        <v>2170</v>
      </c>
      <c r="F2597" s="28">
        <v>43</v>
      </c>
      <c r="G2597" s="10">
        <v>39</v>
      </c>
      <c r="H2597" s="3">
        <v>71</v>
      </c>
      <c r="I2597" s="3">
        <v>67</v>
      </c>
      <c r="J2597" t="str">
        <f t="shared" si="40"/>
        <v>http://www.badatelna.eu/reprodukce/?fondId=1073&amp;zaznamId=1108956&amp;reproId=3779635</v>
      </c>
      <c r="K2597">
        <f>IF(LEN(TRIM(E2597))=0,"",VLOOKUP(E2597,Sheet2!$B$1:$E$19,2,FALSE))</f>
        <v>1073</v>
      </c>
      <c r="L2597">
        <f>IF(LEN(TRIM(E2597))=0,"",VLOOKUP(E2597,Sheet2!$B$1:$E$19,3,FALSE))</f>
        <v>1108956</v>
      </c>
      <c r="M2597">
        <f>IF(LEN(TRIM(E2597))=0,"",VLOOKUP(E2597,Sheet2!$B$1:$E$19,4,FALSE))+(F2597-1)</f>
        <v>3779635</v>
      </c>
    </row>
    <row r="2598" spans="1:13" s="1" customFormat="1" ht="15" customHeight="1" x14ac:dyDescent="0.25">
      <c r="A2598" s="27" t="s">
        <v>355</v>
      </c>
      <c r="B2598" s="27" t="s">
        <v>263</v>
      </c>
      <c r="C2598" s="5" t="s">
        <v>1436</v>
      </c>
      <c r="D2598" s="3" t="s">
        <v>454</v>
      </c>
      <c r="E2598" s="3">
        <v>2170</v>
      </c>
      <c r="F2598" s="28">
        <v>35</v>
      </c>
      <c r="G2598" s="10">
        <v>31</v>
      </c>
      <c r="H2598" s="3">
        <v>71</v>
      </c>
      <c r="I2598" s="3">
        <v>67</v>
      </c>
      <c r="J2598" t="str">
        <f t="shared" si="40"/>
        <v>http://www.badatelna.eu/reprodukce/?fondId=1073&amp;zaznamId=1108956&amp;reproId=3779627</v>
      </c>
      <c r="K2598">
        <f>IF(LEN(TRIM(E2598))=0,"",VLOOKUP(E2598,Sheet2!$B$1:$E$19,2,FALSE))</f>
        <v>1073</v>
      </c>
      <c r="L2598">
        <f>IF(LEN(TRIM(E2598))=0,"",VLOOKUP(E2598,Sheet2!$B$1:$E$19,3,FALSE))</f>
        <v>1108956</v>
      </c>
      <c r="M2598">
        <f>IF(LEN(TRIM(E2598))=0,"",VLOOKUP(E2598,Sheet2!$B$1:$E$19,4,FALSE))+(F2598-1)</f>
        <v>3779627</v>
      </c>
    </row>
    <row r="2599" spans="1:13" s="1" customFormat="1" ht="15" customHeight="1" x14ac:dyDescent="0.25">
      <c r="A2599" s="28" t="s">
        <v>355</v>
      </c>
      <c r="B2599" s="28" t="s">
        <v>462</v>
      </c>
      <c r="C2599" s="15">
        <v>13364</v>
      </c>
      <c r="D2599" s="1" t="s">
        <v>454</v>
      </c>
      <c r="E2599" s="1">
        <v>2172</v>
      </c>
      <c r="F2599" s="28">
        <v>237</v>
      </c>
      <c r="G2599" s="9">
        <v>217</v>
      </c>
      <c r="H2599" s="1" t="s">
        <v>3073</v>
      </c>
      <c r="I2599" s="1" t="s">
        <v>3073</v>
      </c>
      <c r="J2599" t="str">
        <f t="shared" si="40"/>
        <v>http://www.badatelna.eu/reprodukce/?fondId=1073&amp;zaznamId=1108958&amp;reproId=3779978</v>
      </c>
      <c r="K2599">
        <f>IF(LEN(TRIM(E2599))=0,"",VLOOKUP(E2599,Sheet2!$B$1:$E$19,2,FALSE))</f>
        <v>1073</v>
      </c>
      <c r="L2599">
        <f>IF(LEN(TRIM(E2599))=0,"",VLOOKUP(E2599,Sheet2!$B$1:$E$19,3,FALSE))</f>
        <v>1108958</v>
      </c>
      <c r="M2599">
        <f>IF(LEN(TRIM(E2599))=0,"",VLOOKUP(E2599,Sheet2!$B$1:$E$19,4,FALSE))+(F2599-1)</f>
        <v>3779978</v>
      </c>
    </row>
    <row r="2600" spans="1:13" s="1" customFormat="1" ht="15" customHeight="1" x14ac:dyDescent="0.25">
      <c r="A2600" s="28" t="s">
        <v>355</v>
      </c>
      <c r="B2600" s="28" t="s">
        <v>511</v>
      </c>
      <c r="C2600" s="1">
        <v>1854</v>
      </c>
      <c r="D2600" s="1" t="s">
        <v>2919</v>
      </c>
      <c r="E2600" s="1">
        <v>998</v>
      </c>
      <c r="F2600" s="28">
        <v>39</v>
      </c>
      <c r="G2600" s="1">
        <v>37</v>
      </c>
      <c r="H2600" s="1">
        <v>78</v>
      </c>
      <c r="I2600" s="1">
        <v>76</v>
      </c>
      <c r="J2600" t="str">
        <f t="shared" si="40"/>
        <v>http://www.badatelna.eu/reprodukce/?fondId=241&amp;zaznamId=1133738&amp;reproId=3885685</v>
      </c>
      <c r="K2600">
        <f>IF(LEN(TRIM(E2600))=0,"",VLOOKUP(E2600,Sheet2!$B$1:$E$19,2,FALSE))</f>
        <v>241</v>
      </c>
      <c r="L2600">
        <f>IF(LEN(TRIM(E2600))=0,"",VLOOKUP(E2600,Sheet2!$B$1:$E$19,3,FALSE))</f>
        <v>1133738</v>
      </c>
      <c r="M2600">
        <f>IF(LEN(TRIM(E2600))=0,"",VLOOKUP(E2600,Sheet2!$B$1:$E$19,4,FALSE))+(F2600-1)</f>
        <v>3885685</v>
      </c>
    </row>
    <row r="2601" spans="1:13" s="1" customFormat="1" ht="15" customHeight="1" x14ac:dyDescent="0.25">
      <c r="A2601" s="27" t="s">
        <v>355</v>
      </c>
      <c r="B2601" s="27" t="s">
        <v>511</v>
      </c>
      <c r="C2601" s="5" t="s">
        <v>1298</v>
      </c>
      <c r="D2601" s="3" t="s">
        <v>454</v>
      </c>
      <c r="E2601" s="3">
        <v>2170</v>
      </c>
      <c r="F2601" s="28">
        <v>39</v>
      </c>
      <c r="G2601" s="10">
        <v>35</v>
      </c>
      <c r="H2601" s="3">
        <v>71</v>
      </c>
      <c r="I2601" s="3">
        <v>67</v>
      </c>
      <c r="J2601" t="str">
        <f t="shared" si="40"/>
        <v>http://www.badatelna.eu/reprodukce/?fondId=1073&amp;zaznamId=1108956&amp;reproId=3779631</v>
      </c>
      <c r="K2601">
        <f>IF(LEN(TRIM(E2601))=0,"",VLOOKUP(E2601,Sheet2!$B$1:$E$19,2,FALSE))</f>
        <v>1073</v>
      </c>
      <c r="L2601">
        <f>IF(LEN(TRIM(E2601))=0,"",VLOOKUP(E2601,Sheet2!$B$1:$E$19,3,FALSE))</f>
        <v>1108956</v>
      </c>
      <c r="M2601">
        <f>IF(LEN(TRIM(E2601))=0,"",VLOOKUP(E2601,Sheet2!$B$1:$E$19,4,FALSE))+(F2601-1)</f>
        <v>3779631</v>
      </c>
    </row>
    <row r="2602" spans="1:13" s="1" customFormat="1" ht="15" customHeight="1" x14ac:dyDescent="0.25">
      <c r="A2602" s="28" t="s">
        <v>355</v>
      </c>
      <c r="B2602" s="28" t="s">
        <v>46</v>
      </c>
      <c r="C2602" s="1">
        <v>1848</v>
      </c>
      <c r="D2602" s="1" t="s">
        <v>2919</v>
      </c>
      <c r="E2602" s="1">
        <v>998</v>
      </c>
      <c r="F2602" s="28">
        <v>13</v>
      </c>
      <c r="G2602" s="1">
        <v>11</v>
      </c>
      <c r="H2602" s="1">
        <v>78</v>
      </c>
      <c r="I2602" s="1">
        <v>76</v>
      </c>
      <c r="J2602" t="str">
        <f t="shared" si="40"/>
        <v>http://www.badatelna.eu/reprodukce/?fondId=241&amp;zaznamId=1133738&amp;reproId=3885659</v>
      </c>
      <c r="K2602">
        <f>IF(LEN(TRIM(E2602))=0,"",VLOOKUP(E2602,Sheet2!$B$1:$E$19,2,FALSE))</f>
        <v>241</v>
      </c>
      <c r="L2602">
        <f>IF(LEN(TRIM(E2602))=0,"",VLOOKUP(E2602,Sheet2!$B$1:$E$19,3,FALSE))</f>
        <v>1133738</v>
      </c>
      <c r="M2602">
        <f>IF(LEN(TRIM(E2602))=0,"",VLOOKUP(E2602,Sheet2!$B$1:$E$19,4,FALSE))+(F2602-1)</f>
        <v>3885659</v>
      </c>
    </row>
    <row r="2603" spans="1:13" s="1" customFormat="1" ht="15" customHeight="1" x14ac:dyDescent="0.25">
      <c r="A2603" s="28" t="s">
        <v>355</v>
      </c>
      <c r="B2603" s="28" t="s">
        <v>692</v>
      </c>
      <c r="C2603" s="6" t="s">
        <v>1828</v>
      </c>
      <c r="D2603" s="1" t="s">
        <v>454</v>
      </c>
      <c r="E2603" s="1">
        <v>2172</v>
      </c>
      <c r="F2603" s="28">
        <v>170</v>
      </c>
      <c r="G2603" s="9">
        <v>163</v>
      </c>
      <c r="H2603" s="1" t="s">
        <v>3073</v>
      </c>
      <c r="I2603" s="1" t="s">
        <v>3073</v>
      </c>
      <c r="J2603" t="str">
        <f t="shared" si="40"/>
        <v>http://www.badatelna.eu/reprodukce/?fondId=1073&amp;zaznamId=1108958&amp;reproId=3779911</v>
      </c>
      <c r="K2603">
        <f>IF(LEN(TRIM(E2603))=0,"",VLOOKUP(E2603,Sheet2!$B$1:$E$19,2,FALSE))</f>
        <v>1073</v>
      </c>
      <c r="L2603">
        <f>IF(LEN(TRIM(E2603))=0,"",VLOOKUP(E2603,Sheet2!$B$1:$E$19,3,FALSE))</f>
        <v>1108958</v>
      </c>
      <c r="M2603">
        <f>IF(LEN(TRIM(E2603))=0,"",VLOOKUP(E2603,Sheet2!$B$1:$E$19,4,FALSE))+(F2603-1)</f>
        <v>3779911</v>
      </c>
    </row>
    <row r="2604" spans="1:13" s="1" customFormat="1" ht="15" customHeight="1" x14ac:dyDescent="0.25">
      <c r="A2604" s="27" t="s">
        <v>355</v>
      </c>
      <c r="B2604" s="27" t="s">
        <v>513</v>
      </c>
      <c r="C2604" s="5" t="s">
        <v>1405</v>
      </c>
      <c r="D2604" s="3" t="s">
        <v>454</v>
      </c>
      <c r="E2604" s="3">
        <v>2170</v>
      </c>
      <c r="F2604" s="28">
        <v>32</v>
      </c>
      <c r="G2604" s="10">
        <v>28</v>
      </c>
      <c r="H2604" s="3">
        <v>70</v>
      </c>
      <c r="I2604" s="3">
        <v>66</v>
      </c>
      <c r="J2604" t="str">
        <f t="shared" si="40"/>
        <v>http://www.badatelna.eu/reprodukce/?fondId=1073&amp;zaznamId=1108956&amp;reproId=3779624</v>
      </c>
      <c r="K2604">
        <f>IF(LEN(TRIM(E2604))=0,"",VLOOKUP(E2604,Sheet2!$B$1:$E$19,2,FALSE))</f>
        <v>1073</v>
      </c>
      <c r="L2604">
        <f>IF(LEN(TRIM(E2604))=0,"",VLOOKUP(E2604,Sheet2!$B$1:$E$19,3,FALSE))</f>
        <v>1108956</v>
      </c>
      <c r="M2604">
        <f>IF(LEN(TRIM(E2604))=0,"",VLOOKUP(E2604,Sheet2!$B$1:$E$19,4,FALSE))+(F2604-1)</f>
        <v>3779624</v>
      </c>
    </row>
    <row r="2605" spans="1:13" s="1" customFormat="1" ht="15" customHeight="1" x14ac:dyDescent="0.25">
      <c r="A2605" s="28" t="s">
        <v>355</v>
      </c>
      <c r="B2605" s="28" t="s">
        <v>424</v>
      </c>
      <c r="C2605" s="6" t="s">
        <v>1705</v>
      </c>
      <c r="D2605" s="1" t="s">
        <v>454</v>
      </c>
      <c r="E2605" s="1">
        <v>2172</v>
      </c>
      <c r="F2605" s="28">
        <v>115</v>
      </c>
      <c r="G2605" s="9" t="s">
        <v>2771</v>
      </c>
      <c r="H2605" s="1">
        <v>117</v>
      </c>
      <c r="I2605" s="1">
        <v>116</v>
      </c>
      <c r="J2605" t="str">
        <f t="shared" si="40"/>
        <v>http://www.badatelna.eu/reprodukce/?fondId=1073&amp;zaznamId=1108958&amp;reproId=3779856</v>
      </c>
      <c r="K2605">
        <f>IF(LEN(TRIM(E2605))=0,"",VLOOKUP(E2605,Sheet2!$B$1:$E$19,2,FALSE))</f>
        <v>1073</v>
      </c>
      <c r="L2605">
        <f>IF(LEN(TRIM(E2605))=0,"",VLOOKUP(E2605,Sheet2!$B$1:$E$19,3,FALSE))</f>
        <v>1108958</v>
      </c>
      <c r="M2605">
        <f>IF(LEN(TRIM(E2605))=0,"",VLOOKUP(E2605,Sheet2!$B$1:$E$19,4,FALSE))+(F2605-1)</f>
        <v>3779856</v>
      </c>
    </row>
    <row r="2606" spans="1:13" s="1" customFormat="1" ht="15" customHeight="1" x14ac:dyDescent="0.25">
      <c r="A2606" s="28" t="s">
        <v>355</v>
      </c>
      <c r="B2606" s="28" t="s">
        <v>343</v>
      </c>
      <c r="C2606" s="6" t="s">
        <v>2193</v>
      </c>
      <c r="D2606" s="1" t="s">
        <v>454</v>
      </c>
      <c r="E2606" s="1">
        <v>2173</v>
      </c>
      <c r="F2606" s="28">
        <v>180</v>
      </c>
      <c r="G2606" s="9">
        <v>6</v>
      </c>
      <c r="H2606" s="1">
        <v>192</v>
      </c>
      <c r="I2606" s="1">
        <v>426</v>
      </c>
      <c r="J2606" t="str">
        <f t="shared" si="40"/>
        <v>http://www.badatelna.eu/reprodukce/?fondId=1073&amp;zaznamId=1108959&amp;reproId=3780173</v>
      </c>
      <c r="K2606">
        <f>IF(LEN(TRIM(E2606))=0,"",VLOOKUP(E2606,Sheet2!$B$1:$E$19,2,FALSE))</f>
        <v>1073</v>
      </c>
      <c r="L2606">
        <f>IF(LEN(TRIM(E2606))=0,"",VLOOKUP(E2606,Sheet2!$B$1:$E$19,3,FALSE))</f>
        <v>1108959</v>
      </c>
      <c r="M2606">
        <f>IF(LEN(TRIM(E2606))=0,"",VLOOKUP(E2606,Sheet2!$B$1:$E$19,4,FALSE))+(F2606-1)</f>
        <v>3780173</v>
      </c>
    </row>
    <row r="2607" spans="1:13" s="1" customFormat="1" ht="15" customHeight="1" x14ac:dyDescent="0.25">
      <c r="A2607" s="27" t="s">
        <v>355</v>
      </c>
      <c r="B2607" s="27" t="s">
        <v>306</v>
      </c>
      <c r="C2607" s="5" t="s">
        <v>1402</v>
      </c>
      <c r="D2607" s="3" t="s">
        <v>454</v>
      </c>
      <c r="E2607" s="3">
        <v>2170</v>
      </c>
      <c r="F2607" s="28">
        <v>27</v>
      </c>
      <c r="G2607" s="10">
        <v>23</v>
      </c>
      <c r="H2607" s="3">
        <v>70</v>
      </c>
      <c r="I2607" s="3">
        <v>66</v>
      </c>
      <c r="J2607" t="str">
        <f t="shared" si="40"/>
        <v>http://www.badatelna.eu/reprodukce/?fondId=1073&amp;zaznamId=1108956&amp;reproId=3779619</v>
      </c>
      <c r="K2607">
        <f>IF(LEN(TRIM(E2607))=0,"",VLOOKUP(E2607,Sheet2!$B$1:$E$19,2,FALSE))</f>
        <v>1073</v>
      </c>
      <c r="L2607">
        <f>IF(LEN(TRIM(E2607))=0,"",VLOOKUP(E2607,Sheet2!$B$1:$E$19,3,FALSE))</f>
        <v>1108956</v>
      </c>
      <c r="M2607">
        <f>IF(LEN(TRIM(E2607))=0,"",VLOOKUP(E2607,Sheet2!$B$1:$E$19,4,FALSE))+(F2607-1)</f>
        <v>3779619</v>
      </c>
    </row>
    <row r="2608" spans="1:13" s="1" customFormat="1" ht="15" customHeight="1" x14ac:dyDescent="0.25">
      <c r="A2608" s="28" t="s">
        <v>355</v>
      </c>
      <c r="B2608" s="28" t="s">
        <v>54</v>
      </c>
      <c r="C2608" s="1">
        <v>1864</v>
      </c>
      <c r="D2608" s="1" t="s">
        <v>2919</v>
      </c>
      <c r="E2608" s="1">
        <v>999</v>
      </c>
      <c r="F2608" s="28">
        <v>86</v>
      </c>
      <c r="G2608" s="1">
        <v>7</v>
      </c>
      <c r="H2608" s="1">
        <v>108</v>
      </c>
      <c r="I2608" s="1">
        <v>168</v>
      </c>
      <c r="J2608" t="str">
        <f t="shared" si="40"/>
        <v>http://www.badatelna.eu/reprodukce/?fondId=241&amp;zaznamId=1133739&amp;reproId=3885815</v>
      </c>
      <c r="K2608">
        <f>IF(LEN(TRIM(E2608))=0,"",VLOOKUP(E2608,Sheet2!$B$1:$E$19,2,FALSE))</f>
        <v>241</v>
      </c>
      <c r="L2608">
        <f>IF(LEN(TRIM(E2608))=0,"",VLOOKUP(E2608,Sheet2!$B$1:$E$19,3,FALSE))</f>
        <v>1133739</v>
      </c>
      <c r="M2608">
        <f>IF(LEN(TRIM(E2608))=0,"",VLOOKUP(E2608,Sheet2!$B$1:$E$19,4,FALSE))+(F2608-1)</f>
        <v>3885815</v>
      </c>
    </row>
    <row r="2609" spans="1:13" s="1" customFormat="1" ht="15" customHeight="1" x14ac:dyDescent="0.25">
      <c r="A2609" s="27" t="s">
        <v>355</v>
      </c>
      <c r="B2609" s="27" t="s">
        <v>54</v>
      </c>
      <c r="C2609" s="5" t="s">
        <v>1401</v>
      </c>
      <c r="D2609" s="3" t="s">
        <v>454</v>
      </c>
      <c r="E2609" s="3">
        <v>2170</v>
      </c>
      <c r="F2609" s="28">
        <v>11</v>
      </c>
      <c r="G2609" s="10">
        <v>7</v>
      </c>
      <c r="H2609" s="3">
        <v>70</v>
      </c>
      <c r="I2609" s="3">
        <v>66</v>
      </c>
      <c r="J2609" t="str">
        <f t="shared" si="40"/>
        <v>http://www.badatelna.eu/reprodukce/?fondId=1073&amp;zaznamId=1108956&amp;reproId=3779603</v>
      </c>
      <c r="K2609">
        <f>IF(LEN(TRIM(E2609))=0,"",VLOOKUP(E2609,Sheet2!$B$1:$E$19,2,FALSE))</f>
        <v>1073</v>
      </c>
      <c r="L2609">
        <f>IF(LEN(TRIM(E2609))=0,"",VLOOKUP(E2609,Sheet2!$B$1:$E$19,3,FALSE))</f>
        <v>1108956</v>
      </c>
      <c r="M2609">
        <f>IF(LEN(TRIM(E2609))=0,"",VLOOKUP(E2609,Sheet2!$B$1:$E$19,4,FALSE))+(F2609-1)</f>
        <v>3779603</v>
      </c>
    </row>
    <row r="2610" spans="1:13" s="1" customFormat="1" ht="15" customHeight="1" x14ac:dyDescent="0.25">
      <c r="A2610" s="27" t="s">
        <v>355</v>
      </c>
      <c r="B2610" s="27" t="s">
        <v>54</v>
      </c>
      <c r="C2610" s="5" t="s">
        <v>1438</v>
      </c>
      <c r="D2610" s="3" t="s">
        <v>454</v>
      </c>
      <c r="E2610" s="3">
        <v>2170</v>
      </c>
      <c r="F2610" s="28">
        <v>39</v>
      </c>
      <c r="G2610" s="10">
        <v>35</v>
      </c>
      <c r="H2610" s="3">
        <v>71</v>
      </c>
      <c r="I2610" s="3">
        <v>67</v>
      </c>
      <c r="J2610" t="str">
        <f t="shared" si="40"/>
        <v>http://www.badatelna.eu/reprodukce/?fondId=1073&amp;zaznamId=1108956&amp;reproId=3779631</v>
      </c>
      <c r="K2610">
        <f>IF(LEN(TRIM(E2610))=0,"",VLOOKUP(E2610,Sheet2!$B$1:$E$19,2,FALSE))</f>
        <v>1073</v>
      </c>
      <c r="L2610">
        <f>IF(LEN(TRIM(E2610))=0,"",VLOOKUP(E2610,Sheet2!$B$1:$E$19,3,FALSE))</f>
        <v>1108956</v>
      </c>
      <c r="M2610">
        <f>IF(LEN(TRIM(E2610))=0,"",VLOOKUP(E2610,Sheet2!$B$1:$E$19,4,FALSE))+(F2610-1)</f>
        <v>3779631</v>
      </c>
    </row>
    <row r="2611" spans="1:13" s="1" customFormat="1" ht="15" customHeight="1" x14ac:dyDescent="0.25">
      <c r="A2611" s="28" t="s">
        <v>355</v>
      </c>
      <c r="B2611" s="28" t="s">
        <v>407</v>
      </c>
      <c r="C2611" s="1">
        <v>1852</v>
      </c>
      <c r="D2611" s="1" t="s">
        <v>2919</v>
      </c>
      <c r="E2611" s="1">
        <v>998</v>
      </c>
      <c r="F2611" s="28">
        <v>35</v>
      </c>
      <c r="G2611" s="1">
        <v>33</v>
      </c>
      <c r="H2611" s="1">
        <v>78</v>
      </c>
      <c r="I2611" s="1">
        <v>76</v>
      </c>
      <c r="J2611" t="str">
        <f t="shared" si="40"/>
        <v>http://www.badatelna.eu/reprodukce/?fondId=241&amp;zaznamId=1133738&amp;reproId=3885681</v>
      </c>
      <c r="K2611">
        <f>IF(LEN(TRIM(E2611))=0,"",VLOOKUP(E2611,Sheet2!$B$1:$E$19,2,FALSE))</f>
        <v>241</v>
      </c>
      <c r="L2611">
        <f>IF(LEN(TRIM(E2611))=0,"",VLOOKUP(E2611,Sheet2!$B$1:$E$19,3,FALSE))</f>
        <v>1133738</v>
      </c>
      <c r="M2611">
        <f>IF(LEN(TRIM(E2611))=0,"",VLOOKUP(E2611,Sheet2!$B$1:$E$19,4,FALSE))+(F2611-1)</f>
        <v>3885681</v>
      </c>
    </row>
    <row r="2612" spans="1:13" s="1" customFormat="1" ht="15" customHeight="1" x14ac:dyDescent="0.25">
      <c r="A2612" s="28" t="s">
        <v>355</v>
      </c>
      <c r="B2612" s="28" t="s">
        <v>407</v>
      </c>
      <c r="C2612" s="1">
        <v>1854</v>
      </c>
      <c r="D2612" s="1" t="s">
        <v>2919</v>
      </c>
      <c r="E2612" s="1">
        <v>998</v>
      </c>
      <c r="F2612" s="28">
        <v>43</v>
      </c>
      <c r="G2612" s="1">
        <v>41</v>
      </c>
      <c r="H2612" s="1">
        <v>78</v>
      </c>
      <c r="I2612" s="1">
        <v>76</v>
      </c>
      <c r="J2612" t="str">
        <f t="shared" si="40"/>
        <v>http://www.badatelna.eu/reprodukce/?fondId=241&amp;zaznamId=1133738&amp;reproId=3885689</v>
      </c>
      <c r="K2612">
        <f>IF(LEN(TRIM(E2612))=0,"",VLOOKUP(E2612,Sheet2!$B$1:$E$19,2,FALSE))</f>
        <v>241</v>
      </c>
      <c r="L2612">
        <f>IF(LEN(TRIM(E2612))=0,"",VLOOKUP(E2612,Sheet2!$B$1:$E$19,3,FALSE))</f>
        <v>1133738</v>
      </c>
      <c r="M2612">
        <f>IF(LEN(TRIM(E2612))=0,"",VLOOKUP(E2612,Sheet2!$B$1:$E$19,4,FALSE))+(F2612-1)</f>
        <v>3885689</v>
      </c>
    </row>
    <row r="2613" spans="1:13" s="1" customFormat="1" ht="15" customHeight="1" x14ac:dyDescent="0.25">
      <c r="A2613" s="28" t="s">
        <v>355</v>
      </c>
      <c r="B2613" s="28" t="s">
        <v>693</v>
      </c>
      <c r="C2613" s="15">
        <v>2324</v>
      </c>
      <c r="D2613" s="1" t="s">
        <v>454</v>
      </c>
      <c r="E2613" s="1">
        <v>2172</v>
      </c>
      <c r="F2613" s="28">
        <v>167</v>
      </c>
      <c r="G2613" s="9">
        <v>160</v>
      </c>
      <c r="H2613" s="1" t="s">
        <v>3073</v>
      </c>
      <c r="I2613" s="1" t="s">
        <v>3073</v>
      </c>
      <c r="J2613" t="str">
        <f t="shared" si="40"/>
        <v>http://www.badatelna.eu/reprodukce/?fondId=1073&amp;zaznamId=1108958&amp;reproId=3779908</v>
      </c>
      <c r="K2613">
        <f>IF(LEN(TRIM(E2613))=0,"",VLOOKUP(E2613,Sheet2!$B$1:$E$19,2,FALSE))</f>
        <v>1073</v>
      </c>
      <c r="L2613">
        <f>IF(LEN(TRIM(E2613))=0,"",VLOOKUP(E2613,Sheet2!$B$1:$E$19,3,FALSE))</f>
        <v>1108958</v>
      </c>
      <c r="M2613">
        <f>IF(LEN(TRIM(E2613))=0,"",VLOOKUP(E2613,Sheet2!$B$1:$E$19,4,FALSE))+(F2613-1)</f>
        <v>3779908</v>
      </c>
    </row>
    <row r="2614" spans="1:13" s="1" customFormat="1" ht="15" customHeight="1" x14ac:dyDescent="0.25">
      <c r="A2614" s="28" t="s">
        <v>355</v>
      </c>
      <c r="B2614" s="28" t="s">
        <v>91</v>
      </c>
      <c r="C2614" s="1">
        <v>1848</v>
      </c>
      <c r="D2614" s="1" t="s">
        <v>2919</v>
      </c>
      <c r="E2614" s="1">
        <v>998</v>
      </c>
      <c r="F2614" s="28">
        <v>10</v>
      </c>
      <c r="G2614" s="1">
        <v>8</v>
      </c>
      <c r="H2614" s="1">
        <v>78</v>
      </c>
      <c r="I2614" s="1">
        <v>76</v>
      </c>
      <c r="J2614" t="str">
        <f t="shared" si="40"/>
        <v>http://www.badatelna.eu/reprodukce/?fondId=241&amp;zaznamId=1133738&amp;reproId=3885656</v>
      </c>
      <c r="K2614">
        <f>IF(LEN(TRIM(E2614))=0,"",VLOOKUP(E2614,Sheet2!$B$1:$E$19,2,FALSE))</f>
        <v>241</v>
      </c>
      <c r="L2614">
        <f>IF(LEN(TRIM(E2614))=0,"",VLOOKUP(E2614,Sheet2!$B$1:$E$19,3,FALSE))</f>
        <v>1133738</v>
      </c>
      <c r="M2614">
        <f>IF(LEN(TRIM(E2614))=0,"",VLOOKUP(E2614,Sheet2!$B$1:$E$19,4,FALSE))+(F2614-1)</f>
        <v>3885656</v>
      </c>
    </row>
    <row r="2615" spans="1:13" s="1" customFormat="1" ht="15" customHeight="1" x14ac:dyDescent="0.25">
      <c r="A2615" s="28" t="s">
        <v>355</v>
      </c>
      <c r="B2615" s="28" t="s">
        <v>91</v>
      </c>
      <c r="C2615" s="6" t="s">
        <v>2699</v>
      </c>
      <c r="D2615" s="1" t="s">
        <v>454</v>
      </c>
      <c r="E2615" s="1">
        <v>2173</v>
      </c>
      <c r="F2615" s="28">
        <v>224</v>
      </c>
      <c r="G2615" s="9">
        <v>53</v>
      </c>
      <c r="H2615" s="1" t="s">
        <v>3073</v>
      </c>
      <c r="I2615" s="1" t="s">
        <v>3073</v>
      </c>
      <c r="J2615" t="str">
        <f t="shared" si="40"/>
        <v>http://www.badatelna.eu/reprodukce/?fondId=1073&amp;zaznamId=1108959&amp;reproId=3780217</v>
      </c>
      <c r="K2615">
        <f>IF(LEN(TRIM(E2615))=0,"",VLOOKUP(E2615,Sheet2!$B$1:$E$19,2,FALSE))</f>
        <v>1073</v>
      </c>
      <c r="L2615">
        <f>IF(LEN(TRIM(E2615))=0,"",VLOOKUP(E2615,Sheet2!$B$1:$E$19,3,FALSE))</f>
        <v>1108959</v>
      </c>
      <c r="M2615">
        <f>IF(LEN(TRIM(E2615))=0,"",VLOOKUP(E2615,Sheet2!$B$1:$E$19,4,FALSE))+(F2615-1)</f>
        <v>3780217</v>
      </c>
    </row>
    <row r="2616" spans="1:13" ht="15" customHeight="1" x14ac:dyDescent="0.25">
      <c r="A2616" s="28" t="s">
        <v>355</v>
      </c>
      <c r="B2616" s="28" t="s">
        <v>289</v>
      </c>
      <c r="C2616" s="6" t="s">
        <v>1601</v>
      </c>
      <c r="D2616" s="1" t="s">
        <v>454</v>
      </c>
      <c r="E2616" s="1">
        <v>2172</v>
      </c>
      <c r="F2616" s="28">
        <v>66</v>
      </c>
      <c r="G2616" s="9">
        <v>65</v>
      </c>
      <c r="H2616" s="1" t="s">
        <v>3073</v>
      </c>
      <c r="I2616" s="1" t="s">
        <v>3073</v>
      </c>
      <c r="J2616" t="str">
        <f t="shared" si="40"/>
        <v>http://www.badatelna.eu/reprodukce/?fondId=1073&amp;zaznamId=1108958&amp;reproId=3779807</v>
      </c>
      <c r="K2616">
        <f>IF(LEN(TRIM(E2616))=0,"",VLOOKUP(E2616,Sheet2!$B$1:$E$19,2,FALSE))</f>
        <v>1073</v>
      </c>
      <c r="L2616">
        <f>IF(LEN(TRIM(E2616))=0,"",VLOOKUP(E2616,Sheet2!$B$1:$E$19,3,FALSE))</f>
        <v>1108958</v>
      </c>
      <c r="M2616">
        <f>IF(LEN(TRIM(E2616))=0,"",VLOOKUP(E2616,Sheet2!$B$1:$E$19,4,FALSE))+(F2616-1)</f>
        <v>3779807</v>
      </c>
    </row>
    <row r="2617" spans="1:13" ht="15" customHeight="1" x14ac:dyDescent="0.25">
      <c r="A2617" s="28"/>
      <c r="B2617" s="28"/>
      <c r="C2617" s="38" t="s">
        <v>3137</v>
      </c>
      <c r="D2617" s="1"/>
      <c r="E2617" s="1"/>
      <c r="F2617" s="28"/>
      <c r="G2617" s="9"/>
      <c r="H2617" s="1"/>
      <c r="I2617" s="1"/>
      <c r="J2617" t="str">
        <f t="shared" si="40"/>
        <v/>
      </c>
      <c r="K2617" t="str">
        <f>IF(LEN(TRIM(E2617))=0,"",VLOOKUP(E2617,Sheet2!$B$1:$E$19,2,FALSE))</f>
        <v/>
      </c>
      <c r="L2617" t="str">
        <f>IF(LEN(TRIM(E2617))=0,"",VLOOKUP(E2617,Sheet2!$B$1:$E$19,3,FALSE))</f>
        <v/>
      </c>
      <c r="M2617" t="e">
        <f>IF(LEN(TRIM(E2617))=0,"",VLOOKUP(E2617,Sheet2!$B$1:$E$19,4,FALSE))+(F2617-1)</f>
        <v>#VALUE!</v>
      </c>
    </row>
    <row r="2618" spans="1:13" ht="15" customHeight="1" x14ac:dyDescent="0.25">
      <c r="A2618" s="28" t="s">
        <v>694</v>
      </c>
      <c r="B2618" s="28" t="s">
        <v>690</v>
      </c>
      <c r="C2618" s="6" t="s">
        <v>1934</v>
      </c>
      <c r="D2618" s="1" t="s">
        <v>454</v>
      </c>
      <c r="E2618" s="1">
        <v>2172</v>
      </c>
      <c r="F2618" s="28">
        <v>217</v>
      </c>
      <c r="G2618" s="9">
        <v>201</v>
      </c>
      <c r="H2618" s="1" t="s">
        <v>3073</v>
      </c>
      <c r="I2618" s="1" t="s">
        <v>3073</v>
      </c>
      <c r="J2618" t="str">
        <f t="shared" si="40"/>
        <v>http://www.badatelna.eu/reprodukce/?fondId=1073&amp;zaznamId=1108958&amp;reproId=3779958</v>
      </c>
      <c r="K2618">
        <f>IF(LEN(TRIM(E2618))=0,"",VLOOKUP(E2618,Sheet2!$B$1:$E$19,2,FALSE))</f>
        <v>1073</v>
      </c>
      <c r="L2618">
        <f>IF(LEN(TRIM(E2618))=0,"",VLOOKUP(E2618,Sheet2!$B$1:$E$19,3,FALSE))</f>
        <v>1108958</v>
      </c>
      <c r="M2618">
        <f>IF(LEN(TRIM(E2618))=0,"",VLOOKUP(E2618,Sheet2!$B$1:$E$19,4,FALSE))+(F2618-1)</f>
        <v>3779958</v>
      </c>
    </row>
    <row r="2619" spans="1:13" ht="15" customHeight="1" x14ac:dyDescent="0.25">
      <c r="A2619" s="28" t="s">
        <v>695</v>
      </c>
      <c r="B2619" s="28" t="s">
        <v>407</v>
      </c>
      <c r="C2619" s="1">
        <v>1886</v>
      </c>
      <c r="D2619" s="1" t="s">
        <v>454</v>
      </c>
      <c r="E2619" s="1">
        <v>2172</v>
      </c>
      <c r="F2619" s="28">
        <v>51</v>
      </c>
      <c r="G2619" s="9">
        <v>52</v>
      </c>
      <c r="H2619" s="1">
        <v>55</v>
      </c>
      <c r="I2619" s="1">
        <v>56</v>
      </c>
      <c r="J2619" t="str">
        <f t="shared" si="40"/>
        <v>http://www.badatelna.eu/reprodukce/?fondId=1073&amp;zaznamId=1108958&amp;reproId=3779792</v>
      </c>
      <c r="K2619">
        <f>IF(LEN(TRIM(E2619))=0,"",VLOOKUP(E2619,Sheet2!$B$1:$E$19,2,FALSE))</f>
        <v>1073</v>
      </c>
      <c r="L2619">
        <f>IF(LEN(TRIM(E2619))=0,"",VLOOKUP(E2619,Sheet2!$B$1:$E$19,3,FALSE))</f>
        <v>1108958</v>
      </c>
      <c r="M2619">
        <f>IF(LEN(TRIM(E2619))=0,"",VLOOKUP(E2619,Sheet2!$B$1:$E$19,4,FALSE))+(F2619-1)</f>
        <v>3779792</v>
      </c>
    </row>
    <row r="2620" spans="1:13" ht="15" customHeight="1" x14ac:dyDescent="0.25">
      <c r="A2620" s="28" t="s">
        <v>695</v>
      </c>
      <c r="B2620" s="28" t="s">
        <v>407</v>
      </c>
      <c r="C2620" s="1">
        <v>1886</v>
      </c>
      <c r="D2620" s="1" t="s">
        <v>454</v>
      </c>
      <c r="E2620" s="1">
        <v>2172</v>
      </c>
      <c r="F2620" s="28">
        <v>51</v>
      </c>
      <c r="G2620" s="9">
        <v>52</v>
      </c>
      <c r="H2620" s="1">
        <v>55</v>
      </c>
      <c r="I2620" s="1">
        <v>56</v>
      </c>
      <c r="J2620" t="str">
        <f t="shared" si="40"/>
        <v>http://www.badatelna.eu/reprodukce/?fondId=1073&amp;zaznamId=1108958&amp;reproId=3779792</v>
      </c>
      <c r="K2620">
        <f>IF(LEN(TRIM(E2620))=0,"",VLOOKUP(E2620,Sheet2!$B$1:$E$19,2,FALSE))</f>
        <v>1073</v>
      </c>
      <c r="L2620">
        <f>IF(LEN(TRIM(E2620))=0,"",VLOOKUP(E2620,Sheet2!$B$1:$E$19,3,FALSE))</f>
        <v>1108958</v>
      </c>
      <c r="M2620">
        <f>IF(LEN(TRIM(E2620))=0,"",VLOOKUP(E2620,Sheet2!$B$1:$E$19,4,FALSE))+(F2620-1)</f>
        <v>3779792</v>
      </c>
    </row>
    <row r="2621" spans="1:13" ht="15" customHeight="1" x14ac:dyDescent="0.25">
      <c r="A2621" s="28" t="s">
        <v>696</v>
      </c>
      <c r="B2621" s="28" t="s">
        <v>697</v>
      </c>
      <c r="C2621" s="6" t="s">
        <v>1929</v>
      </c>
      <c r="D2621" s="1" t="s">
        <v>454</v>
      </c>
      <c r="E2621" s="1">
        <v>2172</v>
      </c>
      <c r="F2621" s="28">
        <v>216</v>
      </c>
      <c r="G2621" s="9">
        <v>200</v>
      </c>
      <c r="H2621" s="1" t="s">
        <v>3073</v>
      </c>
      <c r="I2621" s="1" t="s">
        <v>3073</v>
      </c>
      <c r="J2621" t="str">
        <f t="shared" si="40"/>
        <v>http://www.badatelna.eu/reprodukce/?fondId=1073&amp;zaznamId=1108958&amp;reproId=3779957</v>
      </c>
      <c r="K2621">
        <f>IF(LEN(TRIM(E2621))=0,"",VLOOKUP(E2621,Sheet2!$B$1:$E$19,2,FALSE))</f>
        <v>1073</v>
      </c>
      <c r="L2621">
        <f>IF(LEN(TRIM(E2621))=0,"",VLOOKUP(E2621,Sheet2!$B$1:$E$19,3,FALSE))</f>
        <v>1108958</v>
      </c>
      <c r="M2621">
        <f>IF(LEN(TRIM(E2621))=0,"",VLOOKUP(E2621,Sheet2!$B$1:$E$19,4,FALSE))+(F2621-1)</f>
        <v>3779957</v>
      </c>
    </row>
    <row r="2622" spans="1:13" ht="15" customHeight="1" x14ac:dyDescent="0.25">
      <c r="A2622" s="29" t="s">
        <v>3014</v>
      </c>
      <c r="B2622" s="28" t="s">
        <v>3015</v>
      </c>
      <c r="C2622" s="1">
        <v>1854</v>
      </c>
      <c r="D2622" s="1" t="s">
        <v>2919</v>
      </c>
      <c r="E2622" s="1">
        <v>998</v>
      </c>
      <c r="F2622" s="28">
        <v>41</v>
      </c>
      <c r="G2622" s="1">
        <v>39</v>
      </c>
      <c r="H2622" s="1">
        <v>78</v>
      </c>
      <c r="I2622" s="1">
        <v>76</v>
      </c>
      <c r="J2622" t="str">
        <f t="shared" si="40"/>
        <v>http://www.badatelna.eu/reprodukce/?fondId=241&amp;zaznamId=1133738&amp;reproId=3885687</v>
      </c>
      <c r="K2622">
        <f>IF(LEN(TRIM(E2622))=0,"",VLOOKUP(E2622,Sheet2!$B$1:$E$19,2,FALSE))</f>
        <v>241</v>
      </c>
      <c r="L2622">
        <f>IF(LEN(TRIM(E2622))=0,"",VLOOKUP(E2622,Sheet2!$B$1:$E$19,3,FALSE))</f>
        <v>1133738</v>
      </c>
      <c r="M2622">
        <f>IF(LEN(TRIM(E2622))=0,"",VLOOKUP(E2622,Sheet2!$B$1:$E$19,4,FALSE))+(F2622-1)</f>
        <v>3885687</v>
      </c>
    </row>
    <row r="2623" spans="1:13" ht="15" customHeight="1" x14ac:dyDescent="0.25">
      <c r="A2623" s="28" t="s">
        <v>698</v>
      </c>
      <c r="B2623" s="28" t="s">
        <v>699</v>
      </c>
      <c r="C2623" s="6" t="s">
        <v>1726</v>
      </c>
      <c r="D2623" s="1" t="s">
        <v>454</v>
      </c>
      <c r="E2623" s="1">
        <v>2172</v>
      </c>
      <c r="F2623" s="28">
        <v>120</v>
      </c>
      <c r="G2623" s="9">
        <v>119</v>
      </c>
      <c r="H2623" s="1">
        <v>124</v>
      </c>
      <c r="I2623" s="1">
        <v>123</v>
      </c>
      <c r="J2623" t="str">
        <f t="shared" si="40"/>
        <v>http://www.badatelna.eu/reprodukce/?fondId=1073&amp;zaznamId=1108958&amp;reproId=3779861</v>
      </c>
      <c r="K2623">
        <f>IF(LEN(TRIM(E2623))=0,"",VLOOKUP(E2623,Sheet2!$B$1:$E$19,2,FALSE))</f>
        <v>1073</v>
      </c>
      <c r="L2623">
        <f>IF(LEN(TRIM(E2623))=0,"",VLOOKUP(E2623,Sheet2!$B$1:$E$19,3,FALSE))</f>
        <v>1108958</v>
      </c>
      <c r="M2623">
        <f>IF(LEN(TRIM(E2623))=0,"",VLOOKUP(E2623,Sheet2!$B$1:$E$19,4,FALSE))+(F2623-1)</f>
        <v>3779861</v>
      </c>
    </row>
    <row r="2624" spans="1:13" ht="15" customHeight="1" x14ac:dyDescent="0.25">
      <c r="A2624" s="28" t="s">
        <v>134</v>
      </c>
      <c r="B2624" s="28" t="s">
        <v>135</v>
      </c>
      <c r="C2624" s="6" t="s">
        <v>2334</v>
      </c>
      <c r="D2624" s="1" t="s">
        <v>454</v>
      </c>
      <c r="E2624" s="1">
        <v>2173</v>
      </c>
      <c r="F2624" s="28">
        <v>200</v>
      </c>
      <c r="G2624" s="9">
        <v>10</v>
      </c>
      <c r="H2624" s="1" t="s">
        <v>3073</v>
      </c>
      <c r="I2624" s="1" t="s">
        <v>3073</v>
      </c>
      <c r="J2624" t="str">
        <f t="shared" si="40"/>
        <v>http://www.badatelna.eu/reprodukce/?fondId=1073&amp;zaznamId=1108959&amp;reproId=3780193</v>
      </c>
      <c r="K2624">
        <f>IF(LEN(TRIM(E2624))=0,"",VLOOKUP(E2624,Sheet2!$B$1:$E$19,2,FALSE))</f>
        <v>1073</v>
      </c>
      <c r="L2624">
        <f>IF(LEN(TRIM(E2624))=0,"",VLOOKUP(E2624,Sheet2!$B$1:$E$19,3,FALSE))</f>
        <v>1108959</v>
      </c>
      <c r="M2624">
        <f>IF(LEN(TRIM(E2624))=0,"",VLOOKUP(E2624,Sheet2!$B$1:$E$19,4,FALSE))+(F2624-1)</f>
        <v>3780193</v>
      </c>
    </row>
    <row r="2625" spans="1:13" ht="15" customHeight="1" x14ac:dyDescent="0.25">
      <c r="A2625" s="28" t="s">
        <v>67</v>
      </c>
      <c r="B2625" s="28" t="s">
        <v>33</v>
      </c>
      <c r="C2625" s="6" t="s">
        <v>2195</v>
      </c>
      <c r="D2625" s="1" t="s">
        <v>454</v>
      </c>
      <c r="E2625" s="1">
        <v>2173</v>
      </c>
      <c r="F2625" s="28">
        <v>181</v>
      </c>
      <c r="G2625" s="9">
        <v>8</v>
      </c>
      <c r="H2625" s="1">
        <v>193</v>
      </c>
      <c r="I2625" s="1">
        <v>429</v>
      </c>
      <c r="J2625" t="str">
        <f t="shared" si="40"/>
        <v>http://www.badatelna.eu/reprodukce/?fondId=1073&amp;zaznamId=1108959&amp;reproId=3780174</v>
      </c>
      <c r="K2625">
        <f>IF(LEN(TRIM(E2625))=0,"",VLOOKUP(E2625,Sheet2!$B$1:$E$19,2,FALSE))</f>
        <v>1073</v>
      </c>
      <c r="L2625">
        <f>IF(LEN(TRIM(E2625))=0,"",VLOOKUP(E2625,Sheet2!$B$1:$E$19,3,FALSE))</f>
        <v>1108959</v>
      </c>
      <c r="M2625">
        <f>IF(LEN(TRIM(E2625))=0,"",VLOOKUP(E2625,Sheet2!$B$1:$E$19,4,FALSE))+(F2625-1)</f>
        <v>3780174</v>
      </c>
    </row>
    <row r="2626" spans="1:13" ht="15" customHeight="1" x14ac:dyDescent="0.25">
      <c r="A2626" s="28" t="s">
        <v>67</v>
      </c>
      <c r="B2626" s="28" t="s">
        <v>33</v>
      </c>
      <c r="C2626" s="6" t="s">
        <v>2873</v>
      </c>
      <c r="D2626" s="1" t="s">
        <v>454</v>
      </c>
      <c r="E2626" s="1">
        <v>2173</v>
      </c>
      <c r="F2626" s="28">
        <v>210</v>
      </c>
      <c r="G2626" s="9" t="s">
        <v>2874</v>
      </c>
      <c r="H2626" s="1" t="s">
        <v>3073</v>
      </c>
      <c r="I2626" s="1" t="s">
        <v>3073</v>
      </c>
      <c r="J2626" t="str">
        <f t="shared" si="40"/>
        <v>http://www.badatelna.eu/reprodukce/?fondId=1073&amp;zaznamId=1108959&amp;reproId=3780203</v>
      </c>
      <c r="K2626">
        <f>IF(LEN(TRIM(E2626))=0,"",VLOOKUP(E2626,Sheet2!$B$1:$E$19,2,FALSE))</f>
        <v>1073</v>
      </c>
      <c r="L2626">
        <f>IF(LEN(TRIM(E2626))=0,"",VLOOKUP(E2626,Sheet2!$B$1:$E$19,3,FALSE))</f>
        <v>1108959</v>
      </c>
      <c r="M2626">
        <f>IF(LEN(TRIM(E2626))=0,"",VLOOKUP(E2626,Sheet2!$B$1:$E$19,4,FALSE))+(F2626-1)</f>
        <v>3780203</v>
      </c>
    </row>
    <row r="2627" spans="1:13" ht="15" customHeight="1" x14ac:dyDescent="0.25">
      <c r="A2627" s="28" t="s">
        <v>67</v>
      </c>
      <c r="B2627" s="28" t="s">
        <v>33</v>
      </c>
      <c r="C2627" s="6" t="s">
        <v>1583</v>
      </c>
      <c r="D2627" s="1" t="s">
        <v>454</v>
      </c>
      <c r="E2627" s="1">
        <v>2172</v>
      </c>
      <c r="F2627" s="28">
        <v>20</v>
      </c>
      <c r="G2627" s="9">
        <v>19</v>
      </c>
      <c r="H2627" s="1">
        <v>25</v>
      </c>
      <c r="I2627" s="1">
        <v>24</v>
      </c>
      <c r="J2627" t="str">
        <f t="shared" ref="J2627:J2690" si="41">IF(LEN(TRIM(E2627))=0,"","http://www.badatelna.eu/reprodukce/?fondId="&amp;K2627&amp;"&amp;zaznamId="&amp;L2627&amp;"&amp;reproId="&amp;M2627)</f>
        <v>http://www.badatelna.eu/reprodukce/?fondId=1073&amp;zaznamId=1108958&amp;reproId=3779761</v>
      </c>
      <c r="K2627">
        <f>IF(LEN(TRIM(E2627))=0,"",VLOOKUP(E2627,Sheet2!$B$1:$E$19,2,FALSE))</f>
        <v>1073</v>
      </c>
      <c r="L2627">
        <f>IF(LEN(TRIM(E2627))=0,"",VLOOKUP(E2627,Sheet2!$B$1:$E$19,3,FALSE))</f>
        <v>1108958</v>
      </c>
      <c r="M2627">
        <f>IF(LEN(TRIM(E2627))=0,"",VLOOKUP(E2627,Sheet2!$B$1:$E$19,4,FALSE))+(F2627-1)</f>
        <v>3779761</v>
      </c>
    </row>
    <row r="2628" spans="1:13" ht="15" customHeight="1" x14ac:dyDescent="0.25">
      <c r="A2628" s="28" t="s">
        <v>67</v>
      </c>
      <c r="B2628" s="29" t="s">
        <v>421</v>
      </c>
      <c r="C2628" s="6" t="s">
        <v>2304</v>
      </c>
      <c r="D2628" s="1" t="s">
        <v>454</v>
      </c>
      <c r="E2628" s="1">
        <v>2173</v>
      </c>
      <c r="F2628" s="28">
        <v>198</v>
      </c>
      <c r="G2628" s="9">
        <v>5</v>
      </c>
      <c r="H2628" s="1" t="s">
        <v>3073</v>
      </c>
      <c r="I2628" s="1" t="s">
        <v>3073</v>
      </c>
      <c r="J2628" t="str">
        <f t="shared" si="41"/>
        <v>http://www.badatelna.eu/reprodukce/?fondId=1073&amp;zaznamId=1108959&amp;reproId=3780191</v>
      </c>
      <c r="K2628">
        <f>IF(LEN(TRIM(E2628))=0,"",VLOOKUP(E2628,Sheet2!$B$1:$E$19,2,FALSE))</f>
        <v>1073</v>
      </c>
      <c r="L2628">
        <f>IF(LEN(TRIM(E2628))=0,"",VLOOKUP(E2628,Sheet2!$B$1:$E$19,3,FALSE))</f>
        <v>1108959</v>
      </c>
      <c r="M2628">
        <f>IF(LEN(TRIM(E2628))=0,"",VLOOKUP(E2628,Sheet2!$B$1:$E$19,4,FALSE))+(F2628-1)</f>
        <v>3780191</v>
      </c>
    </row>
    <row r="2629" spans="1:13" ht="15" customHeight="1" x14ac:dyDescent="0.25">
      <c r="A2629" s="27" t="s">
        <v>67</v>
      </c>
      <c r="B2629" s="27" t="s">
        <v>634</v>
      </c>
      <c r="C2629" s="5" t="s">
        <v>1445</v>
      </c>
      <c r="D2629" s="3" t="s">
        <v>454</v>
      </c>
      <c r="E2629" s="3">
        <v>2170</v>
      </c>
      <c r="F2629" s="28">
        <v>57</v>
      </c>
      <c r="G2629" s="10">
        <v>53</v>
      </c>
      <c r="H2629" s="3">
        <v>71</v>
      </c>
      <c r="I2629" s="3">
        <v>67</v>
      </c>
      <c r="J2629" t="str">
        <f t="shared" si="41"/>
        <v>http://www.badatelna.eu/reprodukce/?fondId=1073&amp;zaznamId=1108956&amp;reproId=3779649</v>
      </c>
      <c r="K2629">
        <f>IF(LEN(TRIM(E2629))=0,"",VLOOKUP(E2629,Sheet2!$B$1:$E$19,2,FALSE))</f>
        <v>1073</v>
      </c>
      <c r="L2629">
        <f>IF(LEN(TRIM(E2629))=0,"",VLOOKUP(E2629,Sheet2!$B$1:$E$19,3,FALSE))</f>
        <v>1108956</v>
      </c>
      <c r="M2629">
        <f>IF(LEN(TRIM(E2629))=0,"",VLOOKUP(E2629,Sheet2!$B$1:$E$19,4,FALSE))+(F2629-1)</f>
        <v>3779649</v>
      </c>
    </row>
    <row r="2630" spans="1:13" ht="15" customHeight="1" x14ac:dyDescent="0.25">
      <c r="A2630" s="28" t="s">
        <v>67</v>
      </c>
      <c r="B2630" s="28" t="s">
        <v>373</v>
      </c>
      <c r="C2630" s="6" t="s">
        <v>2194</v>
      </c>
      <c r="D2630" s="1" t="s">
        <v>454</v>
      </c>
      <c r="E2630" s="1">
        <v>2173</v>
      </c>
      <c r="F2630" s="28">
        <v>181</v>
      </c>
      <c r="G2630" s="9">
        <v>8</v>
      </c>
      <c r="H2630" s="1">
        <v>193</v>
      </c>
      <c r="I2630" s="1">
        <v>429</v>
      </c>
      <c r="J2630" t="str">
        <f t="shared" si="41"/>
        <v>http://www.badatelna.eu/reprodukce/?fondId=1073&amp;zaznamId=1108959&amp;reproId=3780174</v>
      </c>
      <c r="K2630">
        <f>IF(LEN(TRIM(E2630))=0,"",VLOOKUP(E2630,Sheet2!$B$1:$E$19,2,FALSE))</f>
        <v>1073</v>
      </c>
      <c r="L2630">
        <f>IF(LEN(TRIM(E2630))=0,"",VLOOKUP(E2630,Sheet2!$B$1:$E$19,3,FALSE))</f>
        <v>1108959</v>
      </c>
      <c r="M2630">
        <f>IF(LEN(TRIM(E2630))=0,"",VLOOKUP(E2630,Sheet2!$B$1:$E$19,4,FALSE))+(F2630-1)</f>
        <v>3780174</v>
      </c>
    </row>
    <row r="2631" spans="1:13" ht="15" customHeight="1" x14ac:dyDescent="0.25">
      <c r="A2631" s="27" t="s">
        <v>67</v>
      </c>
      <c r="B2631" s="27" t="s">
        <v>635</v>
      </c>
      <c r="C2631" s="5" t="s">
        <v>1444</v>
      </c>
      <c r="D2631" s="3" t="s">
        <v>454</v>
      </c>
      <c r="E2631" s="3">
        <v>2170</v>
      </c>
      <c r="F2631" s="28">
        <v>35</v>
      </c>
      <c r="G2631" s="10">
        <v>31</v>
      </c>
      <c r="H2631" s="3">
        <v>71</v>
      </c>
      <c r="I2631" s="3">
        <v>67</v>
      </c>
      <c r="J2631" t="str">
        <f t="shared" si="41"/>
        <v>http://www.badatelna.eu/reprodukce/?fondId=1073&amp;zaznamId=1108956&amp;reproId=3779627</v>
      </c>
      <c r="K2631">
        <f>IF(LEN(TRIM(E2631))=0,"",VLOOKUP(E2631,Sheet2!$B$1:$E$19,2,FALSE))</f>
        <v>1073</v>
      </c>
      <c r="L2631">
        <f>IF(LEN(TRIM(E2631))=0,"",VLOOKUP(E2631,Sheet2!$B$1:$E$19,3,FALSE))</f>
        <v>1108956</v>
      </c>
      <c r="M2631">
        <f>IF(LEN(TRIM(E2631))=0,"",VLOOKUP(E2631,Sheet2!$B$1:$E$19,4,FALSE))+(F2631-1)</f>
        <v>3779627</v>
      </c>
    </row>
    <row r="2632" spans="1:13" s="1" customFormat="1" ht="15" customHeight="1" x14ac:dyDescent="0.25">
      <c r="A2632" s="28" t="s">
        <v>67</v>
      </c>
      <c r="B2632" s="28" t="s">
        <v>56</v>
      </c>
      <c r="C2632" s="6" t="s">
        <v>2386</v>
      </c>
      <c r="D2632" s="1" t="s">
        <v>454</v>
      </c>
      <c r="E2632" s="1">
        <v>2173</v>
      </c>
      <c r="F2632" s="28">
        <v>201</v>
      </c>
      <c r="G2632" s="9">
        <v>11</v>
      </c>
      <c r="H2632" s="1" t="s">
        <v>3073</v>
      </c>
      <c r="I2632" s="1" t="s">
        <v>3073</v>
      </c>
      <c r="J2632" t="str">
        <f t="shared" si="41"/>
        <v>http://www.badatelna.eu/reprodukce/?fondId=1073&amp;zaznamId=1108959&amp;reproId=3780194</v>
      </c>
      <c r="K2632">
        <f>IF(LEN(TRIM(E2632))=0,"",VLOOKUP(E2632,Sheet2!$B$1:$E$19,2,FALSE))</f>
        <v>1073</v>
      </c>
      <c r="L2632">
        <f>IF(LEN(TRIM(E2632))=0,"",VLOOKUP(E2632,Sheet2!$B$1:$E$19,3,FALSE))</f>
        <v>1108959</v>
      </c>
      <c r="M2632">
        <f>IF(LEN(TRIM(E2632))=0,"",VLOOKUP(E2632,Sheet2!$B$1:$E$19,4,FALSE))+(F2632-1)</f>
        <v>3780194</v>
      </c>
    </row>
    <row r="2633" spans="1:13" s="1" customFormat="1" ht="15" customHeight="1" x14ac:dyDescent="0.25">
      <c r="A2633" s="27" t="s">
        <v>67</v>
      </c>
      <c r="B2633" s="27" t="s">
        <v>636</v>
      </c>
      <c r="C2633" s="5" t="s">
        <v>1441</v>
      </c>
      <c r="D2633" s="3" t="s">
        <v>454</v>
      </c>
      <c r="E2633" s="3">
        <v>2170</v>
      </c>
      <c r="F2633" s="28">
        <v>53</v>
      </c>
      <c r="G2633" s="10">
        <v>49</v>
      </c>
      <c r="H2633" s="3">
        <v>71</v>
      </c>
      <c r="I2633" s="3">
        <v>67</v>
      </c>
      <c r="J2633" t="str">
        <f t="shared" si="41"/>
        <v>http://www.badatelna.eu/reprodukce/?fondId=1073&amp;zaznamId=1108956&amp;reproId=3779645</v>
      </c>
      <c r="K2633">
        <f>IF(LEN(TRIM(E2633))=0,"",VLOOKUP(E2633,Sheet2!$B$1:$E$19,2,FALSE))</f>
        <v>1073</v>
      </c>
      <c r="L2633">
        <f>IF(LEN(TRIM(E2633))=0,"",VLOOKUP(E2633,Sheet2!$B$1:$E$19,3,FALSE))</f>
        <v>1108956</v>
      </c>
      <c r="M2633">
        <f>IF(LEN(TRIM(E2633))=0,"",VLOOKUP(E2633,Sheet2!$B$1:$E$19,4,FALSE))+(F2633-1)</f>
        <v>3779645</v>
      </c>
    </row>
    <row r="2634" spans="1:13" s="1" customFormat="1" ht="15" customHeight="1" x14ac:dyDescent="0.25">
      <c r="A2634" s="28" t="s">
        <v>67</v>
      </c>
      <c r="B2634" s="28" t="s">
        <v>700</v>
      </c>
      <c r="C2634" s="6" t="s">
        <v>1426</v>
      </c>
      <c r="D2634" s="1" t="s">
        <v>454</v>
      </c>
      <c r="E2634" s="1">
        <v>2172</v>
      </c>
      <c r="F2634" s="28">
        <v>5</v>
      </c>
      <c r="G2634" s="9">
        <v>2</v>
      </c>
      <c r="H2634" s="1">
        <v>9</v>
      </c>
      <c r="I2634" s="1">
        <v>2</v>
      </c>
      <c r="J2634" t="str">
        <f t="shared" si="41"/>
        <v>http://www.badatelna.eu/reprodukce/?fondId=1073&amp;zaznamId=1108958&amp;reproId=3779746</v>
      </c>
      <c r="K2634">
        <f>IF(LEN(TRIM(E2634))=0,"",VLOOKUP(E2634,Sheet2!$B$1:$E$19,2,FALSE))</f>
        <v>1073</v>
      </c>
      <c r="L2634">
        <f>IF(LEN(TRIM(E2634))=0,"",VLOOKUP(E2634,Sheet2!$B$1:$E$19,3,FALSE))</f>
        <v>1108958</v>
      </c>
      <c r="M2634">
        <f>IF(LEN(TRIM(E2634))=0,"",VLOOKUP(E2634,Sheet2!$B$1:$E$19,4,FALSE))+(F2634-1)</f>
        <v>3779746</v>
      </c>
    </row>
    <row r="2635" spans="1:13" s="1" customFormat="1" ht="15" customHeight="1" x14ac:dyDescent="0.25">
      <c r="A2635" s="28" t="s">
        <v>67</v>
      </c>
      <c r="B2635" s="28" t="s">
        <v>496</v>
      </c>
      <c r="C2635" s="15">
        <v>12002</v>
      </c>
      <c r="D2635" s="1" t="s">
        <v>454</v>
      </c>
      <c r="E2635" s="1">
        <v>2172</v>
      </c>
      <c r="F2635" s="28">
        <v>226</v>
      </c>
      <c r="G2635" s="9">
        <v>207</v>
      </c>
      <c r="H2635" s="1" t="s">
        <v>3073</v>
      </c>
      <c r="I2635" s="1" t="s">
        <v>3073</v>
      </c>
      <c r="J2635" t="str">
        <f t="shared" si="41"/>
        <v>http://www.badatelna.eu/reprodukce/?fondId=1073&amp;zaznamId=1108958&amp;reproId=3779967</v>
      </c>
      <c r="K2635">
        <f>IF(LEN(TRIM(E2635))=0,"",VLOOKUP(E2635,Sheet2!$B$1:$E$19,2,FALSE))</f>
        <v>1073</v>
      </c>
      <c r="L2635">
        <f>IF(LEN(TRIM(E2635))=0,"",VLOOKUP(E2635,Sheet2!$B$1:$E$19,3,FALSE))</f>
        <v>1108958</v>
      </c>
      <c r="M2635">
        <f>IF(LEN(TRIM(E2635))=0,"",VLOOKUP(E2635,Sheet2!$B$1:$E$19,4,FALSE))+(F2635-1)</f>
        <v>3779967</v>
      </c>
    </row>
    <row r="2636" spans="1:13" s="1" customFormat="1" ht="15" customHeight="1" x14ac:dyDescent="0.25">
      <c r="A2636" s="28" t="s">
        <v>67</v>
      </c>
      <c r="B2636" s="28" t="s">
        <v>19</v>
      </c>
      <c r="C2636" s="6" t="s">
        <v>2852</v>
      </c>
      <c r="D2636" s="1" t="s">
        <v>454</v>
      </c>
      <c r="E2636" s="1">
        <v>2173</v>
      </c>
      <c r="F2636" s="28">
        <v>209</v>
      </c>
      <c r="G2636" s="9" t="s">
        <v>2758</v>
      </c>
      <c r="H2636" s="1" t="s">
        <v>3073</v>
      </c>
      <c r="I2636" s="1" t="s">
        <v>3073</v>
      </c>
      <c r="J2636" t="str">
        <f t="shared" si="41"/>
        <v>http://www.badatelna.eu/reprodukce/?fondId=1073&amp;zaznamId=1108959&amp;reproId=3780202</v>
      </c>
      <c r="K2636">
        <f>IF(LEN(TRIM(E2636))=0,"",VLOOKUP(E2636,Sheet2!$B$1:$E$19,2,FALSE))</f>
        <v>1073</v>
      </c>
      <c r="L2636">
        <f>IF(LEN(TRIM(E2636))=0,"",VLOOKUP(E2636,Sheet2!$B$1:$E$19,3,FALSE))</f>
        <v>1108959</v>
      </c>
      <c r="M2636">
        <f>IF(LEN(TRIM(E2636))=0,"",VLOOKUP(E2636,Sheet2!$B$1:$E$19,4,FALSE))+(F2636-1)</f>
        <v>3780202</v>
      </c>
    </row>
    <row r="2637" spans="1:13" s="1" customFormat="1" ht="15" customHeight="1" x14ac:dyDescent="0.25">
      <c r="A2637" s="29" t="s">
        <v>67</v>
      </c>
      <c r="B2637" s="28" t="s">
        <v>2823</v>
      </c>
      <c r="C2637" s="6" t="s">
        <v>2472</v>
      </c>
      <c r="D2637" s="1" t="s">
        <v>454</v>
      </c>
      <c r="E2637" s="1">
        <v>2173</v>
      </c>
      <c r="F2637" s="28">
        <v>204</v>
      </c>
      <c r="G2637" s="1">
        <v>17</v>
      </c>
      <c r="H2637" s="1" t="s">
        <v>3073</v>
      </c>
      <c r="I2637" s="1" t="s">
        <v>3073</v>
      </c>
      <c r="J2637" t="str">
        <f t="shared" si="41"/>
        <v>http://www.badatelna.eu/reprodukce/?fondId=1073&amp;zaznamId=1108959&amp;reproId=3780197</v>
      </c>
      <c r="K2637">
        <f>IF(LEN(TRIM(E2637))=0,"",VLOOKUP(E2637,Sheet2!$B$1:$E$19,2,FALSE))</f>
        <v>1073</v>
      </c>
      <c r="L2637">
        <f>IF(LEN(TRIM(E2637))=0,"",VLOOKUP(E2637,Sheet2!$B$1:$E$19,3,FALSE))</f>
        <v>1108959</v>
      </c>
      <c r="M2637">
        <f>IF(LEN(TRIM(E2637))=0,"",VLOOKUP(E2637,Sheet2!$B$1:$E$19,4,FALSE))+(F2637-1)</f>
        <v>3780197</v>
      </c>
    </row>
    <row r="2638" spans="1:13" s="1" customFormat="1" ht="15" customHeight="1" x14ac:dyDescent="0.25">
      <c r="A2638" s="28" t="s">
        <v>67</v>
      </c>
      <c r="B2638" s="28" t="s">
        <v>25</v>
      </c>
      <c r="C2638" s="6" t="s">
        <v>2526</v>
      </c>
      <c r="D2638" s="1" t="s">
        <v>454</v>
      </c>
      <c r="E2638" s="1">
        <v>2173</v>
      </c>
      <c r="F2638" s="28">
        <v>206</v>
      </c>
      <c r="G2638" s="1">
        <v>21</v>
      </c>
      <c r="H2638" s="1" t="s">
        <v>3073</v>
      </c>
      <c r="I2638" s="1" t="s">
        <v>3073</v>
      </c>
      <c r="J2638" t="str">
        <f t="shared" si="41"/>
        <v>http://www.badatelna.eu/reprodukce/?fondId=1073&amp;zaznamId=1108959&amp;reproId=3780199</v>
      </c>
      <c r="K2638">
        <f>IF(LEN(TRIM(E2638))=0,"",VLOOKUP(E2638,Sheet2!$B$1:$E$19,2,FALSE))</f>
        <v>1073</v>
      </c>
      <c r="L2638">
        <f>IF(LEN(TRIM(E2638))=0,"",VLOOKUP(E2638,Sheet2!$B$1:$E$19,3,FALSE))</f>
        <v>1108959</v>
      </c>
      <c r="M2638">
        <f>IF(LEN(TRIM(E2638))=0,"",VLOOKUP(E2638,Sheet2!$B$1:$E$19,4,FALSE))+(F2638-1)</f>
        <v>3780199</v>
      </c>
    </row>
    <row r="2639" spans="1:13" s="1" customFormat="1" ht="15" customHeight="1" x14ac:dyDescent="0.25">
      <c r="A2639" s="28" t="s">
        <v>67</v>
      </c>
      <c r="B2639" s="28" t="s">
        <v>25</v>
      </c>
      <c r="C2639" s="6" t="s">
        <v>2124</v>
      </c>
      <c r="D2639" s="1" t="s">
        <v>454</v>
      </c>
      <c r="E2639" s="1">
        <v>2173</v>
      </c>
      <c r="F2639" s="28">
        <v>178</v>
      </c>
      <c r="G2639" s="9">
        <v>3</v>
      </c>
      <c r="H2639" s="1">
        <v>193</v>
      </c>
      <c r="I2639" s="1">
        <v>429</v>
      </c>
      <c r="J2639" t="str">
        <f t="shared" si="41"/>
        <v>http://www.badatelna.eu/reprodukce/?fondId=1073&amp;zaznamId=1108959&amp;reproId=3780171</v>
      </c>
      <c r="K2639">
        <f>IF(LEN(TRIM(E2639))=0,"",VLOOKUP(E2639,Sheet2!$B$1:$E$19,2,FALSE))</f>
        <v>1073</v>
      </c>
      <c r="L2639">
        <f>IF(LEN(TRIM(E2639))=0,"",VLOOKUP(E2639,Sheet2!$B$1:$E$19,3,FALSE))</f>
        <v>1108959</v>
      </c>
      <c r="M2639">
        <f>IF(LEN(TRIM(E2639))=0,"",VLOOKUP(E2639,Sheet2!$B$1:$E$19,4,FALSE))+(F2639-1)</f>
        <v>3780171</v>
      </c>
    </row>
    <row r="2640" spans="1:13" s="1" customFormat="1" ht="15" customHeight="1" x14ac:dyDescent="0.25">
      <c r="A2640" s="28" t="s">
        <v>67</v>
      </c>
      <c r="B2640" s="28" t="s">
        <v>10</v>
      </c>
      <c r="C2640" s="6" t="s">
        <v>2508</v>
      </c>
      <c r="D2640" s="1" t="s">
        <v>454</v>
      </c>
      <c r="E2640" s="1">
        <v>2173</v>
      </c>
      <c r="F2640" s="28">
        <v>206</v>
      </c>
      <c r="G2640" s="1">
        <v>21</v>
      </c>
      <c r="H2640" s="1" t="s">
        <v>3073</v>
      </c>
      <c r="I2640" s="1" t="s">
        <v>3073</v>
      </c>
      <c r="J2640" t="str">
        <f t="shared" si="41"/>
        <v>http://www.badatelna.eu/reprodukce/?fondId=1073&amp;zaznamId=1108959&amp;reproId=3780199</v>
      </c>
      <c r="K2640">
        <f>IF(LEN(TRIM(E2640))=0,"",VLOOKUP(E2640,Sheet2!$B$1:$E$19,2,FALSE))</f>
        <v>1073</v>
      </c>
      <c r="L2640">
        <f>IF(LEN(TRIM(E2640))=0,"",VLOOKUP(E2640,Sheet2!$B$1:$E$19,3,FALSE))</f>
        <v>1108959</v>
      </c>
      <c r="M2640">
        <f>IF(LEN(TRIM(E2640))=0,"",VLOOKUP(E2640,Sheet2!$B$1:$E$19,4,FALSE))+(F2640-1)</f>
        <v>3780199</v>
      </c>
    </row>
    <row r="2641" spans="1:13" s="1" customFormat="1" ht="15" customHeight="1" x14ac:dyDescent="0.25">
      <c r="A2641" s="28" t="s">
        <v>67</v>
      </c>
      <c r="B2641" s="28" t="s">
        <v>10</v>
      </c>
      <c r="C2641" s="6" t="s">
        <v>2537</v>
      </c>
      <c r="D2641" s="1" t="s">
        <v>454</v>
      </c>
      <c r="E2641" s="1">
        <v>2173</v>
      </c>
      <c r="F2641" s="28">
        <v>207</v>
      </c>
      <c r="G2641" s="1">
        <v>24</v>
      </c>
      <c r="H2641" s="1" t="s">
        <v>3073</v>
      </c>
      <c r="I2641" s="1" t="s">
        <v>3073</v>
      </c>
      <c r="J2641" t="str">
        <f t="shared" si="41"/>
        <v>http://www.badatelna.eu/reprodukce/?fondId=1073&amp;zaznamId=1108959&amp;reproId=3780200</v>
      </c>
      <c r="K2641">
        <f>IF(LEN(TRIM(E2641))=0,"",VLOOKUP(E2641,Sheet2!$B$1:$E$19,2,FALSE))</f>
        <v>1073</v>
      </c>
      <c r="L2641">
        <f>IF(LEN(TRIM(E2641))=0,"",VLOOKUP(E2641,Sheet2!$B$1:$E$19,3,FALSE))</f>
        <v>1108959</v>
      </c>
      <c r="M2641">
        <f>IF(LEN(TRIM(E2641))=0,"",VLOOKUP(E2641,Sheet2!$B$1:$E$19,4,FALSE))+(F2641-1)</f>
        <v>3780200</v>
      </c>
    </row>
    <row r="2642" spans="1:13" s="1" customFormat="1" ht="15" customHeight="1" x14ac:dyDescent="0.25">
      <c r="A2642" s="28" t="s">
        <v>67</v>
      </c>
      <c r="B2642" s="28" t="s">
        <v>10</v>
      </c>
      <c r="C2642" s="6" t="s">
        <v>2333</v>
      </c>
      <c r="D2642" s="1" t="s">
        <v>454</v>
      </c>
      <c r="E2642" s="1">
        <v>2173</v>
      </c>
      <c r="F2642" s="31">
        <v>199</v>
      </c>
      <c r="G2642" s="9">
        <v>7</v>
      </c>
      <c r="H2642" s="1" t="s">
        <v>3073</v>
      </c>
      <c r="I2642" s="1" t="s">
        <v>3073</v>
      </c>
      <c r="J2642" t="str">
        <f t="shared" si="41"/>
        <v>http://www.badatelna.eu/reprodukce/?fondId=1073&amp;zaznamId=1108959&amp;reproId=3780192</v>
      </c>
      <c r="K2642">
        <f>IF(LEN(TRIM(E2642))=0,"",VLOOKUP(E2642,Sheet2!$B$1:$E$19,2,FALSE))</f>
        <v>1073</v>
      </c>
      <c r="L2642">
        <f>IF(LEN(TRIM(E2642))=0,"",VLOOKUP(E2642,Sheet2!$B$1:$E$19,3,FALSE))</f>
        <v>1108959</v>
      </c>
      <c r="M2642">
        <f>IF(LEN(TRIM(E2642))=0,"",VLOOKUP(E2642,Sheet2!$B$1:$E$19,4,FALSE))+(F2642-1)</f>
        <v>3780192</v>
      </c>
    </row>
    <row r="2643" spans="1:13" s="1" customFormat="1" ht="15" customHeight="1" x14ac:dyDescent="0.25">
      <c r="A2643" s="27" t="s">
        <v>67</v>
      </c>
      <c r="B2643" s="27" t="s">
        <v>631</v>
      </c>
      <c r="C2643" s="5" t="s">
        <v>1448</v>
      </c>
      <c r="D2643" s="3" t="s">
        <v>454</v>
      </c>
      <c r="E2643" s="3">
        <v>2170</v>
      </c>
      <c r="F2643" s="28">
        <v>42</v>
      </c>
      <c r="G2643" s="10">
        <v>38</v>
      </c>
      <c r="H2643" s="3">
        <v>71</v>
      </c>
      <c r="I2643" s="3">
        <v>67</v>
      </c>
      <c r="J2643" t="str">
        <f t="shared" si="41"/>
        <v>http://www.badatelna.eu/reprodukce/?fondId=1073&amp;zaznamId=1108956&amp;reproId=3779634</v>
      </c>
      <c r="K2643">
        <f>IF(LEN(TRIM(E2643))=0,"",VLOOKUP(E2643,Sheet2!$B$1:$E$19,2,FALSE))</f>
        <v>1073</v>
      </c>
      <c r="L2643">
        <f>IF(LEN(TRIM(E2643))=0,"",VLOOKUP(E2643,Sheet2!$B$1:$E$19,3,FALSE))</f>
        <v>1108956</v>
      </c>
      <c r="M2643">
        <f>IF(LEN(TRIM(E2643))=0,"",VLOOKUP(E2643,Sheet2!$B$1:$E$19,4,FALSE))+(F2643-1)</f>
        <v>3779634</v>
      </c>
    </row>
    <row r="2644" spans="1:13" s="1" customFormat="1" ht="15" customHeight="1" x14ac:dyDescent="0.25">
      <c r="A2644" s="28" t="s">
        <v>67</v>
      </c>
      <c r="B2644" s="28" t="s">
        <v>198</v>
      </c>
      <c r="C2644" s="6" t="s">
        <v>1808</v>
      </c>
      <c r="D2644" s="1" t="s">
        <v>454</v>
      </c>
      <c r="E2644" s="1">
        <v>2172</v>
      </c>
      <c r="F2644" s="28">
        <v>163</v>
      </c>
      <c r="G2644" s="9">
        <v>157</v>
      </c>
      <c r="H2644" s="1">
        <v>164</v>
      </c>
      <c r="I2644" s="1">
        <v>158</v>
      </c>
      <c r="J2644" t="str">
        <f t="shared" si="41"/>
        <v>http://www.badatelna.eu/reprodukce/?fondId=1073&amp;zaznamId=1108958&amp;reproId=3779904</v>
      </c>
      <c r="K2644">
        <f>IF(LEN(TRIM(E2644))=0,"",VLOOKUP(E2644,Sheet2!$B$1:$E$19,2,FALSE))</f>
        <v>1073</v>
      </c>
      <c r="L2644">
        <f>IF(LEN(TRIM(E2644))=0,"",VLOOKUP(E2644,Sheet2!$B$1:$E$19,3,FALSE))</f>
        <v>1108958</v>
      </c>
      <c r="M2644">
        <f>IF(LEN(TRIM(E2644))=0,"",VLOOKUP(E2644,Sheet2!$B$1:$E$19,4,FALSE))+(F2644-1)</f>
        <v>3779904</v>
      </c>
    </row>
    <row r="2645" spans="1:13" s="1" customFormat="1" ht="15" customHeight="1" x14ac:dyDescent="0.25">
      <c r="A2645" s="28" t="s">
        <v>67</v>
      </c>
      <c r="B2645" s="28" t="s">
        <v>198</v>
      </c>
      <c r="C2645" s="6" t="s">
        <v>1858</v>
      </c>
      <c r="D2645" s="1" t="s">
        <v>454</v>
      </c>
      <c r="E2645" s="1">
        <v>2172</v>
      </c>
      <c r="F2645" s="28">
        <v>184</v>
      </c>
      <c r="G2645" s="9">
        <v>175</v>
      </c>
      <c r="H2645" s="1" t="s">
        <v>3073</v>
      </c>
      <c r="I2645" s="1" t="s">
        <v>3073</v>
      </c>
      <c r="J2645" t="str">
        <f t="shared" si="41"/>
        <v>http://www.badatelna.eu/reprodukce/?fondId=1073&amp;zaznamId=1108958&amp;reproId=3779925</v>
      </c>
      <c r="K2645">
        <f>IF(LEN(TRIM(E2645))=0,"",VLOOKUP(E2645,Sheet2!$B$1:$E$19,2,FALSE))</f>
        <v>1073</v>
      </c>
      <c r="L2645">
        <f>IF(LEN(TRIM(E2645))=0,"",VLOOKUP(E2645,Sheet2!$B$1:$E$19,3,FALSE))</f>
        <v>1108958</v>
      </c>
      <c r="M2645">
        <f>IF(LEN(TRIM(E2645))=0,"",VLOOKUP(E2645,Sheet2!$B$1:$E$19,4,FALSE))+(F2645-1)</f>
        <v>3779925</v>
      </c>
    </row>
    <row r="2646" spans="1:13" s="1" customFormat="1" ht="15" customHeight="1" x14ac:dyDescent="0.25">
      <c r="A2646" s="28" t="s">
        <v>67</v>
      </c>
      <c r="B2646" s="28" t="s">
        <v>16</v>
      </c>
      <c r="C2646" s="6" t="s">
        <v>2551</v>
      </c>
      <c r="D2646" s="1" t="s">
        <v>454</v>
      </c>
      <c r="E2646" s="1">
        <v>2173</v>
      </c>
      <c r="F2646" s="28">
        <v>207</v>
      </c>
      <c r="G2646" s="1">
        <v>23</v>
      </c>
      <c r="H2646" s="1" t="s">
        <v>3073</v>
      </c>
      <c r="I2646" s="1" t="s">
        <v>3073</v>
      </c>
      <c r="J2646" t="str">
        <f t="shared" si="41"/>
        <v>http://www.badatelna.eu/reprodukce/?fondId=1073&amp;zaznamId=1108959&amp;reproId=3780200</v>
      </c>
      <c r="K2646">
        <f>IF(LEN(TRIM(E2646))=0,"",VLOOKUP(E2646,Sheet2!$B$1:$E$19,2,FALSE))</f>
        <v>1073</v>
      </c>
      <c r="L2646">
        <f>IF(LEN(TRIM(E2646))=0,"",VLOOKUP(E2646,Sheet2!$B$1:$E$19,3,FALSE))</f>
        <v>1108959</v>
      </c>
      <c r="M2646">
        <f>IF(LEN(TRIM(E2646))=0,"",VLOOKUP(E2646,Sheet2!$B$1:$E$19,4,FALSE))+(F2646-1)</f>
        <v>3780200</v>
      </c>
    </row>
    <row r="2647" spans="1:13" s="1" customFormat="1" ht="15" customHeight="1" x14ac:dyDescent="0.25">
      <c r="A2647" s="28" t="s">
        <v>67</v>
      </c>
      <c r="B2647" s="28" t="s">
        <v>49</v>
      </c>
      <c r="C2647" s="6" t="s">
        <v>2387</v>
      </c>
      <c r="D2647" s="1" t="s">
        <v>454</v>
      </c>
      <c r="E2647" s="1">
        <v>2173</v>
      </c>
      <c r="F2647" s="28">
        <v>201</v>
      </c>
      <c r="G2647" s="9">
        <v>12</v>
      </c>
      <c r="H2647" s="1" t="s">
        <v>3073</v>
      </c>
      <c r="I2647" s="1" t="s">
        <v>3073</v>
      </c>
      <c r="J2647" t="str">
        <f t="shared" si="41"/>
        <v>http://www.badatelna.eu/reprodukce/?fondId=1073&amp;zaznamId=1108959&amp;reproId=3780194</v>
      </c>
      <c r="K2647">
        <f>IF(LEN(TRIM(E2647))=0,"",VLOOKUP(E2647,Sheet2!$B$1:$E$19,2,FALSE))</f>
        <v>1073</v>
      </c>
      <c r="L2647">
        <f>IF(LEN(TRIM(E2647))=0,"",VLOOKUP(E2647,Sheet2!$B$1:$E$19,3,FALSE))</f>
        <v>1108959</v>
      </c>
      <c r="M2647">
        <f>IF(LEN(TRIM(E2647))=0,"",VLOOKUP(E2647,Sheet2!$B$1:$E$19,4,FALSE))+(F2647-1)</f>
        <v>3780194</v>
      </c>
    </row>
    <row r="2648" spans="1:13" s="1" customFormat="1" ht="15" customHeight="1" x14ac:dyDescent="0.25">
      <c r="A2648" s="28" t="s">
        <v>67</v>
      </c>
      <c r="B2648" s="28" t="s">
        <v>49</v>
      </c>
      <c r="C2648" s="6" t="s">
        <v>2358</v>
      </c>
      <c r="D2648" s="1" t="s">
        <v>454</v>
      </c>
      <c r="E2648" s="1">
        <v>2173</v>
      </c>
      <c r="F2648" s="28">
        <v>200</v>
      </c>
      <c r="G2648" s="9">
        <v>9</v>
      </c>
      <c r="H2648" s="1" t="s">
        <v>3073</v>
      </c>
      <c r="I2648" s="1" t="s">
        <v>3073</v>
      </c>
      <c r="J2648" t="str">
        <f t="shared" si="41"/>
        <v>http://www.badatelna.eu/reprodukce/?fondId=1073&amp;zaznamId=1108959&amp;reproId=3780193</v>
      </c>
      <c r="K2648">
        <f>IF(LEN(TRIM(E2648))=0,"",VLOOKUP(E2648,Sheet2!$B$1:$E$19,2,FALSE))</f>
        <v>1073</v>
      </c>
      <c r="L2648">
        <f>IF(LEN(TRIM(E2648))=0,"",VLOOKUP(E2648,Sheet2!$B$1:$E$19,3,FALSE))</f>
        <v>1108959</v>
      </c>
      <c r="M2648">
        <f>IF(LEN(TRIM(E2648))=0,"",VLOOKUP(E2648,Sheet2!$B$1:$E$19,4,FALSE))+(F2648-1)</f>
        <v>3780193</v>
      </c>
    </row>
    <row r="2649" spans="1:13" s="1" customFormat="1" ht="15" customHeight="1" x14ac:dyDescent="0.25">
      <c r="A2649" s="28" t="s">
        <v>67</v>
      </c>
      <c r="B2649" s="28" t="s">
        <v>586</v>
      </c>
      <c r="C2649" s="6" t="s">
        <v>1807</v>
      </c>
      <c r="D2649" s="1" t="s">
        <v>454</v>
      </c>
      <c r="E2649" s="1">
        <v>2172</v>
      </c>
      <c r="F2649" s="28">
        <v>163</v>
      </c>
      <c r="G2649" s="9">
        <v>157</v>
      </c>
      <c r="H2649" s="1">
        <v>164</v>
      </c>
      <c r="I2649" s="1">
        <v>158</v>
      </c>
      <c r="J2649" t="str">
        <f t="shared" si="41"/>
        <v>http://www.badatelna.eu/reprodukce/?fondId=1073&amp;zaznamId=1108958&amp;reproId=3779904</v>
      </c>
      <c r="K2649">
        <f>IF(LEN(TRIM(E2649))=0,"",VLOOKUP(E2649,Sheet2!$B$1:$E$19,2,FALSE))</f>
        <v>1073</v>
      </c>
      <c r="L2649">
        <f>IF(LEN(TRIM(E2649))=0,"",VLOOKUP(E2649,Sheet2!$B$1:$E$19,3,FALSE))</f>
        <v>1108958</v>
      </c>
      <c r="M2649">
        <f>IF(LEN(TRIM(E2649))=0,"",VLOOKUP(E2649,Sheet2!$B$1:$E$19,4,FALSE))+(F2649-1)</f>
        <v>3779904</v>
      </c>
    </row>
    <row r="2650" spans="1:13" s="1" customFormat="1" ht="15" customHeight="1" x14ac:dyDescent="0.25">
      <c r="A2650" s="28" t="s">
        <v>67</v>
      </c>
      <c r="B2650" s="28" t="s">
        <v>272</v>
      </c>
      <c r="C2650" s="1">
        <v>1887</v>
      </c>
      <c r="D2650" s="1" t="s">
        <v>454</v>
      </c>
      <c r="E2650" s="1">
        <v>2172</v>
      </c>
      <c r="F2650" s="28">
        <v>58</v>
      </c>
      <c r="G2650" s="9">
        <v>59</v>
      </c>
      <c r="H2650" s="1">
        <v>61</v>
      </c>
      <c r="I2650" s="1">
        <v>62</v>
      </c>
      <c r="J2650" t="str">
        <f t="shared" si="41"/>
        <v>http://www.badatelna.eu/reprodukce/?fondId=1073&amp;zaznamId=1108958&amp;reproId=3779799</v>
      </c>
      <c r="K2650">
        <f>IF(LEN(TRIM(E2650))=0,"",VLOOKUP(E2650,Sheet2!$B$1:$E$19,2,FALSE))</f>
        <v>1073</v>
      </c>
      <c r="L2650">
        <f>IF(LEN(TRIM(E2650))=0,"",VLOOKUP(E2650,Sheet2!$B$1:$E$19,3,FALSE))</f>
        <v>1108958</v>
      </c>
      <c r="M2650">
        <f>IF(LEN(TRIM(E2650))=0,"",VLOOKUP(E2650,Sheet2!$B$1:$E$19,4,FALSE))+(F2650-1)</f>
        <v>3779799</v>
      </c>
    </row>
    <row r="2651" spans="1:13" s="1" customFormat="1" ht="15" customHeight="1" x14ac:dyDescent="0.25">
      <c r="A2651" s="28" t="s">
        <v>67</v>
      </c>
      <c r="B2651" s="28" t="s">
        <v>490</v>
      </c>
      <c r="C2651" s="6" t="s">
        <v>1900</v>
      </c>
      <c r="D2651" s="1" t="s">
        <v>454</v>
      </c>
      <c r="E2651" s="1">
        <v>2172</v>
      </c>
      <c r="F2651" s="28">
        <v>204</v>
      </c>
      <c r="G2651" s="9">
        <v>190</v>
      </c>
      <c r="H2651" s="1" t="s">
        <v>3073</v>
      </c>
      <c r="I2651" s="1" t="s">
        <v>3073</v>
      </c>
      <c r="J2651" t="str">
        <f t="shared" si="41"/>
        <v>http://www.badatelna.eu/reprodukce/?fondId=1073&amp;zaznamId=1108958&amp;reproId=3779945</v>
      </c>
      <c r="K2651">
        <f>IF(LEN(TRIM(E2651))=0,"",VLOOKUP(E2651,Sheet2!$B$1:$E$19,2,FALSE))</f>
        <v>1073</v>
      </c>
      <c r="L2651">
        <f>IF(LEN(TRIM(E2651))=0,"",VLOOKUP(E2651,Sheet2!$B$1:$E$19,3,FALSE))</f>
        <v>1108958</v>
      </c>
      <c r="M2651">
        <f>IF(LEN(TRIM(E2651))=0,"",VLOOKUP(E2651,Sheet2!$B$1:$E$19,4,FALSE))+(F2651-1)</f>
        <v>3779945</v>
      </c>
    </row>
    <row r="2652" spans="1:13" s="1" customFormat="1" ht="15" customHeight="1" x14ac:dyDescent="0.25">
      <c r="A2652" s="27" t="s">
        <v>67</v>
      </c>
      <c r="B2652" s="27" t="s">
        <v>571</v>
      </c>
      <c r="C2652" s="5" t="s">
        <v>1446</v>
      </c>
      <c r="D2652" s="3" t="s">
        <v>454</v>
      </c>
      <c r="E2652" s="3">
        <v>2170</v>
      </c>
      <c r="F2652" s="28">
        <v>59</v>
      </c>
      <c r="G2652" s="10">
        <v>55</v>
      </c>
      <c r="H2652" s="3">
        <v>71</v>
      </c>
      <c r="I2652" s="3">
        <v>67</v>
      </c>
      <c r="J2652" t="str">
        <f t="shared" si="41"/>
        <v>http://www.badatelna.eu/reprodukce/?fondId=1073&amp;zaznamId=1108956&amp;reproId=3779651</v>
      </c>
      <c r="K2652">
        <f>IF(LEN(TRIM(E2652))=0,"",VLOOKUP(E2652,Sheet2!$B$1:$E$19,2,FALSE))</f>
        <v>1073</v>
      </c>
      <c r="L2652">
        <f>IF(LEN(TRIM(E2652))=0,"",VLOOKUP(E2652,Sheet2!$B$1:$E$19,3,FALSE))</f>
        <v>1108956</v>
      </c>
      <c r="M2652">
        <f>IF(LEN(TRIM(E2652))=0,"",VLOOKUP(E2652,Sheet2!$B$1:$E$19,4,FALSE))+(F2652-1)</f>
        <v>3779651</v>
      </c>
    </row>
    <row r="2653" spans="1:13" s="1" customFormat="1" ht="15" customHeight="1" x14ac:dyDescent="0.25">
      <c r="A2653" s="28" t="s">
        <v>67</v>
      </c>
      <c r="B2653" s="28" t="s">
        <v>28</v>
      </c>
      <c r="C2653" s="1">
        <v>1863</v>
      </c>
      <c r="D2653" s="1" t="s">
        <v>2919</v>
      </c>
      <c r="E2653" s="1">
        <v>999</v>
      </c>
      <c r="F2653" s="28">
        <v>82</v>
      </c>
      <c r="G2653" s="1">
        <v>3</v>
      </c>
      <c r="H2653" s="1">
        <v>109</v>
      </c>
      <c r="I2653" s="1">
        <v>169</v>
      </c>
      <c r="J2653" t="str">
        <f t="shared" si="41"/>
        <v>http://www.badatelna.eu/reprodukce/?fondId=241&amp;zaznamId=1133739&amp;reproId=3885811</v>
      </c>
      <c r="K2653">
        <f>IF(LEN(TRIM(E2653))=0,"",VLOOKUP(E2653,Sheet2!$B$1:$E$19,2,FALSE))</f>
        <v>241</v>
      </c>
      <c r="L2653">
        <f>IF(LEN(TRIM(E2653))=0,"",VLOOKUP(E2653,Sheet2!$B$1:$E$19,3,FALSE))</f>
        <v>1133739</v>
      </c>
      <c r="M2653">
        <f>IF(LEN(TRIM(E2653))=0,"",VLOOKUP(E2653,Sheet2!$B$1:$E$19,4,FALSE))+(F2653-1)</f>
        <v>3885811</v>
      </c>
    </row>
    <row r="2654" spans="1:13" s="1" customFormat="1" ht="15" customHeight="1" x14ac:dyDescent="0.25">
      <c r="A2654" s="27" t="s">
        <v>67</v>
      </c>
      <c r="B2654" s="27" t="s">
        <v>28</v>
      </c>
      <c r="C2654" s="5" t="s">
        <v>1443</v>
      </c>
      <c r="D2654" s="3" t="s">
        <v>454</v>
      </c>
      <c r="E2654" s="3">
        <v>2170</v>
      </c>
      <c r="F2654" s="28">
        <v>6</v>
      </c>
      <c r="G2654" s="10">
        <v>2</v>
      </c>
      <c r="H2654" s="3">
        <v>71</v>
      </c>
      <c r="I2654" s="3">
        <v>67</v>
      </c>
      <c r="J2654" t="str">
        <f t="shared" si="41"/>
        <v>http://www.badatelna.eu/reprodukce/?fondId=1073&amp;zaznamId=1108956&amp;reproId=3779598</v>
      </c>
      <c r="K2654">
        <f>IF(LEN(TRIM(E2654))=0,"",VLOOKUP(E2654,Sheet2!$B$1:$E$19,2,FALSE))</f>
        <v>1073</v>
      </c>
      <c r="L2654">
        <f>IF(LEN(TRIM(E2654))=0,"",VLOOKUP(E2654,Sheet2!$B$1:$E$19,3,FALSE))</f>
        <v>1108956</v>
      </c>
      <c r="M2654">
        <f>IF(LEN(TRIM(E2654))=0,"",VLOOKUP(E2654,Sheet2!$B$1:$E$19,4,FALSE))+(F2654-1)</f>
        <v>3779598</v>
      </c>
    </row>
    <row r="2655" spans="1:13" s="1" customFormat="1" ht="15" customHeight="1" x14ac:dyDescent="0.25">
      <c r="A2655" s="28" t="s">
        <v>67</v>
      </c>
      <c r="B2655" s="28" t="s">
        <v>39</v>
      </c>
      <c r="C2655" s="6" t="s">
        <v>2497</v>
      </c>
      <c r="D2655" s="1" t="s">
        <v>454</v>
      </c>
      <c r="E2655" s="1">
        <v>2173</v>
      </c>
      <c r="F2655" s="28">
        <v>205</v>
      </c>
      <c r="G2655" s="1">
        <v>19</v>
      </c>
      <c r="H2655" s="1" t="s">
        <v>3073</v>
      </c>
      <c r="I2655" s="1" t="s">
        <v>3073</v>
      </c>
      <c r="J2655" t="str">
        <f t="shared" si="41"/>
        <v>http://www.badatelna.eu/reprodukce/?fondId=1073&amp;zaznamId=1108959&amp;reproId=3780198</v>
      </c>
      <c r="K2655">
        <f>IF(LEN(TRIM(E2655))=0,"",VLOOKUP(E2655,Sheet2!$B$1:$E$19,2,FALSE))</f>
        <v>1073</v>
      </c>
      <c r="L2655">
        <f>IF(LEN(TRIM(E2655))=0,"",VLOOKUP(E2655,Sheet2!$B$1:$E$19,3,FALSE))</f>
        <v>1108959</v>
      </c>
      <c r="M2655">
        <f>IF(LEN(TRIM(E2655))=0,"",VLOOKUP(E2655,Sheet2!$B$1:$E$19,4,FALSE))+(F2655-1)</f>
        <v>3780198</v>
      </c>
    </row>
    <row r="2656" spans="1:13" s="1" customFormat="1" ht="15" customHeight="1" x14ac:dyDescent="0.25">
      <c r="A2656" s="28" t="s">
        <v>67</v>
      </c>
      <c r="B2656" s="28" t="s">
        <v>39</v>
      </c>
      <c r="C2656" s="6" t="s">
        <v>2650</v>
      </c>
      <c r="D2656" s="1" t="s">
        <v>454</v>
      </c>
      <c r="E2656" s="1">
        <v>2173</v>
      </c>
      <c r="F2656" s="28">
        <v>221</v>
      </c>
      <c r="G2656" s="9">
        <v>48</v>
      </c>
      <c r="H2656" s="1" t="s">
        <v>3073</v>
      </c>
      <c r="I2656" s="1" t="s">
        <v>3073</v>
      </c>
      <c r="J2656" t="str">
        <f t="shared" si="41"/>
        <v>http://www.badatelna.eu/reprodukce/?fondId=1073&amp;zaznamId=1108959&amp;reproId=3780214</v>
      </c>
      <c r="K2656">
        <f>IF(LEN(TRIM(E2656))=0,"",VLOOKUP(E2656,Sheet2!$B$1:$E$19,2,FALSE))</f>
        <v>1073</v>
      </c>
      <c r="L2656">
        <f>IF(LEN(TRIM(E2656))=0,"",VLOOKUP(E2656,Sheet2!$B$1:$E$19,3,FALSE))</f>
        <v>1108959</v>
      </c>
      <c r="M2656">
        <f>IF(LEN(TRIM(E2656))=0,"",VLOOKUP(E2656,Sheet2!$B$1:$E$19,4,FALSE))+(F2656-1)</f>
        <v>3780214</v>
      </c>
    </row>
    <row r="2657" spans="1:13" s="1" customFormat="1" ht="15" customHeight="1" x14ac:dyDescent="0.25">
      <c r="A2657" s="28" t="s">
        <v>67</v>
      </c>
      <c r="B2657" s="28" t="s">
        <v>39</v>
      </c>
      <c r="C2657" s="6" t="s">
        <v>2412</v>
      </c>
      <c r="D2657" s="1" t="s">
        <v>454</v>
      </c>
      <c r="E2657" s="1">
        <v>2173</v>
      </c>
      <c r="F2657" s="28">
        <v>202</v>
      </c>
      <c r="G2657" s="9">
        <v>13</v>
      </c>
      <c r="H2657" s="1" t="s">
        <v>3073</v>
      </c>
      <c r="I2657" s="1" t="s">
        <v>3073</v>
      </c>
      <c r="J2657" t="str">
        <f t="shared" si="41"/>
        <v>http://www.badatelna.eu/reprodukce/?fondId=1073&amp;zaznamId=1108959&amp;reproId=3780195</v>
      </c>
      <c r="K2657">
        <f>IF(LEN(TRIM(E2657))=0,"",VLOOKUP(E2657,Sheet2!$B$1:$E$19,2,FALSE))</f>
        <v>1073</v>
      </c>
      <c r="L2657">
        <f>IF(LEN(TRIM(E2657))=0,"",VLOOKUP(E2657,Sheet2!$B$1:$E$19,3,FALSE))</f>
        <v>1108959</v>
      </c>
      <c r="M2657">
        <f>IF(LEN(TRIM(E2657))=0,"",VLOOKUP(E2657,Sheet2!$B$1:$E$19,4,FALSE))+(F2657-1)</f>
        <v>3780195</v>
      </c>
    </row>
    <row r="2658" spans="1:13" s="1" customFormat="1" ht="15" customHeight="1" x14ac:dyDescent="0.25">
      <c r="A2658" s="28" t="s">
        <v>67</v>
      </c>
      <c r="B2658" s="28" t="s">
        <v>39</v>
      </c>
      <c r="C2658" s="6" t="s">
        <v>2437</v>
      </c>
      <c r="D2658" s="1" t="s">
        <v>454</v>
      </c>
      <c r="E2658" s="1">
        <v>2173</v>
      </c>
      <c r="F2658" s="28">
        <v>203</v>
      </c>
      <c r="G2658" s="1">
        <v>15</v>
      </c>
      <c r="H2658" s="1" t="s">
        <v>3073</v>
      </c>
      <c r="I2658" s="1" t="s">
        <v>3073</v>
      </c>
      <c r="J2658" t="str">
        <f t="shared" si="41"/>
        <v>http://www.badatelna.eu/reprodukce/?fondId=1073&amp;zaznamId=1108959&amp;reproId=3780196</v>
      </c>
      <c r="K2658">
        <f>IF(LEN(TRIM(E2658))=0,"",VLOOKUP(E2658,Sheet2!$B$1:$E$19,2,FALSE))</f>
        <v>1073</v>
      </c>
      <c r="L2658">
        <f>IF(LEN(TRIM(E2658))=0,"",VLOOKUP(E2658,Sheet2!$B$1:$E$19,3,FALSE))</f>
        <v>1108959</v>
      </c>
      <c r="M2658">
        <f>IF(LEN(TRIM(E2658))=0,"",VLOOKUP(E2658,Sheet2!$B$1:$E$19,4,FALSE))+(F2658-1)</f>
        <v>3780196</v>
      </c>
    </row>
    <row r="2659" spans="1:13" s="1" customFormat="1" ht="15" customHeight="1" x14ac:dyDescent="0.25">
      <c r="A2659" s="28" t="s">
        <v>67</v>
      </c>
      <c r="B2659" s="28" t="s">
        <v>22</v>
      </c>
      <c r="C2659" s="6" t="s">
        <v>2525</v>
      </c>
      <c r="D2659" s="1" t="s">
        <v>454</v>
      </c>
      <c r="E2659" s="1">
        <v>2173</v>
      </c>
      <c r="F2659" s="28">
        <v>206</v>
      </c>
      <c r="G2659" s="1">
        <v>21</v>
      </c>
      <c r="H2659" s="1" t="s">
        <v>3073</v>
      </c>
      <c r="I2659" s="1" t="s">
        <v>3073</v>
      </c>
      <c r="J2659" t="str">
        <f t="shared" si="41"/>
        <v>http://www.badatelna.eu/reprodukce/?fondId=1073&amp;zaznamId=1108959&amp;reproId=3780199</v>
      </c>
      <c r="K2659">
        <f>IF(LEN(TRIM(E2659))=0,"",VLOOKUP(E2659,Sheet2!$B$1:$E$19,2,FALSE))</f>
        <v>1073</v>
      </c>
      <c r="L2659">
        <f>IF(LEN(TRIM(E2659))=0,"",VLOOKUP(E2659,Sheet2!$B$1:$E$19,3,FALSE))</f>
        <v>1108959</v>
      </c>
      <c r="M2659">
        <f>IF(LEN(TRIM(E2659))=0,"",VLOOKUP(E2659,Sheet2!$B$1:$E$19,4,FALSE))+(F2659-1)</f>
        <v>3780199</v>
      </c>
    </row>
    <row r="2660" spans="1:13" s="1" customFormat="1" ht="15" customHeight="1" x14ac:dyDescent="0.25">
      <c r="A2660" s="27" t="s">
        <v>67</v>
      </c>
      <c r="B2660" s="27" t="s">
        <v>22</v>
      </c>
      <c r="C2660" s="5" t="s">
        <v>1447</v>
      </c>
      <c r="D2660" s="3" t="s">
        <v>454</v>
      </c>
      <c r="E2660" s="3">
        <v>2170</v>
      </c>
      <c r="F2660" s="28">
        <v>25</v>
      </c>
      <c r="G2660" s="10">
        <v>21</v>
      </c>
      <c r="H2660" s="3">
        <v>71</v>
      </c>
      <c r="I2660" s="3">
        <v>67</v>
      </c>
      <c r="J2660" t="str">
        <f t="shared" si="41"/>
        <v>http://www.badatelna.eu/reprodukce/?fondId=1073&amp;zaznamId=1108956&amp;reproId=3779617</v>
      </c>
      <c r="K2660">
        <f>IF(LEN(TRIM(E2660))=0,"",VLOOKUP(E2660,Sheet2!$B$1:$E$19,2,FALSE))</f>
        <v>1073</v>
      </c>
      <c r="L2660">
        <f>IF(LEN(TRIM(E2660))=0,"",VLOOKUP(E2660,Sheet2!$B$1:$E$19,3,FALSE))</f>
        <v>1108956</v>
      </c>
      <c r="M2660">
        <f>IF(LEN(TRIM(E2660))=0,"",VLOOKUP(E2660,Sheet2!$B$1:$E$19,4,FALSE))+(F2660-1)</f>
        <v>3779617</v>
      </c>
    </row>
    <row r="2661" spans="1:13" s="1" customFormat="1" ht="15" customHeight="1" x14ac:dyDescent="0.25">
      <c r="A2661" s="29" t="s">
        <v>67</v>
      </c>
      <c r="B2661" s="28" t="s">
        <v>135</v>
      </c>
      <c r="C2661" s="6" t="s">
        <v>2334</v>
      </c>
      <c r="D2661" s="1" t="s">
        <v>454</v>
      </c>
      <c r="E2661" s="1">
        <v>2173</v>
      </c>
      <c r="F2661" s="28">
        <v>200</v>
      </c>
      <c r="G2661" s="9">
        <v>10</v>
      </c>
      <c r="H2661" s="1" t="s">
        <v>3073</v>
      </c>
      <c r="I2661" s="1" t="s">
        <v>3073</v>
      </c>
      <c r="J2661" t="str">
        <f t="shared" si="41"/>
        <v>http://www.badatelna.eu/reprodukce/?fondId=1073&amp;zaznamId=1108959&amp;reproId=3780193</v>
      </c>
      <c r="K2661">
        <f>IF(LEN(TRIM(E2661))=0,"",VLOOKUP(E2661,Sheet2!$B$1:$E$19,2,FALSE))</f>
        <v>1073</v>
      </c>
      <c r="L2661">
        <f>IF(LEN(TRIM(E2661))=0,"",VLOOKUP(E2661,Sheet2!$B$1:$E$19,3,FALSE))</f>
        <v>1108959</v>
      </c>
      <c r="M2661">
        <f>IF(LEN(TRIM(E2661))=0,"",VLOOKUP(E2661,Sheet2!$B$1:$E$19,4,FALSE))+(F2661-1)</f>
        <v>3780193</v>
      </c>
    </row>
    <row r="2662" spans="1:13" s="1" customFormat="1" ht="15" customHeight="1" x14ac:dyDescent="0.25">
      <c r="A2662" s="28" t="s">
        <v>67</v>
      </c>
      <c r="B2662" s="28" t="s">
        <v>48</v>
      </c>
      <c r="C2662" s="6" t="s">
        <v>2621</v>
      </c>
      <c r="D2662" s="1" t="s">
        <v>454</v>
      </c>
      <c r="E2662" s="1">
        <v>2173</v>
      </c>
      <c r="F2662" s="28">
        <v>219</v>
      </c>
      <c r="G2662" s="9">
        <v>46</v>
      </c>
      <c r="H2662" s="1" t="s">
        <v>3073</v>
      </c>
      <c r="I2662" s="1" t="s">
        <v>3073</v>
      </c>
      <c r="J2662" t="str">
        <f t="shared" si="41"/>
        <v>http://www.badatelna.eu/reprodukce/?fondId=1073&amp;zaznamId=1108959&amp;reproId=3780212</v>
      </c>
      <c r="K2662">
        <f>IF(LEN(TRIM(E2662))=0,"",VLOOKUP(E2662,Sheet2!$B$1:$E$19,2,FALSE))</f>
        <v>1073</v>
      </c>
      <c r="L2662">
        <f>IF(LEN(TRIM(E2662))=0,"",VLOOKUP(E2662,Sheet2!$B$1:$E$19,3,FALSE))</f>
        <v>1108959</v>
      </c>
      <c r="M2662">
        <f>IF(LEN(TRIM(E2662))=0,"",VLOOKUP(E2662,Sheet2!$B$1:$E$19,4,FALSE))+(F2662-1)</f>
        <v>3780212</v>
      </c>
    </row>
    <row r="2663" spans="1:13" s="1" customFormat="1" ht="15" customHeight="1" x14ac:dyDescent="0.25">
      <c r="A2663" s="28" t="s">
        <v>67</v>
      </c>
      <c r="B2663" s="28" t="s">
        <v>283</v>
      </c>
      <c r="C2663" s="6" t="s">
        <v>2894</v>
      </c>
      <c r="D2663" s="1" t="s">
        <v>454</v>
      </c>
      <c r="E2663" s="1">
        <v>2173</v>
      </c>
      <c r="F2663" s="28">
        <v>211</v>
      </c>
      <c r="G2663" s="9" t="s">
        <v>2760</v>
      </c>
      <c r="H2663" s="1" t="s">
        <v>3073</v>
      </c>
      <c r="I2663" s="1" t="s">
        <v>3073</v>
      </c>
      <c r="J2663" t="str">
        <f t="shared" si="41"/>
        <v>http://www.badatelna.eu/reprodukce/?fondId=1073&amp;zaznamId=1108959&amp;reproId=3780204</v>
      </c>
      <c r="K2663">
        <f>IF(LEN(TRIM(E2663))=0,"",VLOOKUP(E2663,Sheet2!$B$1:$E$19,2,FALSE))</f>
        <v>1073</v>
      </c>
      <c r="L2663">
        <f>IF(LEN(TRIM(E2663))=0,"",VLOOKUP(E2663,Sheet2!$B$1:$E$19,3,FALSE))</f>
        <v>1108959</v>
      </c>
      <c r="M2663">
        <f>IF(LEN(TRIM(E2663))=0,"",VLOOKUP(E2663,Sheet2!$B$1:$E$19,4,FALSE))+(F2663-1)</f>
        <v>3780204</v>
      </c>
    </row>
    <row r="2664" spans="1:13" s="1" customFormat="1" ht="15" customHeight="1" x14ac:dyDescent="0.25">
      <c r="A2664" s="28" t="s">
        <v>67</v>
      </c>
      <c r="B2664" s="28" t="s">
        <v>259</v>
      </c>
      <c r="C2664" s="6" t="s">
        <v>2199</v>
      </c>
      <c r="D2664" s="1" t="s">
        <v>454</v>
      </c>
      <c r="E2664" s="1">
        <v>2173</v>
      </c>
      <c r="F2664" s="28">
        <v>178</v>
      </c>
      <c r="G2664" s="9">
        <v>2</v>
      </c>
      <c r="H2664" s="1">
        <v>193</v>
      </c>
      <c r="I2664" s="1">
        <v>429</v>
      </c>
      <c r="J2664" t="str">
        <f t="shared" si="41"/>
        <v>http://www.badatelna.eu/reprodukce/?fondId=1073&amp;zaznamId=1108959&amp;reproId=3780171</v>
      </c>
      <c r="K2664">
        <f>IF(LEN(TRIM(E2664))=0,"",VLOOKUP(E2664,Sheet2!$B$1:$E$19,2,FALSE))</f>
        <v>1073</v>
      </c>
      <c r="L2664">
        <f>IF(LEN(TRIM(E2664))=0,"",VLOOKUP(E2664,Sheet2!$B$1:$E$19,3,FALSE))</f>
        <v>1108959</v>
      </c>
      <c r="M2664">
        <f>IF(LEN(TRIM(E2664))=0,"",VLOOKUP(E2664,Sheet2!$B$1:$E$19,4,FALSE))+(F2664-1)</f>
        <v>3780171</v>
      </c>
    </row>
    <row r="2665" spans="1:13" s="1" customFormat="1" ht="15" customHeight="1" x14ac:dyDescent="0.25">
      <c r="A2665" s="28" t="s">
        <v>67</v>
      </c>
      <c r="B2665" s="28" t="s">
        <v>1</v>
      </c>
      <c r="C2665" s="6" t="s">
        <v>2196</v>
      </c>
      <c r="D2665" s="1" t="s">
        <v>454</v>
      </c>
      <c r="E2665" s="1">
        <v>2173</v>
      </c>
      <c r="F2665" s="28">
        <v>182</v>
      </c>
      <c r="G2665" s="9">
        <v>11</v>
      </c>
      <c r="H2665" s="1">
        <v>193</v>
      </c>
      <c r="I2665" s="1">
        <v>429</v>
      </c>
      <c r="J2665" t="str">
        <f t="shared" si="41"/>
        <v>http://www.badatelna.eu/reprodukce/?fondId=1073&amp;zaznamId=1108959&amp;reproId=3780175</v>
      </c>
      <c r="K2665">
        <f>IF(LEN(TRIM(E2665))=0,"",VLOOKUP(E2665,Sheet2!$B$1:$E$19,2,FALSE))</f>
        <v>1073</v>
      </c>
      <c r="L2665">
        <f>IF(LEN(TRIM(E2665))=0,"",VLOOKUP(E2665,Sheet2!$B$1:$E$19,3,FALSE))</f>
        <v>1108959</v>
      </c>
      <c r="M2665">
        <f>IF(LEN(TRIM(E2665))=0,"",VLOOKUP(E2665,Sheet2!$B$1:$E$19,4,FALSE))+(F2665-1)</f>
        <v>3780175</v>
      </c>
    </row>
    <row r="2666" spans="1:13" s="1" customFormat="1" ht="15" customHeight="1" x14ac:dyDescent="0.25">
      <c r="A2666" s="28" t="s">
        <v>67</v>
      </c>
      <c r="B2666" s="28" t="s">
        <v>247</v>
      </c>
      <c r="C2666" s="6" t="s">
        <v>2200</v>
      </c>
      <c r="D2666" s="1" t="s">
        <v>454</v>
      </c>
      <c r="E2666" s="1">
        <v>2173</v>
      </c>
      <c r="F2666" s="28">
        <v>178</v>
      </c>
      <c r="G2666" s="9">
        <v>3</v>
      </c>
      <c r="H2666" s="1">
        <v>193</v>
      </c>
      <c r="I2666" s="1">
        <v>429</v>
      </c>
      <c r="J2666" t="str">
        <f t="shared" si="41"/>
        <v>http://www.badatelna.eu/reprodukce/?fondId=1073&amp;zaznamId=1108959&amp;reproId=3780171</v>
      </c>
      <c r="K2666">
        <f>IF(LEN(TRIM(E2666))=0,"",VLOOKUP(E2666,Sheet2!$B$1:$E$19,2,FALSE))</f>
        <v>1073</v>
      </c>
      <c r="L2666">
        <f>IF(LEN(TRIM(E2666))=0,"",VLOOKUP(E2666,Sheet2!$B$1:$E$19,3,FALSE))</f>
        <v>1108959</v>
      </c>
      <c r="M2666">
        <f>IF(LEN(TRIM(E2666))=0,"",VLOOKUP(E2666,Sheet2!$B$1:$E$19,4,FALSE))+(F2666-1)</f>
        <v>3780171</v>
      </c>
    </row>
    <row r="2667" spans="1:13" s="1" customFormat="1" ht="15" customHeight="1" x14ac:dyDescent="0.25">
      <c r="A2667" s="28" t="s">
        <v>67</v>
      </c>
      <c r="B2667" s="28" t="s">
        <v>143</v>
      </c>
      <c r="C2667" s="6" t="s">
        <v>2582</v>
      </c>
      <c r="D2667" s="1" t="s">
        <v>454</v>
      </c>
      <c r="E2667" s="1">
        <v>2173</v>
      </c>
      <c r="F2667" s="28">
        <v>214</v>
      </c>
      <c r="G2667" s="9">
        <v>38</v>
      </c>
      <c r="H2667" s="1" t="s">
        <v>3073</v>
      </c>
      <c r="I2667" s="1" t="s">
        <v>3073</v>
      </c>
      <c r="J2667" t="str">
        <f t="shared" si="41"/>
        <v>http://www.badatelna.eu/reprodukce/?fondId=1073&amp;zaznamId=1108959&amp;reproId=3780207</v>
      </c>
      <c r="K2667">
        <f>IF(LEN(TRIM(E2667))=0,"",VLOOKUP(E2667,Sheet2!$B$1:$E$19,2,FALSE))</f>
        <v>1073</v>
      </c>
      <c r="L2667">
        <f>IF(LEN(TRIM(E2667))=0,"",VLOOKUP(E2667,Sheet2!$B$1:$E$19,3,FALSE))</f>
        <v>1108959</v>
      </c>
      <c r="M2667">
        <f>IF(LEN(TRIM(E2667))=0,"",VLOOKUP(E2667,Sheet2!$B$1:$E$19,4,FALSE))+(F2667-1)</f>
        <v>3780207</v>
      </c>
    </row>
    <row r="2668" spans="1:13" s="1" customFormat="1" ht="15" customHeight="1" x14ac:dyDescent="0.25">
      <c r="A2668" s="28" t="s">
        <v>67</v>
      </c>
      <c r="B2668" s="28" t="s">
        <v>143</v>
      </c>
      <c r="C2668" s="6" t="s">
        <v>2602</v>
      </c>
      <c r="D2668" s="1" t="s">
        <v>454</v>
      </c>
      <c r="E2668" s="1">
        <v>2173</v>
      </c>
      <c r="F2668" s="28">
        <v>217</v>
      </c>
      <c r="G2668" s="9">
        <v>43</v>
      </c>
      <c r="H2668" s="1" t="s">
        <v>3073</v>
      </c>
      <c r="I2668" s="1" t="s">
        <v>3073</v>
      </c>
      <c r="J2668" t="str">
        <f t="shared" si="41"/>
        <v>http://www.badatelna.eu/reprodukce/?fondId=1073&amp;zaznamId=1108959&amp;reproId=3780210</v>
      </c>
      <c r="K2668">
        <f>IF(LEN(TRIM(E2668))=0,"",VLOOKUP(E2668,Sheet2!$B$1:$E$19,2,FALSE))</f>
        <v>1073</v>
      </c>
      <c r="L2668">
        <f>IF(LEN(TRIM(E2668))=0,"",VLOOKUP(E2668,Sheet2!$B$1:$E$19,3,FALSE))</f>
        <v>1108959</v>
      </c>
      <c r="M2668">
        <f>IF(LEN(TRIM(E2668))=0,"",VLOOKUP(E2668,Sheet2!$B$1:$E$19,4,FALSE))+(F2668-1)</f>
        <v>3780210</v>
      </c>
    </row>
    <row r="2669" spans="1:13" s="1" customFormat="1" ht="15" customHeight="1" x14ac:dyDescent="0.25">
      <c r="A2669" s="28" t="s">
        <v>67</v>
      </c>
      <c r="B2669" s="28" t="s">
        <v>395</v>
      </c>
      <c r="C2669" s="6" t="s">
        <v>2585</v>
      </c>
      <c r="D2669" s="1" t="s">
        <v>454</v>
      </c>
      <c r="E2669" s="1">
        <v>2173</v>
      </c>
      <c r="F2669" s="28">
        <v>215</v>
      </c>
      <c r="G2669" s="9">
        <v>40</v>
      </c>
      <c r="H2669" s="1" t="s">
        <v>3073</v>
      </c>
      <c r="I2669" s="1" t="s">
        <v>3073</v>
      </c>
      <c r="J2669" t="str">
        <f t="shared" si="41"/>
        <v>http://www.badatelna.eu/reprodukce/?fondId=1073&amp;zaznamId=1108959&amp;reproId=3780208</v>
      </c>
      <c r="K2669">
        <f>IF(LEN(TRIM(E2669))=0,"",VLOOKUP(E2669,Sheet2!$B$1:$E$19,2,FALSE))</f>
        <v>1073</v>
      </c>
      <c r="L2669">
        <f>IF(LEN(TRIM(E2669))=0,"",VLOOKUP(E2669,Sheet2!$B$1:$E$19,3,FALSE))</f>
        <v>1108959</v>
      </c>
      <c r="M2669">
        <f>IF(LEN(TRIM(E2669))=0,"",VLOOKUP(E2669,Sheet2!$B$1:$E$19,4,FALSE))+(F2669-1)</f>
        <v>3780208</v>
      </c>
    </row>
    <row r="2670" spans="1:13" s="1" customFormat="1" ht="15" customHeight="1" x14ac:dyDescent="0.25">
      <c r="A2670" s="28" t="s">
        <v>67</v>
      </c>
      <c r="B2670" s="28" t="s">
        <v>372</v>
      </c>
      <c r="C2670" s="6" t="s">
        <v>2198</v>
      </c>
      <c r="D2670" s="1" t="s">
        <v>454</v>
      </c>
      <c r="E2670" s="1">
        <v>2173</v>
      </c>
      <c r="F2670" s="28">
        <v>178</v>
      </c>
      <c r="G2670" s="9">
        <v>2</v>
      </c>
      <c r="H2670" s="1">
        <v>193</v>
      </c>
      <c r="I2670" s="1">
        <v>429</v>
      </c>
      <c r="J2670" t="str">
        <f t="shared" si="41"/>
        <v>http://www.badatelna.eu/reprodukce/?fondId=1073&amp;zaznamId=1108959&amp;reproId=3780171</v>
      </c>
      <c r="K2670">
        <f>IF(LEN(TRIM(E2670))=0,"",VLOOKUP(E2670,Sheet2!$B$1:$E$19,2,FALSE))</f>
        <v>1073</v>
      </c>
      <c r="L2670">
        <f>IF(LEN(TRIM(E2670))=0,"",VLOOKUP(E2670,Sheet2!$B$1:$E$19,3,FALSE))</f>
        <v>1108959</v>
      </c>
      <c r="M2670">
        <f>IF(LEN(TRIM(E2670))=0,"",VLOOKUP(E2670,Sheet2!$B$1:$E$19,4,FALSE))+(F2670-1)</f>
        <v>3780171</v>
      </c>
    </row>
    <row r="2671" spans="1:13" s="1" customFormat="1" ht="15" customHeight="1" x14ac:dyDescent="0.25">
      <c r="A2671" s="28" t="s">
        <v>67</v>
      </c>
      <c r="B2671" s="28" t="s">
        <v>374</v>
      </c>
      <c r="C2671" s="6" t="s">
        <v>2197</v>
      </c>
      <c r="D2671" s="1" t="s">
        <v>454</v>
      </c>
      <c r="E2671" s="1">
        <v>2173</v>
      </c>
      <c r="F2671" s="28">
        <v>181</v>
      </c>
      <c r="G2671" s="9">
        <v>9</v>
      </c>
      <c r="H2671" s="1">
        <v>193</v>
      </c>
      <c r="I2671" s="1">
        <v>429</v>
      </c>
      <c r="J2671" t="str">
        <f t="shared" si="41"/>
        <v>http://www.badatelna.eu/reprodukce/?fondId=1073&amp;zaznamId=1108959&amp;reproId=3780174</v>
      </c>
      <c r="K2671">
        <f>IF(LEN(TRIM(E2671))=0,"",VLOOKUP(E2671,Sheet2!$B$1:$E$19,2,FALSE))</f>
        <v>1073</v>
      </c>
      <c r="L2671">
        <f>IF(LEN(TRIM(E2671))=0,"",VLOOKUP(E2671,Sheet2!$B$1:$E$19,3,FALSE))</f>
        <v>1108959</v>
      </c>
      <c r="M2671">
        <f>IF(LEN(TRIM(E2671))=0,"",VLOOKUP(E2671,Sheet2!$B$1:$E$19,4,FALSE))+(F2671-1)</f>
        <v>3780174</v>
      </c>
    </row>
    <row r="2672" spans="1:13" s="1" customFormat="1" ht="15" customHeight="1" x14ac:dyDescent="0.25">
      <c r="A2672" s="28" t="s">
        <v>67</v>
      </c>
      <c r="B2672" s="28" t="s">
        <v>500</v>
      </c>
      <c r="C2672" s="6" t="s">
        <v>1758</v>
      </c>
      <c r="D2672" s="1" t="s">
        <v>454</v>
      </c>
      <c r="E2672" s="1">
        <v>2172</v>
      </c>
      <c r="F2672" s="28">
        <v>136</v>
      </c>
      <c r="G2672" s="9" t="s">
        <v>3085</v>
      </c>
      <c r="H2672" s="1">
        <v>138</v>
      </c>
      <c r="I2672" s="1">
        <v>136</v>
      </c>
      <c r="J2672" t="str">
        <f t="shared" si="41"/>
        <v>http://www.badatelna.eu/reprodukce/?fondId=1073&amp;zaznamId=1108958&amp;reproId=3779877</v>
      </c>
      <c r="K2672">
        <f>IF(LEN(TRIM(E2672))=0,"",VLOOKUP(E2672,Sheet2!$B$1:$E$19,2,FALSE))</f>
        <v>1073</v>
      </c>
      <c r="L2672">
        <f>IF(LEN(TRIM(E2672))=0,"",VLOOKUP(E2672,Sheet2!$B$1:$E$19,3,FALSE))</f>
        <v>1108958</v>
      </c>
      <c r="M2672">
        <f>IF(LEN(TRIM(E2672))=0,"",VLOOKUP(E2672,Sheet2!$B$1:$E$19,4,FALSE))+(F2672-1)</f>
        <v>3779877</v>
      </c>
    </row>
    <row r="2673" spans="1:13" s="1" customFormat="1" ht="15" customHeight="1" x14ac:dyDescent="0.25">
      <c r="A2673" s="28" t="s">
        <v>67</v>
      </c>
      <c r="B2673" s="28" t="s">
        <v>82</v>
      </c>
      <c r="C2673" s="1">
        <v>1866</v>
      </c>
      <c r="D2673" s="1" t="s">
        <v>2919</v>
      </c>
      <c r="E2673" s="1">
        <v>999</v>
      </c>
      <c r="F2673" s="28">
        <v>92</v>
      </c>
      <c r="G2673" s="1">
        <v>13</v>
      </c>
      <c r="H2673" s="1">
        <v>109</v>
      </c>
      <c r="I2673" s="1">
        <v>169</v>
      </c>
      <c r="J2673" t="str">
        <f t="shared" si="41"/>
        <v>http://www.badatelna.eu/reprodukce/?fondId=241&amp;zaznamId=1133739&amp;reproId=3885821</v>
      </c>
      <c r="K2673">
        <f>IF(LEN(TRIM(E2673))=0,"",VLOOKUP(E2673,Sheet2!$B$1:$E$19,2,FALSE))</f>
        <v>241</v>
      </c>
      <c r="L2673">
        <f>IF(LEN(TRIM(E2673))=0,"",VLOOKUP(E2673,Sheet2!$B$1:$E$19,3,FALSE))</f>
        <v>1133739</v>
      </c>
      <c r="M2673">
        <f>IF(LEN(TRIM(E2673))=0,"",VLOOKUP(E2673,Sheet2!$B$1:$E$19,4,FALSE))+(F2673-1)</f>
        <v>3885821</v>
      </c>
    </row>
    <row r="2674" spans="1:13" s="1" customFormat="1" ht="15" customHeight="1" x14ac:dyDescent="0.25">
      <c r="A2674" s="28" t="s">
        <v>67</v>
      </c>
      <c r="B2674" s="28" t="s">
        <v>82</v>
      </c>
      <c r="C2674" s="6" t="s">
        <v>2550</v>
      </c>
      <c r="D2674" s="1" t="s">
        <v>454</v>
      </c>
      <c r="E2674" s="1">
        <v>2173</v>
      </c>
      <c r="F2674" s="28">
        <v>207</v>
      </c>
      <c r="G2674" s="1">
        <v>24</v>
      </c>
      <c r="H2674" s="1" t="s">
        <v>3073</v>
      </c>
      <c r="I2674" s="1" t="s">
        <v>3073</v>
      </c>
      <c r="J2674" t="str">
        <f t="shared" si="41"/>
        <v>http://www.badatelna.eu/reprodukce/?fondId=1073&amp;zaznamId=1108959&amp;reproId=3780200</v>
      </c>
      <c r="K2674">
        <f>IF(LEN(TRIM(E2674))=0,"",VLOOKUP(E2674,Sheet2!$B$1:$E$19,2,FALSE))</f>
        <v>1073</v>
      </c>
      <c r="L2674">
        <f>IF(LEN(TRIM(E2674))=0,"",VLOOKUP(E2674,Sheet2!$B$1:$E$19,3,FALSE))</f>
        <v>1108959</v>
      </c>
      <c r="M2674">
        <f>IF(LEN(TRIM(E2674))=0,"",VLOOKUP(E2674,Sheet2!$B$1:$E$19,4,FALSE))+(F2674-1)</f>
        <v>3780200</v>
      </c>
    </row>
    <row r="2675" spans="1:13" s="1" customFormat="1" ht="15" customHeight="1" x14ac:dyDescent="0.2">
      <c r="A2675" s="31" t="s">
        <v>67</v>
      </c>
      <c r="B2675" s="31" t="s">
        <v>68</v>
      </c>
      <c r="C2675" s="7" t="s">
        <v>2279</v>
      </c>
      <c r="D2675" s="1" t="s">
        <v>454</v>
      </c>
      <c r="E2675" s="1">
        <v>2173</v>
      </c>
      <c r="F2675" s="31">
        <v>197</v>
      </c>
      <c r="G2675" s="12">
        <v>3</v>
      </c>
      <c r="H2675" s="1" t="s">
        <v>3073</v>
      </c>
      <c r="I2675" s="1" t="s">
        <v>3073</v>
      </c>
      <c r="J2675" t="str">
        <f t="shared" si="41"/>
        <v>http://www.badatelna.eu/reprodukce/?fondId=1073&amp;zaznamId=1108959&amp;reproId=3780190</v>
      </c>
      <c r="K2675">
        <f>IF(LEN(TRIM(E2675))=0,"",VLOOKUP(E2675,Sheet2!$B$1:$E$19,2,FALSE))</f>
        <v>1073</v>
      </c>
      <c r="L2675">
        <f>IF(LEN(TRIM(E2675))=0,"",VLOOKUP(E2675,Sheet2!$B$1:$E$19,3,FALSE))</f>
        <v>1108959</v>
      </c>
      <c r="M2675">
        <f>IF(LEN(TRIM(E2675))=0,"",VLOOKUP(E2675,Sheet2!$B$1:$E$19,4,FALSE))+(F2675-1)</f>
        <v>3780190</v>
      </c>
    </row>
    <row r="2676" spans="1:13" s="1" customFormat="1" ht="15" customHeight="1" x14ac:dyDescent="0.25">
      <c r="A2676" s="27" t="s">
        <v>67</v>
      </c>
      <c r="B2676" s="27" t="s">
        <v>637</v>
      </c>
      <c r="C2676" s="5" t="s">
        <v>1442</v>
      </c>
      <c r="D2676" s="3" t="s">
        <v>454</v>
      </c>
      <c r="E2676" s="3">
        <v>2170</v>
      </c>
      <c r="F2676" s="28">
        <v>20</v>
      </c>
      <c r="G2676" s="10">
        <v>16</v>
      </c>
      <c r="H2676" s="3">
        <v>71</v>
      </c>
      <c r="I2676" s="3">
        <v>67</v>
      </c>
      <c r="J2676" t="str">
        <f t="shared" si="41"/>
        <v>http://www.badatelna.eu/reprodukce/?fondId=1073&amp;zaznamId=1108956&amp;reproId=3779612</v>
      </c>
      <c r="K2676">
        <f>IF(LEN(TRIM(E2676))=0,"",VLOOKUP(E2676,Sheet2!$B$1:$E$19,2,FALSE))</f>
        <v>1073</v>
      </c>
      <c r="L2676">
        <f>IF(LEN(TRIM(E2676))=0,"",VLOOKUP(E2676,Sheet2!$B$1:$E$19,3,FALSE))</f>
        <v>1108956</v>
      </c>
      <c r="M2676">
        <f>IF(LEN(TRIM(E2676))=0,"",VLOOKUP(E2676,Sheet2!$B$1:$E$19,4,FALSE))+(F2676-1)</f>
        <v>3779612</v>
      </c>
    </row>
    <row r="2677" spans="1:13" s="1" customFormat="1" ht="15" customHeight="1" x14ac:dyDescent="0.25">
      <c r="A2677" s="28" t="s">
        <v>701</v>
      </c>
      <c r="B2677" s="28" t="s">
        <v>623</v>
      </c>
      <c r="C2677" s="6" t="s">
        <v>1962</v>
      </c>
      <c r="D2677" s="1" t="s">
        <v>454</v>
      </c>
      <c r="E2677" s="1">
        <v>2172</v>
      </c>
      <c r="F2677" s="28">
        <v>235</v>
      </c>
      <c r="G2677" s="9">
        <v>215</v>
      </c>
      <c r="H2677" s="1" t="s">
        <v>3073</v>
      </c>
      <c r="I2677" s="1" t="s">
        <v>3073</v>
      </c>
      <c r="J2677" t="str">
        <f t="shared" si="41"/>
        <v>http://www.badatelna.eu/reprodukce/?fondId=1073&amp;zaznamId=1108958&amp;reproId=3779976</v>
      </c>
      <c r="K2677">
        <f>IF(LEN(TRIM(E2677))=0,"",VLOOKUP(E2677,Sheet2!$B$1:$E$19,2,FALSE))</f>
        <v>1073</v>
      </c>
      <c r="L2677">
        <f>IF(LEN(TRIM(E2677))=0,"",VLOOKUP(E2677,Sheet2!$B$1:$E$19,3,FALSE))</f>
        <v>1108958</v>
      </c>
      <c r="M2677">
        <f>IF(LEN(TRIM(E2677))=0,"",VLOOKUP(E2677,Sheet2!$B$1:$E$19,4,FALSE))+(F2677-1)</f>
        <v>3779976</v>
      </c>
    </row>
    <row r="2678" spans="1:13" s="1" customFormat="1" ht="15" customHeight="1" x14ac:dyDescent="0.25">
      <c r="A2678" s="28" t="s">
        <v>3059</v>
      </c>
      <c r="B2678" s="28" t="s">
        <v>39</v>
      </c>
      <c r="C2678" s="1">
        <v>1865</v>
      </c>
      <c r="D2678" s="1" t="s">
        <v>2919</v>
      </c>
      <c r="E2678" s="1">
        <v>999</v>
      </c>
      <c r="F2678" s="28">
        <v>89</v>
      </c>
      <c r="G2678" s="1">
        <v>10</v>
      </c>
      <c r="H2678" s="1">
        <v>109</v>
      </c>
      <c r="I2678" s="1">
        <v>169</v>
      </c>
      <c r="J2678" t="str">
        <f t="shared" si="41"/>
        <v>http://www.badatelna.eu/reprodukce/?fondId=241&amp;zaznamId=1133739&amp;reproId=3885818</v>
      </c>
      <c r="K2678">
        <f>IF(LEN(TRIM(E2678))=0,"",VLOOKUP(E2678,Sheet2!$B$1:$E$19,2,FALSE))</f>
        <v>241</v>
      </c>
      <c r="L2678">
        <f>IF(LEN(TRIM(E2678))=0,"",VLOOKUP(E2678,Sheet2!$B$1:$E$19,3,FALSE))</f>
        <v>1133739</v>
      </c>
      <c r="M2678">
        <f>IF(LEN(TRIM(E2678))=0,"",VLOOKUP(E2678,Sheet2!$B$1:$E$19,4,FALSE))+(F2678-1)</f>
        <v>3885818</v>
      </c>
    </row>
    <row r="2679" spans="1:13" s="1" customFormat="1" ht="15" customHeight="1" x14ac:dyDescent="0.25">
      <c r="A2679" s="28" t="s">
        <v>702</v>
      </c>
      <c r="B2679" s="28" t="s">
        <v>465</v>
      </c>
      <c r="C2679" s="6" t="s">
        <v>1864</v>
      </c>
      <c r="D2679" s="1" t="s">
        <v>454</v>
      </c>
      <c r="E2679" s="1">
        <v>2172</v>
      </c>
      <c r="F2679" s="28">
        <v>187</v>
      </c>
      <c r="G2679" s="9">
        <v>177</v>
      </c>
      <c r="H2679" s="1" t="s">
        <v>3073</v>
      </c>
      <c r="I2679" s="1" t="s">
        <v>3073</v>
      </c>
      <c r="J2679" t="str">
        <f t="shared" si="41"/>
        <v>http://www.badatelna.eu/reprodukce/?fondId=1073&amp;zaznamId=1108958&amp;reproId=3779928</v>
      </c>
      <c r="K2679">
        <f>IF(LEN(TRIM(E2679))=0,"",VLOOKUP(E2679,Sheet2!$B$1:$E$19,2,FALSE))</f>
        <v>1073</v>
      </c>
      <c r="L2679">
        <f>IF(LEN(TRIM(E2679))=0,"",VLOOKUP(E2679,Sheet2!$B$1:$E$19,3,FALSE))</f>
        <v>1108958</v>
      </c>
      <c r="M2679">
        <f>IF(LEN(TRIM(E2679))=0,"",VLOOKUP(E2679,Sheet2!$B$1:$E$19,4,FALSE))+(F2679-1)</f>
        <v>3779928</v>
      </c>
    </row>
    <row r="2680" spans="1:13" s="1" customFormat="1" ht="15" customHeight="1" x14ac:dyDescent="0.25">
      <c r="A2680" s="28" t="s">
        <v>702</v>
      </c>
      <c r="B2680" s="28" t="s">
        <v>686</v>
      </c>
      <c r="C2680" s="15">
        <v>7528</v>
      </c>
      <c r="D2680" s="1" t="s">
        <v>454</v>
      </c>
      <c r="E2680" s="1">
        <v>2172</v>
      </c>
      <c r="F2680" s="28">
        <v>199</v>
      </c>
      <c r="G2680" s="9">
        <v>187</v>
      </c>
      <c r="H2680" s="1" t="s">
        <v>3073</v>
      </c>
      <c r="I2680" s="1" t="s">
        <v>3073</v>
      </c>
      <c r="J2680" t="str">
        <f t="shared" si="41"/>
        <v>http://www.badatelna.eu/reprodukce/?fondId=1073&amp;zaznamId=1108958&amp;reproId=3779940</v>
      </c>
      <c r="K2680">
        <f>IF(LEN(TRIM(E2680))=0,"",VLOOKUP(E2680,Sheet2!$B$1:$E$19,2,FALSE))</f>
        <v>1073</v>
      </c>
      <c r="L2680">
        <f>IF(LEN(TRIM(E2680))=0,"",VLOOKUP(E2680,Sheet2!$B$1:$E$19,3,FALSE))</f>
        <v>1108958</v>
      </c>
      <c r="M2680">
        <f>IF(LEN(TRIM(E2680))=0,"",VLOOKUP(E2680,Sheet2!$B$1:$E$19,4,FALSE))+(F2680-1)</f>
        <v>3779940</v>
      </c>
    </row>
    <row r="2681" spans="1:13" s="1" customFormat="1" ht="15" customHeight="1" x14ac:dyDescent="0.25">
      <c r="A2681" s="28" t="s">
        <v>702</v>
      </c>
      <c r="B2681" s="28" t="s">
        <v>424</v>
      </c>
      <c r="C2681" s="1">
        <v>1891</v>
      </c>
      <c r="D2681" s="1" t="s">
        <v>454</v>
      </c>
      <c r="E2681" s="1">
        <v>2172</v>
      </c>
      <c r="F2681" s="28">
        <v>81</v>
      </c>
      <c r="G2681" s="9">
        <v>80</v>
      </c>
      <c r="H2681" s="1">
        <v>84</v>
      </c>
      <c r="I2681" s="1">
        <v>83</v>
      </c>
      <c r="J2681" t="str">
        <f t="shared" si="41"/>
        <v>http://www.badatelna.eu/reprodukce/?fondId=1073&amp;zaznamId=1108958&amp;reproId=3779822</v>
      </c>
      <c r="K2681">
        <f>IF(LEN(TRIM(E2681))=0,"",VLOOKUP(E2681,Sheet2!$B$1:$E$19,2,FALSE))</f>
        <v>1073</v>
      </c>
      <c r="L2681">
        <f>IF(LEN(TRIM(E2681))=0,"",VLOOKUP(E2681,Sheet2!$B$1:$E$19,3,FALSE))</f>
        <v>1108958</v>
      </c>
      <c r="M2681">
        <f>IF(LEN(TRIM(E2681))=0,"",VLOOKUP(E2681,Sheet2!$B$1:$E$19,4,FALSE))+(F2681-1)</f>
        <v>3779822</v>
      </c>
    </row>
    <row r="2682" spans="1:13" s="1" customFormat="1" ht="15" customHeight="1" x14ac:dyDescent="0.25">
      <c r="A2682" s="28" t="s">
        <v>703</v>
      </c>
      <c r="B2682" s="28" t="s">
        <v>575</v>
      </c>
      <c r="C2682" s="6" t="s">
        <v>1727</v>
      </c>
      <c r="D2682" s="1" t="s">
        <v>454</v>
      </c>
      <c r="E2682" s="1">
        <v>2172</v>
      </c>
      <c r="F2682" s="28">
        <v>122</v>
      </c>
      <c r="G2682" s="9">
        <v>121</v>
      </c>
      <c r="H2682" s="1">
        <v>124</v>
      </c>
      <c r="I2682" s="1">
        <v>123</v>
      </c>
      <c r="J2682" t="str">
        <f t="shared" si="41"/>
        <v>http://www.badatelna.eu/reprodukce/?fondId=1073&amp;zaznamId=1108958&amp;reproId=3779863</v>
      </c>
      <c r="K2682">
        <f>IF(LEN(TRIM(E2682))=0,"",VLOOKUP(E2682,Sheet2!$B$1:$E$19,2,FALSE))</f>
        <v>1073</v>
      </c>
      <c r="L2682">
        <f>IF(LEN(TRIM(E2682))=0,"",VLOOKUP(E2682,Sheet2!$B$1:$E$19,3,FALSE))</f>
        <v>1108958</v>
      </c>
      <c r="M2682">
        <f>IF(LEN(TRIM(E2682))=0,"",VLOOKUP(E2682,Sheet2!$B$1:$E$19,4,FALSE))+(F2682-1)</f>
        <v>3779863</v>
      </c>
    </row>
    <row r="2683" spans="1:13" s="1" customFormat="1" ht="15" customHeight="1" x14ac:dyDescent="0.25">
      <c r="A2683" s="28" t="s">
        <v>72</v>
      </c>
      <c r="B2683" s="28" t="s">
        <v>178</v>
      </c>
      <c r="C2683" s="6" t="s">
        <v>2418</v>
      </c>
      <c r="D2683" s="1" t="s">
        <v>454</v>
      </c>
      <c r="E2683" s="1">
        <v>2173</v>
      </c>
      <c r="F2683" s="28">
        <v>203</v>
      </c>
      <c r="G2683" s="1">
        <v>15</v>
      </c>
      <c r="H2683" s="1" t="s">
        <v>3073</v>
      </c>
      <c r="I2683" s="1" t="s">
        <v>3073</v>
      </c>
      <c r="J2683" t="str">
        <f t="shared" si="41"/>
        <v>http://www.badatelna.eu/reprodukce/?fondId=1073&amp;zaznamId=1108959&amp;reproId=3780196</v>
      </c>
      <c r="K2683">
        <f>IF(LEN(TRIM(E2683))=0,"",VLOOKUP(E2683,Sheet2!$B$1:$E$19,2,FALSE))</f>
        <v>1073</v>
      </c>
      <c r="L2683">
        <f>IF(LEN(TRIM(E2683))=0,"",VLOOKUP(E2683,Sheet2!$B$1:$E$19,3,FALSE))</f>
        <v>1108959</v>
      </c>
      <c r="M2683">
        <f>IF(LEN(TRIM(E2683))=0,"",VLOOKUP(E2683,Sheet2!$B$1:$E$19,4,FALSE))+(F2683-1)</f>
        <v>3780196</v>
      </c>
    </row>
    <row r="2684" spans="1:13" s="1" customFormat="1" ht="15" customHeight="1" x14ac:dyDescent="0.25">
      <c r="A2684" s="28" t="s">
        <v>72</v>
      </c>
      <c r="B2684" s="28" t="s">
        <v>466</v>
      </c>
      <c r="C2684" s="1">
        <v>1865</v>
      </c>
      <c r="D2684" s="1" t="s">
        <v>2919</v>
      </c>
      <c r="E2684" s="1">
        <v>999</v>
      </c>
      <c r="F2684" s="28">
        <v>87</v>
      </c>
      <c r="G2684" s="1">
        <v>8</v>
      </c>
      <c r="H2684" s="1">
        <v>109</v>
      </c>
      <c r="I2684" s="1">
        <v>169</v>
      </c>
      <c r="J2684" t="str">
        <f t="shared" si="41"/>
        <v>http://www.badatelna.eu/reprodukce/?fondId=241&amp;zaznamId=1133739&amp;reproId=3885816</v>
      </c>
      <c r="K2684">
        <f>IF(LEN(TRIM(E2684))=0,"",VLOOKUP(E2684,Sheet2!$B$1:$E$19,2,FALSE))</f>
        <v>241</v>
      </c>
      <c r="L2684">
        <f>IF(LEN(TRIM(E2684))=0,"",VLOOKUP(E2684,Sheet2!$B$1:$E$19,3,FALSE))</f>
        <v>1133739</v>
      </c>
      <c r="M2684">
        <f>IF(LEN(TRIM(E2684))=0,"",VLOOKUP(E2684,Sheet2!$B$1:$E$19,4,FALSE))+(F2684-1)</f>
        <v>3885816</v>
      </c>
    </row>
    <row r="2685" spans="1:13" s="1" customFormat="1" ht="15" customHeight="1" x14ac:dyDescent="0.25">
      <c r="A2685" s="28" t="s">
        <v>72</v>
      </c>
      <c r="B2685" s="28" t="s">
        <v>45</v>
      </c>
      <c r="C2685" s="6" t="s">
        <v>2498</v>
      </c>
      <c r="D2685" s="1" t="s">
        <v>454</v>
      </c>
      <c r="E2685" s="1">
        <v>2173</v>
      </c>
      <c r="F2685" s="28">
        <v>205</v>
      </c>
      <c r="G2685" s="1">
        <v>20</v>
      </c>
      <c r="H2685" s="1" t="s">
        <v>3073</v>
      </c>
      <c r="I2685" s="1" t="s">
        <v>3073</v>
      </c>
      <c r="J2685" t="str">
        <f t="shared" si="41"/>
        <v>http://www.badatelna.eu/reprodukce/?fondId=1073&amp;zaznamId=1108959&amp;reproId=3780198</v>
      </c>
      <c r="K2685">
        <f>IF(LEN(TRIM(E2685))=0,"",VLOOKUP(E2685,Sheet2!$B$1:$E$19,2,FALSE))</f>
        <v>1073</v>
      </c>
      <c r="L2685">
        <f>IF(LEN(TRIM(E2685))=0,"",VLOOKUP(E2685,Sheet2!$B$1:$E$19,3,FALSE))</f>
        <v>1108959</v>
      </c>
      <c r="M2685">
        <f>IF(LEN(TRIM(E2685))=0,"",VLOOKUP(E2685,Sheet2!$B$1:$E$19,4,FALSE))+(F2685-1)</f>
        <v>3780198</v>
      </c>
    </row>
    <row r="2686" spans="1:13" s="1" customFormat="1" ht="15" customHeight="1" x14ac:dyDescent="0.25">
      <c r="A2686" s="28" t="s">
        <v>72</v>
      </c>
      <c r="B2686" s="28" t="s">
        <v>240</v>
      </c>
      <c r="C2686" s="1">
        <v>1865</v>
      </c>
      <c r="D2686" s="1" t="s">
        <v>2919</v>
      </c>
      <c r="E2686" s="1">
        <v>999</v>
      </c>
      <c r="F2686" s="28">
        <v>89</v>
      </c>
      <c r="G2686" s="1">
        <v>10</v>
      </c>
      <c r="H2686" s="1">
        <v>109</v>
      </c>
      <c r="I2686" s="1">
        <v>169</v>
      </c>
      <c r="J2686" t="str">
        <f t="shared" si="41"/>
        <v>http://www.badatelna.eu/reprodukce/?fondId=241&amp;zaznamId=1133739&amp;reproId=3885818</v>
      </c>
      <c r="K2686">
        <f>IF(LEN(TRIM(E2686))=0,"",VLOOKUP(E2686,Sheet2!$B$1:$E$19,2,FALSE))</f>
        <v>241</v>
      </c>
      <c r="L2686">
        <f>IF(LEN(TRIM(E2686))=0,"",VLOOKUP(E2686,Sheet2!$B$1:$E$19,3,FALSE))</f>
        <v>1133739</v>
      </c>
      <c r="M2686">
        <f>IF(LEN(TRIM(E2686))=0,"",VLOOKUP(E2686,Sheet2!$B$1:$E$19,4,FALSE))+(F2686-1)</f>
        <v>3885818</v>
      </c>
    </row>
    <row r="2687" spans="1:13" s="1" customFormat="1" ht="15" customHeight="1" x14ac:dyDescent="0.25">
      <c r="A2687" s="28" t="s">
        <v>72</v>
      </c>
      <c r="B2687" s="28" t="s">
        <v>3058</v>
      </c>
      <c r="C2687" s="1">
        <v>1863</v>
      </c>
      <c r="D2687" s="1" t="s">
        <v>2919</v>
      </c>
      <c r="E2687" s="1">
        <v>999</v>
      </c>
      <c r="F2687" s="28">
        <v>83</v>
      </c>
      <c r="G2687" s="1">
        <v>4</v>
      </c>
      <c r="H2687" s="1">
        <v>109</v>
      </c>
      <c r="I2687" s="1">
        <v>169</v>
      </c>
      <c r="J2687" t="str">
        <f t="shared" si="41"/>
        <v>http://www.badatelna.eu/reprodukce/?fondId=241&amp;zaznamId=1133739&amp;reproId=3885812</v>
      </c>
      <c r="K2687">
        <f>IF(LEN(TRIM(E2687))=0,"",VLOOKUP(E2687,Sheet2!$B$1:$E$19,2,FALSE))</f>
        <v>241</v>
      </c>
      <c r="L2687">
        <f>IF(LEN(TRIM(E2687))=0,"",VLOOKUP(E2687,Sheet2!$B$1:$E$19,3,FALSE))</f>
        <v>1133739</v>
      </c>
      <c r="M2687">
        <f>IF(LEN(TRIM(E2687))=0,"",VLOOKUP(E2687,Sheet2!$B$1:$E$19,4,FALSE))+(F2687-1)</f>
        <v>3885812</v>
      </c>
    </row>
    <row r="2688" spans="1:13" s="1" customFormat="1" ht="15" customHeight="1" x14ac:dyDescent="0.25">
      <c r="A2688" s="28" t="s">
        <v>72</v>
      </c>
      <c r="B2688" s="28" t="s">
        <v>691</v>
      </c>
      <c r="C2688" s="6" t="s">
        <v>1548</v>
      </c>
      <c r="D2688" s="1" t="s">
        <v>454</v>
      </c>
      <c r="E2688" s="1">
        <v>2172</v>
      </c>
      <c r="F2688" s="28">
        <v>17</v>
      </c>
      <c r="G2688" s="9">
        <v>16</v>
      </c>
      <c r="H2688" s="1" t="s">
        <v>3073</v>
      </c>
      <c r="I2688" s="1" t="s">
        <v>3073</v>
      </c>
      <c r="J2688" t="str">
        <f t="shared" si="41"/>
        <v>http://www.badatelna.eu/reprodukce/?fondId=1073&amp;zaznamId=1108958&amp;reproId=3779758</v>
      </c>
      <c r="K2688">
        <f>IF(LEN(TRIM(E2688))=0,"",VLOOKUP(E2688,Sheet2!$B$1:$E$19,2,FALSE))</f>
        <v>1073</v>
      </c>
      <c r="L2688">
        <f>IF(LEN(TRIM(E2688))=0,"",VLOOKUP(E2688,Sheet2!$B$1:$E$19,3,FALSE))</f>
        <v>1108958</v>
      </c>
      <c r="M2688">
        <f>IF(LEN(TRIM(E2688))=0,"",VLOOKUP(E2688,Sheet2!$B$1:$E$19,4,FALSE))+(F2688-1)</f>
        <v>3779758</v>
      </c>
    </row>
    <row r="2689" spans="1:13" s="1" customFormat="1" ht="15" customHeight="1" x14ac:dyDescent="0.25">
      <c r="A2689" s="28" t="s">
        <v>72</v>
      </c>
      <c r="B2689" s="28" t="s">
        <v>16</v>
      </c>
      <c r="C2689" s="6" t="s">
        <v>2466</v>
      </c>
      <c r="D2689" s="1" t="s">
        <v>454</v>
      </c>
      <c r="E2689" s="1">
        <v>2173</v>
      </c>
      <c r="F2689" s="28">
        <v>204</v>
      </c>
      <c r="G2689" s="1">
        <v>17</v>
      </c>
      <c r="H2689" s="1" t="s">
        <v>3073</v>
      </c>
      <c r="I2689" s="1" t="s">
        <v>3073</v>
      </c>
      <c r="J2689" t="str">
        <f t="shared" si="41"/>
        <v>http://www.badatelna.eu/reprodukce/?fondId=1073&amp;zaznamId=1108959&amp;reproId=3780197</v>
      </c>
      <c r="K2689">
        <f>IF(LEN(TRIM(E2689))=0,"",VLOOKUP(E2689,Sheet2!$B$1:$E$19,2,FALSE))</f>
        <v>1073</v>
      </c>
      <c r="L2689">
        <f>IF(LEN(TRIM(E2689))=0,"",VLOOKUP(E2689,Sheet2!$B$1:$E$19,3,FALSE))</f>
        <v>1108959</v>
      </c>
      <c r="M2689">
        <f>IF(LEN(TRIM(E2689))=0,"",VLOOKUP(E2689,Sheet2!$B$1:$E$19,4,FALSE))+(F2689-1)</f>
        <v>3780197</v>
      </c>
    </row>
    <row r="2690" spans="1:13" s="1" customFormat="1" ht="15" customHeight="1" x14ac:dyDescent="0.25">
      <c r="A2690" s="28" t="s">
        <v>72</v>
      </c>
      <c r="B2690" s="28" t="s">
        <v>16</v>
      </c>
      <c r="C2690" s="6" t="s">
        <v>2419</v>
      </c>
      <c r="D2690" s="1" t="s">
        <v>454</v>
      </c>
      <c r="E2690" s="1">
        <v>2173</v>
      </c>
      <c r="F2690" s="28">
        <v>203</v>
      </c>
      <c r="G2690" s="1">
        <v>15</v>
      </c>
      <c r="H2690" s="1" t="s">
        <v>3073</v>
      </c>
      <c r="I2690" s="1" t="s">
        <v>3073</v>
      </c>
      <c r="J2690" t="str">
        <f t="shared" si="41"/>
        <v>http://www.badatelna.eu/reprodukce/?fondId=1073&amp;zaznamId=1108959&amp;reproId=3780196</v>
      </c>
      <c r="K2690">
        <f>IF(LEN(TRIM(E2690))=0,"",VLOOKUP(E2690,Sheet2!$B$1:$E$19,2,FALSE))</f>
        <v>1073</v>
      </c>
      <c r="L2690">
        <f>IF(LEN(TRIM(E2690))=0,"",VLOOKUP(E2690,Sheet2!$B$1:$E$19,3,FALSE))</f>
        <v>1108959</v>
      </c>
      <c r="M2690">
        <f>IF(LEN(TRIM(E2690))=0,"",VLOOKUP(E2690,Sheet2!$B$1:$E$19,4,FALSE))+(F2690-1)</f>
        <v>3780196</v>
      </c>
    </row>
    <row r="2691" spans="1:13" s="1" customFormat="1" ht="15" customHeight="1" x14ac:dyDescent="0.25">
      <c r="A2691" s="27" t="s">
        <v>72</v>
      </c>
      <c r="B2691" s="27" t="s">
        <v>545</v>
      </c>
      <c r="C2691" s="5" t="s">
        <v>1449</v>
      </c>
      <c r="D2691" s="3" t="s">
        <v>454</v>
      </c>
      <c r="E2691" s="3">
        <v>2170</v>
      </c>
      <c r="F2691" s="31">
        <v>8</v>
      </c>
      <c r="G2691" s="10">
        <v>4</v>
      </c>
      <c r="H2691" s="3">
        <v>71</v>
      </c>
      <c r="I2691" s="3">
        <v>67</v>
      </c>
      <c r="J2691" t="str">
        <f t="shared" ref="J2691:J2754" si="42">IF(LEN(TRIM(E2691))=0,"","http://www.badatelna.eu/reprodukce/?fondId="&amp;K2691&amp;"&amp;zaznamId="&amp;L2691&amp;"&amp;reproId="&amp;M2691)</f>
        <v>http://www.badatelna.eu/reprodukce/?fondId=1073&amp;zaznamId=1108956&amp;reproId=3779600</v>
      </c>
      <c r="K2691">
        <f>IF(LEN(TRIM(E2691))=0,"",VLOOKUP(E2691,Sheet2!$B$1:$E$19,2,FALSE))</f>
        <v>1073</v>
      </c>
      <c r="L2691">
        <f>IF(LEN(TRIM(E2691))=0,"",VLOOKUP(E2691,Sheet2!$B$1:$E$19,3,FALSE))</f>
        <v>1108956</v>
      </c>
      <c r="M2691">
        <f>IF(LEN(TRIM(E2691))=0,"",VLOOKUP(E2691,Sheet2!$B$1:$E$19,4,FALSE))+(F2691-1)</f>
        <v>3779600</v>
      </c>
    </row>
    <row r="2692" spans="1:13" s="1" customFormat="1" ht="15" customHeight="1" x14ac:dyDescent="0.25">
      <c r="A2692" s="28" t="s">
        <v>72</v>
      </c>
      <c r="B2692" s="28" t="s">
        <v>867</v>
      </c>
      <c r="C2692" s="1">
        <v>1866</v>
      </c>
      <c r="D2692" s="1" t="s">
        <v>2919</v>
      </c>
      <c r="E2692" s="1">
        <v>999</v>
      </c>
      <c r="F2692" s="28">
        <v>91</v>
      </c>
      <c r="G2692" s="1">
        <v>12</v>
      </c>
      <c r="H2692" s="1">
        <v>109</v>
      </c>
      <c r="I2692" s="1">
        <v>169</v>
      </c>
      <c r="J2692" t="str">
        <f t="shared" si="42"/>
        <v>http://www.badatelna.eu/reprodukce/?fondId=241&amp;zaznamId=1133739&amp;reproId=3885820</v>
      </c>
      <c r="K2692">
        <f>IF(LEN(TRIM(E2692))=0,"",VLOOKUP(E2692,Sheet2!$B$1:$E$19,2,FALSE))</f>
        <v>241</v>
      </c>
      <c r="L2692">
        <f>IF(LEN(TRIM(E2692))=0,"",VLOOKUP(E2692,Sheet2!$B$1:$E$19,3,FALSE))</f>
        <v>1133739</v>
      </c>
      <c r="M2692">
        <f>IF(LEN(TRIM(E2692))=0,"",VLOOKUP(E2692,Sheet2!$B$1:$E$19,4,FALSE))+(F2692-1)</f>
        <v>3885820</v>
      </c>
    </row>
    <row r="2693" spans="1:13" s="1" customFormat="1" ht="15" customHeight="1" x14ac:dyDescent="0.25">
      <c r="A2693" s="27" t="s">
        <v>72</v>
      </c>
      <c r="B2693" s="27" t="s">
        <v>490</v>
      </c>
      <c r="C2693" s="5" t="s">
        <v>1450</v>
      </c>
      <c r="D2693" s="3" t="s">
        <v>454</v>
      </c>
      <c r="E2693" s="3">
        <v>2170</v>
      </c>
      <c r="F2693" s="31">
        <v>18</v>
      </c>
      <c r="G2693" s="10">
        <v>14</v>
      </c>
      <c r="H2693" s="3">
        <v>71</v>
      </c>
      <c r="I2693" s="3">
        <v>67</v>
      </c>
      <c r="J2693" t="str">
        <f t="shared" si="42"/>
        <v>http://www.badatelna.eu/reprodukce/?fondId=1073&amp;zaznamId=1108956&amp;reproId=3779610</v>
      </c>
      <c r="K2693">
        <f>IF(LEN(TRIM(E2693))=0,"",VLOOKUP(E2693,Sheet2!$B$1:$E$19,2,FALSE))</f>
        <v>1073</v>
      </c>
      <c r="L2693">
        <f>IF(LEN(TRIM(E2693))=0,"",VLOOKUP(E2693,Sheet2!$B$1:$E$19,3,FALSE))</f>
        <v>1108956</v>
      </c>
      <c r="M2693">
        <f>IF(LEN(TRIM(E2693))=0,"",VLOOKUP(E2693,Sheet2!$B$1:$E$19,4,FALSE))+(F2693-1)</f>
        <v>3779610</v>
      </c>
    </row>
    <row r="2694" spans="1:13" s="1" customFormat="1" ht="15" customHeight="1" x14ac:dyDescent="0.25">
      <c r="A2694" s="28" t="s">
        <v>72</v>
      </c>
      <c r="B2694" s="28" t="s">
        <v>39</v>
      </c>
      <c r="C2694" s="1">
        <v>1884</v>
      </c>
      <c r="D2694" s="1" t="s">
        <v>454</v>
      </c>
      <c r="E2694" s="1">
        <v>2172</v>
      </c>
      <c r="F2694" s="28">
        <v>40</v>
      </c>
      <c r="G2694" s="9" t="s">
        <v>2762</v>
      </c>
      <c r="H2694" s="1">
        <v>43</v>
      </c>
      <c r="I2694" s="1">
        <v>42</v>
      </c>
      <c r="J2694" t="str">
        <f t="shared" si="42"/>
        <v>http://www.badatelna.eu/reprodukce/?fondId=1073&amp;zaznamId=1108958&amp;reproId=3779781</v>
      </c>
      <c r="K2694">
        <f>IF(LEN(TRIM(E2694))=0,"",VLOOKUP(E2694,Sheet2!$B$1:$E$19,2,FALSE))</f>
        <v>1073</v>
      </c>
      <c r="L2694">
        <f>IF(LEN(TRIM(E2694))=0,"",VLOOKUP(E2694,Sheet2!$B$1:$E$19,3,FALSE))</f>
        <v>1108958</v>
      </c>
      <c r="M2694">
        <f>IF(LEN(TRIM(E2694))=0,"",VLOOKUP(E2694,Sheet2!$B$1:$E$19,4,FALSE))+(F2694-1)</f>
        <v>3779781</v>
      </c>
    </row>
    <row r="2695" spans="1:13" s="1" customFormat="1" ht="15" customHeight="1" x14ac:dyDescent="0.25">
      <c r="A2695" s="28" t="s">
        <v>72</v>
      </c>
      <c r="B2695" s="28" t="s">
        <v>424</v>
      </c>
      <c r="C2695" s="1">
        <v>1885</v>
      </c>
      <c r="D2695" s="1" t="s">
        <v>454</v>
      </c>
      <c r="E2695" s="1">
        <v>2172</v>
      </c>
      <c r="F2695" s="28">
        <v>47</v>
      </c>
      <c r="G2695" s="9">
        <v>46</v>
      </c>
      <c r="H2695" s="1">
        <v>49</v>
      </c>
      <c r="I2695" s="1">
        <v>50</v>
      </c>
      <c r="J2695" t="str">
        <f t="shared" si="42"/>
        <v>http://www.badatelna.eu/reprodukce/?fondId=1073&amp;zaznamId=1108958&amp;reproId=3779788</v>
      </c>
      <c r="K2695">
        <f>IF(LEN(TRIM(E2695))=0,"",VLOOKUP(E2695,Sheet2!$B$1:$E$19,2,FALSE))</f>
        <v>1073</v>
      </c>
      <c r="L2695">
        <f>IF(LEN(TRIM(E2695))=0,"",VLOOKUP(E2695,Sheet2!$B$1:$E$19,3,FALSE))</f>
        <v>1108958</v>
      </c>
      <c r="M2695">
        <f>IF(LEN(TRIM(E2695))=0,"",VLOOKUP(E2695,Sheet2!$B$1:$E$19,4,FALSE))+(F2695-1)</f>
        <v>3779788</v>
      </c>
    </row>
    <row r="2696" spans="1:13" s="1" customFormat="1" ht="15" customHeight="1" x14ac:dyDescent="0.25">
      <c r="A2696" s="28" t="s">
        <v>72</v>
      </c>
      <c r="B2696" s="28" t="s">
        <v>135</v>
      </c>
      <c r="C2696" s="6" t="s">
        <v>2467</v>
      </c>
      <c r="D2696" s="1" t="s">
        <v>454</v>
      </c>
      <c r="E2696" s="1">
        <v>2173</v>
      </c>
      <c r="F2696" s="28">
        <v>204</v>
      </c>
      <c r="G2696" s="1">
        <v>17</v>
      </c>
      <c r="H2696" s="1" t="s">
        <v>3073</v>
      </c>
      <c r="I2696" s="1" t="s">
        <v>3073</v>
      </c>
      <c r="J2696" t="str">
        <f t="shared" si="42"/>
        <v>http://www.badatelna.eu/reprodukce/?fondId=1073&amp;zaznamId=1108959&amp;reproId=3780197</v>
      </c>
      <c r="K2696">
        <f>IF(LEN(TRIM(E2696))=0,"",VLOOKUP(E2696,Sheet2!$B$1:$E$19,2,FALSE))</f>
        <v>1073</v>
      </c>
      <c r="L2696">
        <f>IF(LEN(TRIM(E2696))=0,"",VLOOKUP(E2696,Sheet2!$B$1:$E$19,3,FALSE))</f>
        <v>1108959</v>
      </c>
      <c r="M2696">
        <f>IF(LEN(TRIM(E2696))=0,"",VLOOKUP(E2696,Sheet2!$B$1:$E$19,4,FALSE))+(F2696-1)</f>
        <v>3780197</v>
      </c>
    </row>
    <row r="2697" spans="1:13" s="1" customFormat="1" ht="15" customHeight="1" x14ac:dyDescent="0.2">
      <c r="A2697" s="31" t="s">
        <v>72</v>
      </c>
      <c r="B2697" s="31" t="s">
        <v>7</v>
      </c>
      <c r="C2697" s="7" t="s">
        <v>2280</v>
      </c>
      <c r="D2697" s="1" t="s">
        <v>454</v>
      </c>
      <c r="E2697" s="1">
        <v>2173</v>
      </c>
      <c r="F2697" s="31">
        <v>197</v>
      </c>
      <c r="G2697" s="12">
        <v>4</v>
      </c>
      <c r="H2697" s="1" t="s">
        <v>3073</v>
      </c>
      <c r="I2697" s="1" t="s">
        <v>3073</v>
      </c>
      <c r="J2697" t="str">
        <f t="shared" si="42"/>
        <v>http://www.badatelna.eu/reprodukce/?fondId=1073&amp;zaznamId=1108959&amp;reproId=3780190</v>
      </c>
      <c r="K2697">
        <f>IF(LEN(TRIM(E2697))=0,"",VLOOKUP(E2697,Sheet2!$B$1:$E$19,2,FALSE))</f>
        <v>1073</v>
      </c>
      <c r="L2697">
        <f>IF(LEN(TRIM(E2697))=0,"",VLOOKUP(E2697,Sheet2!$B$1:$E$19,3,FALSE))</f>
        <v>1108959</v>
      </c>
      <c r="M2697">
        <f>IF(LEN(TRIM(E2697))=0,"",VLOOKUP(E2697,Sheet2!$B$1:$E$19,4,FALSE))+(F2697-1)</f>
        <v>3780190</v>
      </c>
    </row>
    <row r="2698" spans="1:13" s="1" customFormat="1" ht="15" customHeight="1" x14ac:dyDescent="0.25">
      <c r="A2698" s="28" t="s">
        <v>72</v>
      </c>
      <c r="B2698" s="28" t="s">
        <v>666</v>
      </c>
      <c r="C2698" s="6" t="s">
        <v>1590</v>
      </c>
      <c r="D2698" s="1" t="s">
        <v>454</v>
      </c>
      <c r="E2698" s="1">
        <v>2172</v>
      </c>
      <c r="F2698" s="28">
        <v>64</v>
      </c>
      <c r="G2698" s="9">
        <v>63</v>
      </c>
      <c r="H2698" s="1" t="s">
        <v>3073</v>
      </c>
      <c r="I2698" s="1" t="s">
        <v>3073</v>
      </c>
      <c r="J2698" t="str">
        <f t="shared" si="42"/>
        <v>http://www.badatelna.eu/reprodukce/?fondId=1073&amp;zaznamId=1108958&amp;reproId=3779805</v>
      </c>
      <c r="K2698">
        <f>IF(LEN(TRIM(E2698))=0,"",VLOOKUP(E2698,Sheet2!$B$1:$E$19,2,FALSE))</f>
        <v>1073</v>
      </c>
      <c r="L2698">
        <f>IF(LEN(TRIM(E2698))=0,"",VLOOKUP(E2698,Sheet2!$B$1:$E$19,3,FALSE))</f>
        <v>1108958</v>
      </c>
      <c r="M2698">
        <f>IF(LEN(TRIM(E2698))=0,"",VLOOKUP(E2698,Sheet2!$B$1:$E$19,4,FALSE))+(F2698-1)</f>
        <v>3779805</v>
      </c>
    </row>
    <row r="2699" spans="1:13" s="1" customFormat="1" ht="15" customHeight="1" x14ac:dyDescent="0.25">
      <c r="A2699" s="28" t="s">
        <v>72</v>
      </c>
      <c r="B2699" s="28" t="s">
        <v>54</v>
      </c>
      <c r="C2699" s="15">
        <v>1009</v>
      </c>
      <c r="D2699" s="1" t="s">
        <v>454</v>
      </c>
      <c r="E2699" s="1">
        <v>2172</v>
      </c>
      <c r="F2699" s="28">
        <v>148</v>
      </c>
      <c r="G2699" s="9">
        <v>144</v>
      </c>
      <c r="H2699" s="1">
        <v>149</v>
      </c>
      <c r="I2699" s="1">
        <v>145</v>
      </c>
      <c r="J2699" t="str">
        <f t="shared" si="42"/>
        <v>http://www.badatelna.eu/reprodukce/?fondId=1073&amp;zaznamId=1108958&amp;reproId=3779889</v>
      </c>
      <c r="K2699">
        <f>IF(LEN(TRIM(E2699))=0,"",VLOOKUP(E2699,Sheet2!$B$1:$E$19,2,FALSE))</f>
        <v>1073</v>
      </c>
      <c r="L2699">
        <f>IF(LEN(TRIM(E2699))=0,"",VLOOKUP(E2699,Sheet2!$B$1:$E$19,3,FALSE))</f>
        <v>1108958</v>
      </c>
      <c r="M2699">
        <f>IF(LEN(TRIM(E2699))=0,"",VLOOKUP(E2699,Sheet2!$B$1:$E$19,4,FALSE))+(F2699-1)</f>
        <v>3779889</v>
      </c>
    </row>
    <row r="2700" spans="1:13" s="1" customFormat="1" ht="15" customHeight="1" x14ac:dyDescent="0.25">
      <c r="A2700" s="28"/>
      <c r="B2700" s="28"/>
      <c r="C2700" s="41" t="s">
        <v>3139</v>
      </c>
      <c r="F2700" s="28"/>
      <c r="G2700" s="9"/>
      <c r="J2700" t="str">
        <f t="shared" si="42"/>
        <v/>
      </c>
      <c r="K2700" t="str">
        <f>IF(LEN(TRIM(E2700))=0,"",VLOOKUP(E2700,Sheet2!$B$1:$E$19,2,FALSE))</f>
        <v/>
      </c>
      <c r="L2700" t="str">
        <f>IF(LEN(TRIM(E2700))=0,"",VLOOKUP(E2700,Sheet2!$B$1:$E$19,3,FALSE))</f>
        <v/>
      </c>
      <c r="M2700" t="e">
        <f>IF(LEN(TRIM(E2700))=0,"",VLOOKUP(E2700,Sheet2!$B$1:$E$19,4,FALSE))+(F2700-1)</f>
        <v>#VALUE!</v>
      </c>
    </row>
    <row r="2701" spans="1:13" s="1" customFormat="1" ht="15" customHeight="1" x14ac:dyDescent="0.25">
      <c r="A2701" s="28" t="s">
        <v>2984</v>
      </c>
      <c r="B2701" s="28" t="s">
        <v>3064</v>
      </c>
      <c r="C2701" s="6" t="s">
        <v>2227</v>
      </c>
      <c r="D2701" s="1" t="s">
        <v>454</v>
      </c>
      <c r="E2701" s="1">
        <v>2173</v>
      </c>
      <c r="F2701" s="28">
        <v>196</v>
      </c>
      <c r="G2701" s="9">
        <v>1</v>
      </c>
      <c r="H2701" s="1" t="s">
        <v>3073</v>
      </c>
      <c r="I2701" s="1" t="s">
        <v>3073</v>
      </c>
      <c r="J2701" t="str">
        <f t="shared" si="42"/>
        <v>http://www.badatelna.eu/reprodukce/?fondId=1073&amp;zaznamId=1108959&amp;reproId=3780189</v>
      </c>
      <c r="K2701">
        <f>IF(LEN(TRIM(E2701))=0,"",VLOOKUP(E2701,Sheet2!$B$1:$E$19,2,FALSE))</f>
        <v>1073</v>
      </c>
      <c r="L2701">
        <f>IF(LEN(TRIM(E2701))=0,"",VLOOKUP(E2701,Sheet2!$B$1:$E$19,3,FALSE))</f>
        <v>1108959</v>
      </c>
      <c r="M2701">
        <f>IF(LEN(TRIM(E2701))=0,"",VLOOKUP(E2701,Sheet2!$B$1:$E$19,4,FALSE))+(F2701-1)</f>
        <v>3780189</v>
      </c>
    </row>
    <row r="2702" spans="1:13" s="1" customFormat="1" ht="15" customHeight="1" x14ac:dyDescent="0.25">
      <c r="A2702" s="27" t="s">
        <v>638</v>
      </c>
      <c r="B2702" s="27" t="s">
        <v>639</v>
      </c>
      <c r="C2702" s="5" t="s">
        <v>1451</v>
      </c>
      <c r="D2702" s="3" t="s">
        <v>454</v>
      </c>
      <c r="E2702" s="3">
        <v>2170</v>
      </c>
      <c r="F2702" s="28">
        <v>16</v>
      </c>
      <c r="G2702" s="10">
        <v>12</v>
      </c>
      <c r="H2702" s="3">
        <v>71</v>
      </c>
      <c r="I2702" s="3">
        <v>67</v>
      </c>
      <c r="J2702" t="str">
        <f t="shared" si="42"/>
        <v>http://www.badatelna.eu/reprodukce/?fondId=1073&amp;zaznamId=1108956&amp;reproId=3779608</v>
      </c>
      <c r="K2702">
        <f>IF(LEN(TRIM(E2702))=0,"",VLOOKUP(E2702,Sheet2!$B$1:$E$19,2,FALSE))</f>
        <v>1073</v>
      </c>
      <c r="L2702">
        <f>IF(LEN(TRIM(E2702))=0,"",VLOOKUP(E2702,Sheet2!$B$1:$E$19,3,FALSE))</f>
        <v>1108956</v>
      </c>
      <c r="M2702">
        <f>IF(LEN(TRIM(E2702))=0,"",VLOOKUP(E2702,Sheet2!$B$1:$E$19,4,FALSE))+(F2702-1)</f>
        <v>3779608</v>
      </c>
    </row>
    <row r="2703" spans="1:13" s="1" customFormat="1" ht="15" customHeight="1" x14ac:dyDescent="0.25">
      <c r="A2703" s="29" t="s">
        <v>428</v>
      </c>
      <c r="B2703" s="28" t="s">
        <v>33</v>
      </c>
      <c r="C2703" s="6" t="s">
        <v>2578</v>
      </c>
      <c r="D2703" s="1" t="s">
        <v>454</v>
      </c>
      <c r="E2703" s="1">
        <v>2173</v>
      </c>
      <c r="F2703" s="28">
        <v>213</v>
      </c>
      <c r="G2703" s="9">
        <v>36</v>
      </c>
      <c r="H2703" s="1" t="s">
        <v>3073</v>
      </c>
      <c r="I2703" s="1" t="s">
        <v>3073</v>
      </c>
      <c r="J2703" t="str">
        <f t="shared" si="42"/>
        <v>http://www.badatelna.eu/reprodukce/?fondId=1073&amp;zaznamId=1108959&amp;reproId=3780206</v>
      </c>
      <c r="K2703">
        <f>IF(LEN(TRIM(E2703))=0,"",VLOOKUP(E2703,Sheet2!$B$1:$E$19,2,FALSE))</f>
        <v>1073</v>
      </c>
      <c r="L2703">
        <f>IF(LEN(TRIM(E2703))=0,"",VLOOKUP(E2703,Sheet2!$B$1:$E$19,3,FALSE))</f>
        <v>1108959</v>
      </c>
      <c r="M2703">
        <f>IF(LEN(TRIM(E2703))=0,"",VLOOKUP(E2703,Sheet2!$B$1:$E$19,4,FALSE))+(F2703-1)</f>
        <v>3780206</v>
      </c>
    </row>
    <row r="2704" spans="1:13" s="1" customFormat="1" ht="15" customHeight="1" x14ac:dyDescent="0.25">
      <c r="A2704" s="28" t="s">
        <v>428</v>
      </c>
      <c r="B2704" s="28" t="s">
        <v>39</v>
      </c>
      <c r="C2704" s="6">
        <v>1846</v>
      </c>
      <c r="D2704" s="1" t="s">
        <v>454</v>
      </c>
      <c r="E2704" s="1">
        <v>2173</v>
      </c>
      <c r="F2704" s="28">
        <v>224</v>
      </c>
      <c r="G2704" s="9">
        <v>53</v>
      </c>
      <c r="H2704" s="1" t="s">
        <v>3073</v>
      </c>
      <c r="I2704" s="1" t="s">
        <v>3073</v>
      </c>
      <c r="J2704" t="str">
        <f t="shared" si="42"/>
        <v>http://www.badatelna.eu/reprodukce/?fondId=1073&amp;zaznamId=1108959&amp;reproId=3780217</v>
      </c>
      <c r="K2704">
        <f>IF(LEN(TRIM(E2704))=0,"",VLOOKUP(E2704,Sheet2!$B$1:$E$19,2,FALSE))</f>
        <v>1073</v>
      </c>
      <c r="L2704">
        <f>IF(LEN(TRIM(E2704))=0,"",VLOOKUP(E2704,Sheet2!$B$1:$E$19,3,FALSE))</f>
        <v>1108959</v>
      </c>
      <c r="M2704">
        <f>IF(LEN(TRIM(E2704))=0,"",VLOOKUP(E2704,Sheet2!$B$1:$E$19,4,FALSE))+(F2704-1)</f>
        <v>3780217</v>
      </c>
    </row>
    <row r="2705" spans="1:13" s="1" customFormat="1" ht="15" customHeight="1" x14ac:dyDescent="0.25">
      <c r="A2705" s="28" t="s">
        <v>438</v>
      </c>
      <c r="B2705" s="28" t="s">
        <v>309</v>
      </c>
      <c r="C2705" s="6" t="s">
        <v>1687</v>
      </c>
      <c r="D2705" s="1" t="s">
        <v>454</v>
      </c>
      <c r="E2705" s="1">
        <v>2172</v>
      </c>
      <c r="F2705" s="28">
        <v>106</v>
      </c>
      <c r="G2705" s="9" t="s">
        <v>2768</v>
      </c>
      <c r="H2705" s="1">
        <v>110</v>
      </c>
      <c r="I2705" s="1">
        <v>109</v>
      </c>
      <c r="J2705" t="str">
        <f t="shared" si="42"/>
        <v>http://www.badatelna.eu/reprodukce/?fondId=1073&amp;zaznamId=1108958&amp;reproId=3779847</v>
      </c>
      <c r="K2705">
        <f>IF(LEN(TRIM(E2705))=0,"",VLOOKUP(E2705,Sheet2!$B$1:$E$19,2,FALSE))</f>
        <v>1073</v>
      </c>
      <c r="L2705">
        <f>IF(LEN(TRIM(E2705))=0,"",VLOOKUP(E2705,Sheet2!$B$1:$E$19,3,FALSE))</f>
        <v>1108958</v>
      </c>
      <c r="M2705">
        <f>IF(LEN(TRIM(E2705))=0,"",VLOOKUP(E2705,Sheet2!$B$1:$E$19,4,FALSE))+(F2705-1)</f>
        <v>3779847</v>
      </c>
    </row>
    <row r="2706" spans="1:13" s="1" customFormat="1" ht="15" customHeight="1" x14ac:dyDescent="0.25">
      <c r="A2706" s="28" t="s">
        <v>438</v>
      </c>
      <c r="B2706" s="28" t="s">
        <v>16</v>
      </c>
      <c r="C2706" s="6" t="s">
        <v>2690</v>
      </c>
      <c r="D2706" s="1" t="s">
        <v>454</v>
      </c>
      <c r="E2706" s="1">
        <v>2173</v>
      </c>
      <c r="F2706" s="28">
        <v>224</v>
      </c>
      <c r="G2706" s="9">
        <v>54</v>
      </c>
      <c r="H2706" s="1" t="s">
        <v>3073</v>
      </c>
      <c r="I2706" s="1" t="s">
        <v>3073</v>
      </c>
      <c r="J2706" t="str">
        <f t="shared" si="42"/>
        <v>http://www.badatelna.eu/reprodukce/?fondId=1073&amp;zaznamId=1108959&amp;reproId=3780217</v>
      </c>
      <c r="K2706">
        <f>IF(LEN(TRIM(E2706))=0,"",VLOOKUP(E2706,Sheet2!$B$1:$E$19,2,FALSE))</f>
        <v>1073</v>
      </c>
      <c r="L2706">
        <f>IF(LEN(TRIM(E2706))=0,"",VLOOKUP(E2706,Sheet2!$B$1:$E$19,3,FALSE))</f>
        <v>1108959</v>
      </c>
      <c r="M2706">
        <f>IF(LEN(TRIM(E2706))=0,"",VLOOKUP(E2706,Sheet2!$B$1:$E$19,4,FALSE))+(F2706-1)</f>
        <v>3780217</v>
      </c>
    </row>
    <row r="2707" spans="1:13" s="1" customFormat="1" ht="15" customHeight="1" x14ac:dyDescent="0.25">
      <c r="A2707" s="27" t="s">
        <v>438</v>
      </c>
      <c r="B2707" s="27" t="s">
        <v>359</v>
      </c>
      <c r="C2707" s="5" t="s">
        <v>1453</v>
      </c>
      <c r="D2707" s="3" t="s">
        <v>454</v>
      </c>
      <c r="E2707" s="3">
        <v>2170</v>
      </c>
      <c r="F2707" s="28">
        <v>29</v>
      </c>
      <c r="G2707" s="10">
        <v>25</v>
      </c>
      <c r="H2707" s="3">
        <v>71</v>
      </c>
      <c r="I2707" s="3">
        <v>67</v>
      </c>
      <c r="J2707" t="str">
        <f t="shared" si="42"/>
        <v>http://www.badatelna.eu/reprodukce/?fondId=1073&amp;zaznamId=1108956&amp;reproId=3779621</v>
      </c>
      <c r="K2707">
        <f>IF(LEN(TRIM(E2707))=0,"",VLOOKUP(E2707,Sheet2!$B$1:$E$19,2,FALSE))</f>
        <v>1073</v>
      </c>
      <c r="L2707">
        <f>IF(LEN(TRIM(E2707))=0,"",VLOOKUP(E2707,Sheet2!$B$1:$E$19,3,FALSE))</f>
        <v>1108956</v>
      </c>
      <c r="M2707">
        <f>IF(LEN(TRIM(E2707))=0,"",VLOOKUP(E2707,Sheet2!$B$1:$E$19,4,FALSE))+(F2707-1)</f>
        <v>3779621</v>
      </c>
    </row>
    <row r="2708" spans="1:13" s="1" customFormat="1" ht="15" customHeight="1" x14ac:dyDescent="0.25">
      <c r="A2708" s="28" t="s">
        <v>438</v>
      </c>
      <c r="B2708" s="28" t="s">
        <v>272</v>
      </c>
      <c r="C2708" s="1">
        <v>1886</v>
      </c>
      <c r="D2708" s="1" t="s">
        <v>454</v>
      </c>
      <c r="E2708" s="1">
        <v>2172</v>
      </c>
      <c r="F2708" s="28">
        <v>53</v>
      </c>
      <c r="G2708" s="9">
        <v>54</v>
      </c>
      <c r="H2708" s="1">
        <v>55</v>
      </c>
      <c r="I2708" s="1">
        <v>56</v>
      </c>
      <c r="J2708" t="str">
        <f t="shared" si="42"/>
        <v>http://www.badatelna.eu/reprodukce/?fondId=1073&amp;zaznamId=1108958&amp;reproId=3779794</v>
      </c>
      <c r="K2708">
        <f>IF(LEN(TRIM(E2708))=0,"",VLOOKUP(E2708,Sheet2!$B$1:$E$19,2,FALSE))</f>
        <v>1073</v>
      </c>
      <c r="L2708">
        <f>IF(LEN(TRIM(E2708))=0,"",VLOOKUP(E2708,Sheet2!$B$1:$E$19,3,FALSE))</f>
        <v>1108958</v>
      </c>
      <c r="M2708">
        <f>IF(LEN(TRIM(E2708))=0,"",VLOOKUP(E2708,Sheet2!$B$1:$E$19,4,FALSE))+(F2708-1)</f>
        <v>3779794</v>
      </c>
    </row>
    <row r="2709" spans="1:13" s="1" customFormat="1" ht="15" customHeight="1" x14ac:dyDescent="0.25">
      <c r="A2709" s="28" t="s">
        <v>438</v>
      </c>
      <c r="B2709" s="28" t="s">
        <v>135</v>
      </c>
      <c r="C2709" s="1">
        <v>1885</v>
      </c>
      <c r="D2709" s="1" t="s">
        <v>454</v>
      </c>
      <c r="E2709" s="1">
        <v>2172</v>
      </c>
      <c r="F2709" s="28">
        <v>48</v>
      </c>
      <c r="G2709" s="9">
        <v>47</v>
      </c>
      <c r="H2709" s="1">
        <v>49</v>
      </c>
      <c r="I2709" s="1">
        <v>50</v>
      </c>
      <c r="J2709" t="str">
        <f t="shared" si="42"/>
        <v>http://www.badatelna.eu/reprodukce/?fondId=1073&amp;zaznamId=1108958&amp;reproId=3779789</v>
      </c>
      <c r="K2709">
        <f>IF(LEN(TRIM(E2709))=0,"",VLOOKUP(E2709,Sheet2!$B$1:$E$19,2,FALSE))</f>
        <v>1073</v>
      </c>
      <c r="L2709">
        <f>IF(LEN(TRIM(E2709))=0,"",VLOOKUP(E2709,Sheet2!$B$1:$E$19,3,FALSE))</f>
        <v>1108958</v>
      </c>
      <c r="M2709">
        <f>IF(LEN(TRIM(E2709))=0,"",VLOOKUP(E2709,Sheet2!$B$1:$E$19,4,FALSE))+(F2709-1)</f>
        <v>3779789</v>
      </c>
    </row>
    <row r="2710" spans="1:13" s="1" customFormat="1" ht="15" customHeight="1" x14ac:dyDescent="0.25">
      <c r="A2710" s="28" t="s">
        <v>438</v>
      </c>
      <c r="B2710" s="28" t="s">
        <v>54</v>
      </c>
      <c r="C2710" s="1">
        <v>1887</v>
      </c>
      <c r="D2710" s="1" t="s">
        <v>454</v>
      </c>
      <c r="E2710" s="1">
        <v>2172</v>
      </c>
      <c r="F2710" s="28">
        <v>59</v>
      </c>
      <c r="G2710" s="9">
        <v>60</v>
      </c>
      <c r="H2710" s="1">
        <v>61</v>
      </c>
      <c r="I2710" s="1">
        <v>62</v>
      </c>
      <c r="J2710" t="str">
        <f t="shared" si="42"/>
        <v>http://www.badatelna.eu/reprodukce/?fondId=1073&amp;zaznamId=1108958&amp;reproId=3779800</v>
      </c>
      <c r="K2710">
        <f>IF(LEN(TRIM(E2710))=0,"",VLOOKUP(E2710,Sheet2!$B$1:$E$19,2,FALSE))</f>
        <v>1073</v>
      </c>
      <c r="L2710">
        <f>IF(LEN(TRIM(E2710))=0,"",VLOOKUP(E2710,Sheet2!$B$1:$E$19,3,FALSE))</f>
        <v>1108958</v>
      </c>
      <c r="M2710">
        <f>IF(LEN(TRIM(E2710))=0,"",VLOOKUP(E2710,Sheet2!$B$1:$E$19,4,FALSE))+(F2710-1)</f>
        <v>3779800</v>
      </c>
    </row>
    <row r="2711" spans="1:13" s="1" customFormat="1" ht="15" customHeight="1" x14ac:dyDescent="0.25">
      <c r="A2711" s="28" t="s">
        <v>438</v>
      </c>
      <c r="B2711" s="28" t="s">
        <v>13</v>
      </c>
      <c r="C2711" s="6" t="s">
        <v>1973</v>
      </c>
      <c r="D2711" s="1" t="s">
        <v>454</v>
      </c>
      <c r="E2711" s="1">
        <v>2172</v>
      </c>
      <c r="F2711" s="28">
        <v>239</v>
      </c>
      <c r="G2711" s="9">
        <v>219</v>
      </c>
      <c r="H2711" s="1" t="s">
        <v>3073</v>
      </c>
      <c r="I2711" s="1" t="s">
        <v>3073</v>
      </c>
      <c r="J2711" t="str">
        <f t="shared" si="42"/>
        <v>http://www.badatelna.eu/reprodukce/?fondId=1073&amp;zaznamId=1108958&amp;reproId=3779980</v>
      </c>
      <c r="K2711">
        <f>IF(LEN(TRIM(E2711))=0,"",VLOOKUP(E2711,Sheet2!$B$1:$E$19,2,FALSE))</f>
        <v>1073</v>
      </c>
      <c r="L2711">
        <f>IF(LEN(TRIM(E2711))=0,"",VLOOKUP(E2711,Sheet2!$B$1:$E$19,3,FALSE))</f>
        <v>1108958</v>
      </c>
      <c r="M2711">
        <f>IF(LEN(TRIM(E2711))=0,"",VLOOKUP(E2711,Sheet2!$B$1:$E$19,4,FALSE))+(F2711-1)</f>
        <v>3779980</v>
      </c>
    </row>
    <row r="2712" spans="1:13" s="1" customFormat="1" ht="15" customHeight="1" x14ac:dyDescent="0.25">
      <c r="A2712" s="27" t="s">
        <v>438</v>
      </c>
      <c r="B2712" s="27" t="s">
        <v>407</v>
      </c>
      <c r="C2712" s="5" t="s">
        <v>1452</v>
      </c>
      <c r="D2712" s="3" t="s">
        <v>454</v>
      </c>
      <c r="E2712" s="3">
        <v>2170</v>
      </c>
      <c r="F2712" s="28">
        <v>29</v>
      </c>
      <c r="G2712" s="10">
        <v>25</v>
      </c>
      <c r="H2712" s="3">
        <v>71</v>
      </c>
      <c r="I2712" s="3">
        <v>67</v>
      </c>
      <c r="J2712" t="str">
        <f t="shared" si="42"/>
        <v>http://www.badatelna.eu/reprodukce/?fondId=1073&amp;zaznamId=1108956&amp;reproId=3779621</v>
      </c>
      <c r="K2712">
        <f>IF(LEN(TRIM(E2712))=0,"",VLOOKUP(E2712,Sheet2!$B$1:$E$19,2,FALSE))</f>
        <v>1073</v>
      </c>
      <c r="L2712">
        <f>IF(LEN(TRIM(E2712))=0,"",VLOOKUP(E2712,Sheet2!$B$1:$E$19,3,FALSE))</f>
        <v>1108956</v>
      </c>
      <c r="M2712">
        <f>IF(LEN(TRIM(E2712))=0,"",VLOOKUP(E2712,Sheet2!$B$1:$E$19,4,FALSE))+(F2712-1)</f>
        <v>3779621</v>
      </c>
    </row>
    <row r="2713" spans="1:13" s="1" customFormat="1" ht="15" customHeight="1" x14ac:dyDescent="0.25">
      <c r="A2713" s="28" t="s">
        <v>704</v>
      </c>
      <c r="B2713" s="28" t="s">
        <v>705</v>
      </c>
      <c r="C2713" s="6" t="s">
        <v>1971</v>
      </c>
      <c r="D2713" s="1" t="s">
        <v>454</v>
      </c>
      <c r="E2713" s="1">
        <v>2172</v>
      </c>
      <c r="F2713" s="28">
        <v>238</v>
      </c>
      <c r="G2713" s="9">
        <v>218</v>
      </c>
      <c r="H2713" s="1" t="s">
        <v>3073</v>
      </c>
      <c r="I2713" s="1" t="s">
        <v>3073</v>
      </c>
      <c r="J2713" t="str">
        <f t="shared" si="42"/>
        <v>http://www.badatelna.eu/reprodukce/?fondId=1073&amp;zaznamId=1108958&amp;reproId=3779979</v>
      </c>
      <c r="K2713">
        <f>IF(LEN(TRIM(E2713))=0,"",VLOOKUP(E2713,Sheet2!$B$1:$E$19,2,FALSE))</f>
        <v>1073</v>
      </c>
      <c r="L2713">
        <f>IF(LEN(TRIM(E2713))=0,"",VLOOKUP(E2713,Sheet2!$B$1:$E$19,3,FALSE))</f>
        <v>1108958</v>
      </c>
      <c r="M2713">
        <f>IF(LEN(TRIM(E2713))=0,"",VLOOKUP(E2713,Sheet2!$B$1:$E$19,4,FALSE))+(F2713-1)</f>
        <v>3779979</v>
      </c>
    </row>
    <row r="2714" spans="1:13" s="1" customFormat="1" ht="15" customHeight="1" x14ac:dyDescent="0.25">
      <c r="A2714" s="28" t="s">
        <v>706</v>
      </c>
      <c r="B2714" s="28" t="s">
        <v>707</v>
      </c>
      <c r="C2714" s="15">
        <v>11142</v>
      </c>
      <c r="D2714" s="1" t="s">
        <v>454</v>
      </c>
      <c r="E2714" s="1">
        <v>2172</v>
      </c>
      <c r="F2714" s="28">
        <v>221</v>
      </c>
      <c r="G2714" s="9">
        <v>203</v>
      </c>
      <c r="H2714" s="1" t="s">
        <v>3073</v>
      </c>
      <c r="I2714" s="1" t="s">
        <v>3073</v>
      </c>
      <c r="J2714" t="str">
        <f t="shared" si="42"/>
        <v>http://www.badatelna.eu/reprodukce/?fondId=1073&amp;zaznamId=1108958&amp;reproId=3779962</v>
      </c>
      <c r="K2714">
        <f>IF(LEN(TRIM(E2714))=0,"",VLOOKUP(E2714,Sheet2!$B$1:$E$19,2,FALSE))</f>
        <v>1073</v>
      </c>
      <c r="L2714">
        <f>IF(LEN(TRIM(E2714))=0,"",VLOOKUP(E2714,Sheet2!$B$1:$E$19,3,FALSE))</f>
        <v>1108958</v>
      </c>
      <c r="M2714">
        <f>IF(LEN(TRIM(E2714))=0,"",VLOOKUP(E2714,Sheet2!$B$1:$E$19,4,FALSE))+(F2714-1)</f>
        <v>3779962</v>
      </c>
    </row>
    <row r="2715" spans="1:13" s="1" customFormat="1" ht="15" customHeight="1" x14ac:dyDescent="0.25">
      <c r="A2715" s="28" t="s">
        <v>391</v>
      </c>
      <c r="B2715" s="28" t="s">
        <v>708</v>
      </c>
      <c r="C2715" s="15">
        <v>6430</v>
      </c>
      <c r="D2715" s="1" t="s">
        <v>454</v>
      </c>
      <c r="E2715" s="1">
        <v>2172</v>
      </c>
      <c r="F2715" s="28">
        <v>191</v>
      </c>
      <c r="G2715" s="9">
        <v>181</v>
      </c>
      <c r="H2715" s="1" t="s">
        <v>3073</v>
      </c>
      <c r="I2715" s="1" t="s">
        <v>3073</v>
      </c>
      <c r="J2715" t="str">
        <f t="shared" si="42"/>
        <v>http://www.badatelna.eu/reprodukce/?fondId=1073&amp;zaznamId=1108958&amp;reproId=3779932</v>
      </c>
      <c r="K2715">
        <f>IF(LEN(TRIM(E2715))=0,"",VLOOKUP(E2715,Sheet2!$B$1:$E$19,2,FALSE))</f>
        <v>1073</v>
      </c>
      <c r="L2715">
        <f>IF(LEN(TRIM(E2715))=0,"",VLOOKUP(E2715,Sheet2!$B$1:$E$19,3,FALSE))</f>
        <v>1108958</v>
      </c>
      <c r="M2715">
        <f>IF(LEN(TRIM(E2715))=0,"",VLOOKUP(E2715,Sheet2!$B$1:$E$19,4,FALSE))+(F2715-1)</f>
        <v>3779932</v>
      </c>
    </row>
    <row r="2716" spans="1:13" s="1" customFormat="1" ht="15" customHeight="1" x14ac:dyDescent="0.25">
      <c r="A2716" s="28" t="s">
        <v>391</v>
      </c>
      <c r="B2716" s="28" t="s">
        <v>390</v>
      </c>
      <c r="C2716" s="6" t="s">
        <v>2583</v>
      </c>
      <c r="D2716" s="1" t="s">
        <v>454</v>
      </c>
      <c r="E2716" s="1">
        <v>2173</v>
      </c>
      <c r="F2716" s="28">
        <v>214</v>
      </c>
      <c r="G2716" s="9">
        <v>37</v>
      </c>
      <c r="H2716" s="1" t="s">
        <v>3073</v>
      </c>
      <c r="I2716" s="1" t="s">
        <v>3073</v>
      </c>
      <c r="J2716" t="str">
        <f t="shared" si="42"/>
        <v>http://www.badatelna.eu/reprodukce/?fondId=1073&amp;zaznamId=1108959&amp;reproId=3780207</v>
      </c>
      <c r="K2716">
        <f>IF(LEN(TRIM(E2716))=0,"",VLOOKUP(E2716,Sheet2!$B$1:$E$19,2,FALSE))</f>
        <v>1073</v>
      </c>
      <c r="L2716">
        <f>IF(LEN(TRIM(E2716))=0,"",VLOOKUP(E2716,Sheet2!$B$1:$E$19,3,FALSE))</f>
        <v>1108959</v>
      </c>
      <c r="M2716">
        <f>IF(LEN(TRIM(E2716))=0,"",VLOOKUP(E2716,Sheet2!$B$1:$E$19,4,FALSE))+(F2716-1)</f>
        <v>3780207</v>
      </c>
    </row>
    <row r="2717" spans="1:13" s="1" customFormat="1" ht="15" customHeight="1" x14ac:dyDescent="0.25">
      <c r="A2717" s="27" t="s">
        <v>640</v>
      </c>
      <c r="B2717" s="27" t="s">
        <v>240</v>
      </c>
      <c r="C2717" s="5" t="s">
        <v>1454</v>
      </c>
      <c r="D2717" s="3" t="s">
        <v>454</v>
      </c>
      <c r="E2717" s="3">
        <v>2170</v>
      </c>
      <c r="F2717" s="28">
        <v>15</v>
      </c>
      <c r="G2717" s="10">
        <v>11</v>
      </c>
      <c r="H2717" s="3">
        <v>71</v>
      </c>
      <c r="I2717" s="3">
        <v>67</v>
      </c>
      <c r="J2717" t="str">
        <f t="shared" si="42"/>
        <v>http://www.badatelna.eu/reprodukce/?fondId=1073&amp;zaznamId=1108956&amp;reproId=3779607</v>
      </c>
      <c r="K2717">
        <f>IF(LEN(TRIM(E2717))=0,"",VLOOKUP(E2717,Sheet2!$B$1:$E$19,2,FALSE))</f>
        <v>1073</v>
      </c>
      <c r="L2717">
        <f>IF(LEN(TRIM(E2717))=0,"",VLOOKUP(E2717,Sheet2!$B$1:$E$19,3,FALSE))</f>
        <v>1108956</v>
      </c>
      <c r="M2717">
        <f>IF(LEN(TRIM(E2717))=0,"",VLOOKUP(E2717,Sheet2!$B$1:$E$19,4,FALSE))+(F2717-1)</f>
        <v>3779607</v>
      </c>
    </row>
    <row r="2718" spans="1:13" s="1" customFormat="1" ht="15" customHeight="1" x14ac:dyDescent="0.25">
      <c r="A2718" s="28" t="s">
        <v>139</v>
      </c>
      <c r="B2718" s="28" t="s">
        <v>33</v>
      </c>
      <c r="C2718" s="6" t="s">
        <v>2701</v>
      </c>
      <c r="D2718" s="1" t="s">
        <v>454</v>
      </c>
      <c r="E2718" s="1">
        <v>2173</v>
      </c>
      <c r="F2718" s="28">
        <v>224</v>
      </c>
      <c r="G2718" s="9">
        <v>54</v>
      </c>
      <c r="H2718" s="1" t="s">
        <v>3073</v>
      </c>
      <c r="I2718" s="1" t="s">
        <v>3073</v>
      </c>
      <c r="J2718" t="str">
        <f t="shared" si="42"/>
        <v>http://www.badatelna.eu/reprodukce/?fondId=1073&amp;zaznamId=1108959&amp;reproId=3780217</v>
      </c>
      <c r="K2718">
        <f>IF(LEN(TRIM(E2718))=0,"",VLOOKUP(E2718,Sheet2!$B$1:$E$19,2,FALSE))</f>
        <v>1073</v>
      </c>
      <c r="L2718">
        <f>IF(LEN(TRIM(E2718))=0,"",VLOOKUP(E2718,Sheet2!$B$1:$E$19,3,FALSE))</f>
        <v>1108959</v>
      </c>
      <c r="M2718">
        <f>IF(LEN(TRIM(E2718))=0,"",VLOOKUP(E2718,Sheet2!$B$1:$E$19,4,FALSE))+(F2718-1)</f>
        <v>3780217</v>
      </c>
    </row>
    <row r="2719" spans="1:13" s="1" customFormat="1" ht="15" customHeight="1" x14ac:dyDescent="0.25">
      <c r="A2719" s="28" t="s">
        <v>139</v>
      </c>
      <c r="B2719" s="28" t="s">
        <v>45</v>
      </c>
      <c r="C2719" s="6" t="s">
        <v>2388</v>
      </c>
      <c r="D2719" s="1" t="s">
        <v>454</v>
      </c>
      <c r="E2719" s="1">
        <v>2173</v>
      </c>
      <c r="F2719" s="28">
        <v>201</v>
      </c>
      <c r="G2719" s="9">
        <v>11</v>
      </c>
      <c r="H2719" s="1" t="s">
        <v>3073</v>
      </c>
      <c r="I2719" s="1" t="s">
        <v>3073</v>
      </c>
      <c r="J2719" t="str">
        <f t="shared" si="42"/>
        <v>http://www.badatelna.eu/reprodukce/?fondId=1073&amp;zaznamId=1108959&amp;reproId=3780194</v>
      </c>
      <c r="K2719">
        <f>IF(LEN(TRIM(E2719))=0,"",VLOOKUP(E2719,Sheet2!$B$1:$E$19,2,FALSE))</f>
        <v>1073</v>
      </c>
      <c r="L2719">
        <f>IF(LEN(TRIM(E2719))=0,"",VLOOKUP(E2719,Sheet2!$B$1:$E$19,3,FALSE))</f>
        <v>1108959</v>
      </c>
      <c r="M2719">
        <f>IF(LEN(TRIM(E2719))=0,"",VLOOKUP(E2719,Sheet2!$B$1:$E$19,4,FALSE))+(F2719-1)</f>
        <v>3780194</v>
      </c>
    </row>
    <row r="2720" spans="1:13" s="1" customFormat="1" ht="15" customHeight="1" x14ac:dyDescent="0.25">
      <c r="A2720" s="28" t="s">
        <v>139</v>
      </c>
      <c r="B2720" s="28" t="s">
        <v>49</v>
      </c>
      <c r="C2720" s="6" t="s">
        <v>2838</v>
      </c>
      <c r="D2720" s="1" t="s">
        <v>454</v>
      </c>
      <c r="E2720" s="1">
        <v>2173</v>
      </c>
      <c r="F2720" s="28">
        <v>209</v>
      </c>
      <c r="G2720" s="9" t="s">
        <v>2757</v>
      </c>
      <c r="H2720" s="1" t="s">
        <v>3073</v>
      </c>
      <c r="I2720" s="1" t="s">
        <v>3073</v>
      </c>
      <c r="J2720" t="str">
        <f t="shared" si="42"/>
        <v>http://www.badatelna.eu/reprodukce/?fondId=1073&amp;zaznamId=1108959&amp;reproId=3780202</v>
      </c>
      <c r="K2720">
        <f>IF(LEN(TRIM(E2720))=0,"",VLOOKUP(E2720,Sheet2!$B$1:$E$19,2,FALSE))</f>
        <v>1073</v>
      </c>
      <c r="L2720">
        <f>IF(LEN(TRIM(E2720))=0,"",VLOOKUP(E2720,Sheet2!$B$1:$E$19,3,FALSE))</f>
        <v>1108959</v>
      </c>
      <c r="M2720">
        <f>IF(LEN(TRIM(E2720))=0,"",VLOOKUP(E2720,Sheet2!$B$1:$E$19,4,FALSE))+(F2720-1)</f>
        <v>3780202</v>
      </c>
    </row>
    <row r="2721" spans="1:13" s="1" customFormat="1" ht="15" customHeight="1" x14ac:dyDescent="0.25">
      <c r="A2721" s="28" t="s">
        <v>139</v>
      </c>
      <c r="B2721" s="28"/>
      <c r="C2721" s="6"/>
      <c r="F2721" s="28"/>
      <c r="G2721" s="9"/>
      <c r="J2721" t="str">
        <f t="shared" si="42"/>
        <v/>
      </c>
      <c r="K2721" t="str">
        <f>IF(LEN(TRIM(E2721))=0,"",VLOOKUP(E2721,Sheet2!$B$1:$E$19,2,FALSE))</f>
        <v/>
      </c>
      <c r="L2721" t="str">
        <f>IF(LEN(TRIM(E2721))=0,"",VLOOKUP(E2721,Sheet2!$B$1:$E$19,3,FALSE))</f>
        <v/>
      </c>
      <c r="M2721" t="e">
        <f>IF(LEN(TRIM(E2721))=0,"",VLOOKUP(E2721,Sheet2!$B$1:$E$19,4,FALSE))+(F2721-1)</f>
        <v>#VALUE!</v>
      </c>
    </row>
    <row r="2722" spans="1:13" s="1" customFormat="1" ht="15" customHeight="1" x14ac:dyDescent="0.25">
      <c r="A2722" s="27" t="s">
        <v>429</v>
      </c>
      <c r="B2722" s="27" t="s">
        <v>561</v>
      </c>
      <c r="C2722" s="5" t="s">
        <v>1455</v>
      </c>
      <c r="D2722" s="3" t="s">
        <v>454</v>
      </c>
      <c r="E2722" s="3">
        <v>2170</v>
      </c>
      <c r="F2722" s="28">
        <v>13</v>
      </c>
      <c r="G2722" s="10">
        <v>9</v>
      </c>
      <c r="H2722" s="3">
        <v>71</v>
      </c>
      <c r="I2722" s="3">
        <v>67</v>
      </c>
      <c r="J2722" t="str">
        <f t="shared" si="42"/>
        <v>http://www.badatelna.eu/reprodukce/?fondId=1073&amp;zaznamId=1108956&amp;reproId=3779605</v>
      </c>
      <c r="K2722">
        <f>IF(LEN(TRIM(E2722))=0,"",VLOOKUP(E2722,Sheet2!$B$1:$E$19,2,FALSE))</f>
        <v>1073</v>
      </c>
      <c r="L2722">
        <f>IF(LEN(TRIM(E2722))=0,"",VLOOKUP(E2722,Sheet2!$B$1:$E$19,3,FALSE))</f>
        <v>1108956</v>
      </c>
      <c r="M2722">
        <f>IF(LEN(TRIM(E2722))=0,"",VLOOKUP(E2722,Sheet2!$B$1:$E$19,4,FALSE))+(F2722-1)</f>
        <v>3779605</v>
      </c>
    </row>
    <row r="2723" spans="1:13" s="1" customFormat="1" ht="15" customHeight="1" x14ac:dyDescent="0.25">
      <c r="A2723" s="28" t="s">
        <v>429</v>
      </c>
      <c r="B2723" s="28" t="s">
        <v>7</v>
      </c>
      <c r="C2723" s="6" t="s">
        <v>2702</v>
      </c>
      <c r="D2723" s="1" t="s">
        <v>454</v>
      </c>
      <c r="E2723" s="1">
        <v>2173</v>
      </c>
      <c r="F2723" s="28">
        <v>224</v>
      </c>
      <c r="G2723" s="9">
        <v>53</v>
      </c>
      <c r="H2723" s="1" t="s">
        <v>3073</v>
      </c>
      <c r="I2723" s="1" t="s">
        <v>3073</v>
      </c>
      <c r="J2723" t="str">
        <f t="shared" si="42"/>
        <v>http://www.badatelna.eu/reprodukce/?fondId=1073&amp;zaznamId=1108959&amp;reproId=3780217</v>
      </c>
      <c r="K2723">
        <f>IF(LEN(TRIM(E2723))=0,"",VLOOKUP(E2723,Sheet2!$B$1:$E$19,2,FALSE))</f>
        <v>1073</v>
      </c>
      <c r="L2723">
        <f>IF(LEN(TRIM(E2723))=0,"",VLOOKUP(E2723,Sheet2!$B$1:$E$19,3,FALSE))</f>
        <v>1108959</v>
      </c>
      <c r="M2723">
        <f>IF(LEN(TRIM(E2723))=0,"",VLOOKUP(E2723,Sheet2!$B$1:$E$19,4,FALSE))+(F2723-1)</f>
        <v>3780217</v>
      </c>
    </row>
    <row r="2724" spans="1:13" s="1" customFormat="1" ht="15" customHeight="1" x14ac:dyDescent="0.25">
      <c r="A2724" s="28" t="s">
        <v>709</v>
      </c>
      <c r="B2724" s="28" t="s">
        <v>25</v>
      </c>
      <c r="C2724" s="6" t="s">
        <v>1840</v>
      </c>
      <c r="D2724" s="1" t="s">
        <v>454</v>
      </c>
      <c r="E2724" s="1">
        <v>2172</v>
      </c>
      <c r="F2724" s="28">
        <v>174</v>
      </c>
      <c r="G2724" s="9">
        <v>167</v>
      </c>
      <c r="H2724" s="1" t="s">
        <v>3073</v>
      </c>
      <c r="I2724" s="1" t="s">
        <v>3073</v>
      </c>
      <c r="J2724" t="str">
        <f t="shared" si="42"/>
        <v>http://www.badatelna.eu/reprodukce/?fondId=1073&amp;zaznamId=1108958&amp;reproId=3779915</v>
      </c>
      <c r="K2724">
        <f>IF(LEN(TRIM(E2724))=0,"",VLOOKUP(E2724,Sheet2!$B$1:$E$19,2,FALSE))</f>
        <v>1073</v>
      </c>
      <c r="L2724">
        <f>IF(LEN(TRIM(E2724))=0,"",VLOOKUP(E2724,Sheet2!$B$1:$E$19,3,FALSE))</f>
        <v>1108958</v>
      </c>
      <c r="M2724">
        <f>IF(LEN(TRIM(E2724))=0,"",VLOOKUP(E2724,Sheet2!$B$1:$E$19,4,FALSE))+(F2724-1)</f>
        <v>3779915</v>
      </c>
    </row>
    <row r="2725" spans="1:13" s="1" customFormat="1" ht="15" customHeight="1" x14ac:dyDescent="0.25">
      <c r="A2725" s="28" t="s">
        <v>311</v>
      </c>
      <c r="B2725" s="28" t="s">
        <v>13</v>
      </c>
      <c r="C2725" s="1">
        <v>1860</v>
      </c>
      <c r="D2725" s="1" t="s">
        <v>2919</v>
      </c>
      <c r="E2725" s="1">
        <v>998</v>
      </c>
      <c r="F2725" s="28">
        <v>59</v>
      </c>
      <c r="G2725" s="1">
        <v>56</v>
      </c>
      <c r="H2725" s="1">
        <v>80</v>
      </c>
      <c r="I2725" s="1">
        <v>78</v>
      </c>
      <c r="J2725" t="str">
        <f t="shared" si="42"/>
        <v>http://www.badatelna.eu/reprodukce/?fondId=241&amp;zaznamId=1133738&amp;reproId=3885705</v>
      </c>
      <c r="K2725">
        <f>IF(LEN(TRIM(E2725))=0,"",VLOOKUP(E2725,Sheet2!$B$1:$E$19,2,FALSE))</f>
        <v>241</v>
      </c>
      <c r="L2725">
        <f>IF(LEN(TRIM(E2725))=0,"",VLOOKUP(E2725,Sheet2!$B$1:$E$19,3,FALSE))</f>
        <v>1133738</v>
      </c>
      <c r="M2725">
        <f>IF(LEN(TRIM(E2725))=0,"",VLOOKUP(E2725,Sheet2!$B$1:$E$19,4,FALSE))+(F2725-1)</f>
        <v>3885705</v>
      </c>
    </row>
    <row r="2726" spans="1:13" s="1" customFormat="1" ht="15" customHeight="1" x14ac:dyDescent="0.25">
      <c r="A2726" s="28" t="s">
        <v>710</v>
      </c>
      <c r="B2726" s="28" t="s">
        <v>711</v>
      </c>
      <c r="C2726" s="15">
        <v>10694</v>
      </c>
      <c r="D2726" s="1" t="s">
        <v>454</v>
      </c>
      <c r="E2726" s="1">
        <v>2172</v>
      </c>
      <c r="F2726" s="28">
        <v>218</v>
      </c>
      <c r="G2726" s="9">
        <v>202</v>
      </c>
      <c r="H2726" s="1" t="s">
        <v>3073</v>
      </c>
      <c r="I2726" s="1" t="s">
        <v>3073</v>
      </c>
      <c r="J2726" t="str">
        <f t="shared" si="42"/>
        <v>http://www.badatelna.eu/reprodukce/?fondId=1073&amp;zaznamId=1108958&amp;reproId=3779959</v>
      </c>
      <c r="K2726">
        <f>IF(LEN(TRIM(E2726))=0,"",VLOOKUP(E2726,Sheet2!$B$1:$E$19,2,FALSE))</f>
        <v>1073</v>
      </c>
      <c r="L2726">
        <f>IF(LEN(TRIM(E2726))=0,"",VLOOKUP(E2726,Sheet2!$B$1:$E$19,3,FALSE))</f>
        <v>1108958</v>
      </c>
      <c r="M2726">
        <f>IF(LEN(TRIM(E2726))=0,"",VLOOKUP(E2726,Sheet2!$B$1:$E$19,4,FALSE))+(F2726-1)</f>
        <v>3779959</v>
      </c>
    </row>
    <row r="2727" spans="1:13" s="1" customFormat="1" ht="15" customHeight="1" x14ac:dyDescent="0.25">
      <c r="A2727" s="28" t="s">
        <v>712</v>
      </c>
      <c r="B2727" s="28" t="s">
        <v>713</v>
      </c>
      <c r="C2727" s="6" t="s">
        <v>1963</v>
      </c>
      <c r="D2727" s="1" t="s">
        <v>454</v>
      </c>
      <c r="E2727" s="1">
        <v>2172</v>
      </c>
      <c r="F2727" s="28">
        <v>235</v>
      </c>
      <c r="G2727" s="9">
        <v>215</v>
      </c>
      <c r="H2727" s="1" t="s">
        <v>3073</v>
      </c>
      <c r="I2727" s="1" t="s">
        <v>3073</v>
      </c>
      <c r="J2727" t="str">
        <f t="shared" si="42"/>
        <v>http://www.badatelna.eu/reprodukce/?fondId=1073&amp;zaznamId=1108958&amp;reproId=3779976</v>
      </c>
      <c r="K2727">
        <f>IF(LEN(TRIM(E2727))=0,"",VLOOKUP(E2727,Sheet2!$B$1:$E$19,2,FALSE))</f>
        <v>1073</v>
      </c>
      <c r="L2727">
        <f>IF(LEN(TRIM(E2727))=0,"",VLOOKUP(E2727,Sheet2!$B$1:$E$19,3,FALSE))</f>
        <v>1108958</v>
      </c>
      <c r="M2727">
        <f>IF(LEN(TRIM(E2727))=0,"",VLOOKUP(E2727,Sheet2!$B$1:$E$19,4,FALSE))+(F2727-1)</f>
        <v>3779976</v>
      </c>
    </row>
    <row r="2728" spans="1:13" s="1" customFormat="1" ht="15" customHeight="1" x14ac:dyDescent="0.25">
      <c r="A2728" s="27" t="s">
        <v>641</v>
      </c>
      <c r="B2728" s="27" t="s">
        <v>642</v>
      </c>
      <c r="C2728" s="5" t="s">
        <v>1456</v>
      </c>
      <c r="D2728" s="3" t="s">
        <v>454</v>
      </c>
      <c r="E2728" s="3">
        <v>2170</v>
      </c>
      <c r="F2728" s="28">
        <v>52</v>
      </c>
      <c r="G2728" s="10">
        <v>48</v>
      </c>
      <c r="H2728" s="3">
        <v>73</v>
      </c>
      <c r="I2728" s="3">
        <v>69</v>
      </c>
      <c r="J2728" t="str">
        <f t="shared" si="42"/>
        <v>http://www.badatelna.eu/reprodukce/?fondId=1073&amp;zaznamId=1108956&amp;reproId=3779644</v>
      </c>
      <c r="K2728">
        <f>IF(LEN(TRIM(E2728))=0,"",VLOOKUP(E2728,Sheet2!$B$1:$E$19,2,FALSE))</f>
        <v>1073</v>
      </c>
      <c r="L2728">
        <f>IF(LEN(TRIM(E2728))=0,"",VLOOKUP(E2728,Sheet2!$B$1:$E$19,3,FALSE))</f>
        <v>1108956</v>
      </c>
      <c r="M2728">
        <f>IF(LEN(TRIM(E2728))=0,"",VLOOKUP(E2728,Sheet2!$B$1:$E$19,4,FALSE))+(F2728-1)</f>
        <v>3779644</v>
      </c>
    </row>
    <row r="2729" spans="1:13" s="1" customFormat="1" ht="15" customHeight="1" x14ac:dyDescent="0.25">
      <c r="A2729" s="27" t="s">
        <v>641</v>
      </c>
      <c r="B2729" s="27" t="s">
        <v>643</v>
      </c>
      <c r="C2729" s="5" t="s">
        <v>1457</v>
      </c>
      <c r="D2729" s="3" t="s">
        <v>454</v>
      </c>
      <c r="E2729" s="3">
        <v>2170</v>
      </c>
      <c r="F2729" s="28">
        <v>49</v>
      </c>
      <c r="G2729" s="10">
        <v>45</v>
      </c>
      <c r="H2729" s="3">
        <v>73</v>
      </c>
      <c r="I2729" s="3">
        <v>69</v>
      </c>
      <c r="J2729" t="str">
        <f t="shared" si="42"/>
        <v>http://www.badatelna.eu/reprodukce/?fondId=1073&amp;zaznamId=1108956&amp;reproId=3779641</v>
      </c>
      <c r="K2729">
        <f>IF(LEN(TRIM(E2729))=0,"",VLOOKUP(E2729,Sheet2!$B$1:$E$19,2,FALSE))</f>
        <v>1073</v>
      </c>
      <c r="L2729">
        <f>IF(LEN(TRIM(E2729))=0,"",VLOOKUP(E2729,Sheet2!$B$1:$E$19,3,FALSE))</f>
        <v>1108956</v>
      </c>
      <c r="M2729">
        <f>IF(LEN(TRIM(E2729))=0,"",VLOOKUP(E2729,Sheet2!$B$1:$E$19,4,FALSE))+(F2729-1)</f>
        <v>3779641</v>
      </c>
    </row>
    <row r="2730" spans="1:13" s="1" customFormat="1" ht="15" customHeight="1" x14ac:dyDescent="0.25">
      <c r="A2730" s="28" t="s">
        <v>375</v>
      </c>
      <c r="B2730" s="28" t="s">
        <v>49</v>
      </c>
      <c r="C2730" s="6" t="s">
        <v>2201</v>
      </c>
      <c r="D2730" s="1" t="s">
        <v>454</v>
      </c>
      <c r="E2730" s="1">
        <v>2173</v>
      </c>
      <c r="F2730" s="28">
        <v>183</v>
      </c>
      <c r="G2730" s="9">
        <v>12</v>
      </c>
      <c r="H2730" s="1">
        <v>194</v>
      </c>
      <c r="I2730" s="1">
        <v>430</v>
      </c>
      <c r="J2730" t="str">
        <f t="shared" si="42"/>
        <v>http://www.badatelna.eu/reprodukce/?fondId=1073&amp;zaznamId=1108959&amp;reproId=3780176</v>
      </c>
      <c r="K2730">
        <f>IF(LEN(TRIM(E2730))=0,"",VLOOKUP(E2730,Sheet2!$B$1:$E$19,2,FALSE))</f>
        <v>1073</v>
      </c>
      <c r="L2730">
        <f>IF(LEN(TRIM(E2730))=0,"",VLOOKUP(E2730,Sheet2!$B$1:$E$19,3,FALSE))</f>
        <v>1108959</v>
      </c>
      <c r="M2730">
        <f>IF(LEN(TRIM(E2730))=0,"",VLOOKUP(E2730,Sheet2!$B$1:$E$19,4,FALSE))+(F2730-1)</f>
        <v>3780176</v>
      </c>
    </row>
    <row r="2731" spans="1:13" s="1" customFormat="1" ht="15" customHeight="1" x14ac:dyDescent="0.25">
      <c r="A2731" s="28" t="s">
        <v>714</v>
      </c>
      <c r="B2731" s="28" t="s">
        <v>715</v>
      </c>
      <c r="C2731" s="6" t="s">
        <v>1816</v>
      </c>
      <c r="D2731" s="1" t="s">
        <v>454</v>
      </c>
      <c r="E2731" s="1">
        <v>2172</v>
      </c>
      <c r="F2731" s="28">
        <v>167</v>
      </c>
      <c r="G2731" s="9">
        <v>160</v>
      </c>
      <c r="H2731" s="1" t="s">
        <v>3073</v>
      </c>
      <c r="I2731" s="1" t="s">
        <v>3073</v>
      </c>
      <c r="J2731" t="str">
        <f t="shared" si="42"/>
        <v>http://www.badatelna.eu/reprodukce/?fondId=1073&amp;zaznamId=1108958&amp;reproId=3779908</v>
      </c>
      <c r="K2731">
        <f>IF(LEN(TRIM(E2731))=0,"",VLOOKUP(E2731,Sheet2!$B$1:$E$19,2,FALSE))</f>
        <v>1073</v>
      </c>
      <c r="L2731">
        <f>IF(LEN(TRIM(E2731))=0,"",VLOOKUP(E2731,Sheet2!$B$1:$E$19,3,FALSE))</f>
        <v>1108958</v>
      </c>
      <c r="M2731">
        <f>IF(LEN(TRIM(E2731))=0,"",VLOOKUP(E2731,Sheet2!$B$1:$E$19,4,FALSE))+(F2731-1)</f>
        <v>3779908</v>
      </c>
    </row>
    <row r="2732" spans="1:13" s="1" customFormat="1" ht="15" customHeight="1" x14ac:dyDescent="0.25">
      <c r="A2732" s="28" t="s">
        <v>714</v>
      </c>
      <c r="B2732" s="28" t="s">
        <v>716</v>
      </c>
      <c r="C2732" s="1">
        <v>1891</v>
      </c>
      <c r="D2732" s="1" t="s">
        <v>454</v>
      </c>
      <c r="E2732" s="1">
        <v>2172</v>
      </c>
      <c r="F2732" s="28">
        <v>82</v>
      </c>
      <c r="G2732" s="9">
        <v>81</v>
      </c>
      <c r="H2732" s="1">
        <v>84</v>
      </c>
      <c r="I2732" s="1">
        <v>83</v>
      </c>
      <c r="J2732" t="str">
        <f t="shared" si="42"/>
        <v>http://www.badatelna.eu/reprodukce/?fondId=1073&amp;zaznamId=1108958&amp;reproId=3779823</v>
      </c>
      <c r="K2732">
        <f>IF(LEN(TRIM(E2732))=0,"",VLOOKUP(E2732,Sheet2!$B$1:$E$19,2,FALSE))</f>
        <v>1073</v>
      </c>
      <c r="L2732">
        <f>IF(LEN(TRIM(E2732))=0,"",VLOOKUP(E2732,Sheet2!$B$1:$E$19,3,FALSE))</f>
        <v>1108958</v>
      </c>
      <c r="M2732">
        <f>IF(LEN(TRIM(E2732))=0,"",VLOOKUP(E2732,Sheet2!$B$1:$E$19,4,FALSE))+(F2732-1)</f>
        <v>3779823</v>
      </c>
    </row>
    <row r="2733" spans="1:13" s="1" customFormat="1" ht="15" customHeight="1" x14ac:dyDescent="0.25">
      <c r="A2733" s="28" t="s">
        <v>717</v>
      </c>
      <c r="B2733" s="28" t="s">
        <v>718</v>
      </c>
      <c r="C2733" s="6" t="s">
        <v>1905</v>
      </c>
      <c r="D2733" s="1" t="s">
        <v>454</v>
      </c>
      <c r="E2733" s="1">
        <v>2172</v>
      </c>
      <c r="F2733" s="28">
        <v>207</v>
      </c>
      <c r="G2733" s="9">
        <v>192</v>
      </c>
      <c r="H2733" s="1" t="s">
        <v>3073</v>
      </c>
      <c r="I2733" s="1" t="s">
        <v>3073</v>
      </c>
      <c r="J2733" t="str">
        <f t="shared" si="42"/>
        <v>http://www.badatelna.eu/reprodukce/?fondId=1073&amp;zaznamId=1108958&amp;reproId=3779948</v>
      </c>
      <c r="K2733">
        <f>IF(LEN(TRIM(E2733))=0,"",VLOOKUP(E2733,Sheet2!$B$1:$E$19,2,FALSE))</f>
        <v>1073</v>
      </c>
      <c r="L2733">
        <f>IF(LEN(TRIM(E2733))=0,"",VLOOKUP(E2733,Sheet2!$B$1:$E$19,3,FALSE))</f>
        <v>1108958</v>
      </c>
      <c r="M2733">
        <f>IF(LEN(TRIM(E2733))=0,"",VLOOKUP(E2733,Sheet2!$B$1:$E$19,4,FALSE))+(F2733-1)</f>
        <v>3779948</v>
      </c>
    </row>
    <row r="2734" spans="1:13" s="1" customFormat="1" ht="15" customHeight="1" x14ac:dyDescent="0.2">
      <c r="A2734" s="32" t="s">
        <v>2800</v>
      </c>
      <c r="B2734" s="31" t="s">
        <v>10</v>
      </c>
      <c r="C2734" s="7" t="s">
        <v>2269</v>
      </c>
      <c r="D2734" s="1" t="s">
        <v>454</v>
      </c>
      <c r="E2734" s="1">
        <v>2173</v>
      </c>
      <c r="F2734" s="31">
        <v>197</v>
      </c>
      <c r="G2734" s="12">
        <v>3</v>
      </c>
      <c r="H2734" s="1" t="s">
        <v>3073</v>
      </c>
      <c r="I2734" s="1" t="s">
        <v>3073</v>
      </c>
      <c r="J2734" t="str">
        <f t="shared" si="42"/>
        <v>http://www.badatelna.eu/reprodukce/?fondId=1073&amp;zaznamId=1108959&amp;reproId=3780190</v>
      </c>
      <c r="K2734">
        <f>IF(LEN(TRIM(E2734))=0,"",VLOOKUP(E2734,Sheet2!$B$1:$E$19,2,FALSE))</f>
        <v>1073</v>
      </c>
      <c r="L2734">
        <f>IF(LEN(TRIM(E2734))=0,"",VLOOKUP(E2734,Sheet2!$B$1:$E$19,3,FALSE))</f>
        <v>1108959</v>
      </c>
      <c r="M2734">
        <f>IF(LEN(TRIM(E2734))=0,"",VLOOKUP(E2734,Sheet2!$B$1:$E$19,4,FALSE))+(F2734-1)</f>
        <v>3780190</v>
      </c>
    </row>
    <row r="2735" spans="1:13" s="1" customFormat="1" ht="15" customHeight="1" x14ac:dyDescent="0.25">
      <c r="A2735" s="28" t="s">
        <v>719</v>
      </c>
      <c r="B2735" s="28" t="s">
        <v>265</v>
      </c>
      <c r="C2735" s="6" t="s">
        <v>1881</v>
      </c>
      <c r="D2735" s="1" t="s">
        <v>454</v>
      </c>
      <c r="E2735" s="1">
        <v>2172</v>
      </c>
      <c r="F2735" s="28">
        <v>193</v>
      </c>
      <c r="G2735" s="9">
        <v>183</v>
      </c>
      <c r="H2735" s="1" t="s">
        <v>3073</v>
      </c>
      <c r="I2735" s="1" t="s">
        <v>3073</v>
      </c>
      <c r="J2735" t="str">
        <f t="shared" si="42"/>
        <v>http://www.badatelna.eu/reprodukce/?fondId=1073&amp;zaznamId=1108958&amp;reproId=3779934</v>
      </c>
      <c r="K2735">
        <f>IF(LEN(TRIM(E2735))=0,"",VLOOKUP(E2735,Sheet2!$B$1:$E$19,2,FALSE))</f>
        <v>1073</v>
      </c>
      <c r="L2735">
        <f>IF(LEN(TRIM(E2735))=0,"",VLOOKUP(E2735,Sheet2!$B$1:$E$19,3,FALSE))</f>
        <v>1108958</v>
      </c>
      <c r="M2735">
        <f>IF(LEN(TRIM(E2735))=0,"",VLOOKUP(E2735,Sheet2!$B$1:$E$19,4,FALSE))+(F2735-1)</f>
        <v>3779934</v>
      </c>
    </row>
    <row r="2736" spans="1:13" s="1" customFormat="1" ht="15" customHeight="1" x14ac:dyDescent="0.25">
      <c r="A2736" s="28" t="s">
        <v>3060</v>
      </c>
      <c r="B2736" s="28" t="s">
        <v>49</v>
      </c>
      <c r="C2736" s="1">
        <v>1863</v>
      </c>
      <c r="D2736" s="1" t="s">
        <v>2919</v>
      </c>
      <c r="E2736" s="1">
        <v>999</v>
      </c>
      <c r="F2736" s="28">
        <v>82</v>
      </c>
      <c r="G2736" s="1">
        <v>3</v>
      </c>
      <c r="H2736" s="1">
        <v>111</v>
      </c>
      <c r="I2736" s="1">
        <v>171</v>
      </c>
      <c r="J2736" t="str">
        <f t="shared" si="42"/>
        <v>http://www.badatelna.eu/reprodukce/?fondId=241&amp;zaznamId=1133739&amp;reproId=3885811</v>
      </c>
      <c r="K2736">
        <f>IF(LEN(TRIM(E2736))=0,"",VLOOKUP(E2736,Sheet2!$B$1:$E$19,2,FALSE))</f>
        <v>241</v>
      </c>
      <c r="L2736">
        <f>IF(LEN(TRIM(E2736))=0,"",VLOOKUP(E2736,Sheet2!$B$1:$E$19,3,FALSE))</f>
        <v>1133739</v>
      </c>
      <c r="M2736">
        <f>IF(LEN(TRIM(E2736))=0,"",VLOOKUP(E2736,Sheet2!$B$1:$E$19,4,FALSE))+(F2736-1)</f>
        <v>3885811</v>
      </c>
    </row>
    <row r="2737" spans="1:13" s="1" customFormat="1" ht="15" customHeight="1" x14ac:dyDescent="0.25">
      <c r="A2737" s="28" t="s">
        <v>644</v>
      </c>
      <c r="B2737" s="28" t="s">
        <v>498</v>
      </c>
      <c r="C2737" s="6" t="s">
        <v>1809</v>
      </c>
      <c r="D2737" s="1" t="s">
        <v>454</v>
      </c>
      <c r="E2737" s="1">
        <v>2172</v>
      </c>
      <c r="F2737" s="28">
        <v>163</v>
      </c>
      <c r="G2737" s="9">
        <v>157</v>
      </c>
      <c r="H2737" s="1">
        <v>164</v>
      </c>
      <c r="I2737" s="1">
        <v>158</v>
      </c>
      <c r="J2737" t="str">
        <f t="shared" si="42"/>
        <v>http://www.badatelna.eu/reprodukce/?fondId=1073&amp;zaznamId=1108958&amp;reproId=3779904</v>
      </c>
      <c r="K2737">
        <f>IF(LEN(TRIM(E2737))=0,"",VLOOKUP(E2737,Sheet2!$B$1:$E$19,2,FALSE))</f>
        <v>1073</v>
      </c>
      <c r="L2737">
        <f>IF(LEN(TRIM(E2737))=0,"",VLOOKUP(E2737,Sheet2!$B$1:$E$19,3,FALSE))</f>
        <v>1108958</v>
      </c>
      <c r="M2737">
        <f>IF(LEN(TRIM(E2737))=0,"",VLOOKUP(E2737,Sheet2!$B$1:$E$19,4,FALSE))+(F2737-1)</f>
        <v>3779904</v>
      </c>
    </row>
    <row r="2738" spans="1:13" s="1" customFormat="1" ht="15" customHeight="1" x14ac:dyDescent="0.25">
      <c r="A2738" s="28" t="s">
        <v>644</v>
      </c>
      <c r="B2738" s="28" t="s">
        <v>631</v>
      </c>
      <c r="C2738" s="1">
        <v>1856</v>
      </c>
      <c r="D2738" s="1" t="s">
        <v>2919</v>
      </c>
      <c r="E2738" s="1">
        <v>998</v>
      </c>
      <c r="F2738" s="28">
        <v>48</v>
      </c>
      <c r="G2738" s="1">
        <v>46</v>
      </c>
      <c r="H2738" s="1">
        <v>81</v>
      </c>
      <c r="I2738" s="1">
        <v>79</v>
      </c>
      <c r="J2738" t="str">
        <f t="shared" si="42"/>
        <v>http://www.badatelna.eu/reprodukce/?fondId=241&amp;zaznamId=1133738&amp;reproId=3885694</v>
      </c>
      <c r="K2738">
        <f>IF(LEN(TRIM(E2738))=0,"",VLOOKUP(E2738,Sheet2!$B$1:$E$19,2,FALSE))</f>
        <v>241</v>
      </c>
      <c r="L2738">
        <f>IF(LEN(TRIM(E2738))=0,"",VLOOKUP(E2738,Sheet2!$B$1:$E$19,3,FALSE))</f>
        <v>1133738</v>
      </c>
      <c r="M2738">
        <f>IF(LEN(TRIM(E2738))=0,"",VLOOKUP(E2738,Sheet2!$B$1:$E$19,4,FALSE))+(F2738-1)</f>
        <v>3885694</v>
      </c>
    </row>
    <row r="2739" spans="1:13" s="1" customFormat="1" ht="15" customHeight="1" x14ac:dyDescent="0.25">
      <c r="A2739" s="28" t="s">
        <v>644</v>
      </c>
      <c r="B2739" s="28" t="s">
        <v>340</v>
      </c>
      <c r="C2739" s="6" t="s">
        <v>1751</v>
      </c>
      <c r="D2739" s="1" t="s">
        <v>454</v>
      </c>
      <c r="E2739" s="1">
        <v>2172</v>
      </c>
      <c r="F2739" s="28">
        <v>127</v>
      </c>
      <c r="G2739" s="9" t="s">
        <v>2780</v>
      </c>
      <c r="H2739" s="1">
        <v>133</v>
      </c>
      <c r="I2739" s="1">
        <v>132</v>
      </c>
      <c r="J2739" t="str">
        <f t="shared" si="42"/>
        <v>http://www.badatelna.eu/reprodukce/?fondId=1073&amp;zaznamId=1108958&amp;reproId=3779868</v>
      </c>
      <c r="K2739">
        <f>IF(LEN(TRIM(E2739))=0,"",VLOOKUP(E2739,Sheet2!$B$1:$E$19,2,FALSE))</f>
        <v>1073</v>
      </c>
      <c r="L2739">
        <f>IF(LEN(TRIM(E2739))=0,"",VLOOKUP(E2739,Sheet2!$B$1:$E$19,3,FALSE))</f>
        <v>1108958</v>
      </c>
      <c r="M2739">
        <f>IF(LEN(TRIM(E2739))=0,"",VLOOKUP(E2739,Sheet2!$B$1:$E$19,4,FALSE))+(F2739-1)</f>
        <v>3779868</v>
      </c>
    </row>
    <row r="2740" spans="1:13" s="1" customFormat="1" ht="15" customHeight="1" x14ac:dyDescent="0.25">
      <c r="A2740" s="28" t="s">
        <v>644</v>
      </c>
      <c r="B2740" s="28" t="s">
        <v>691</v>
      </c>
      <c r="C2740" s="1">
        <v>1891</v>
      </c>
      <c r="D2740" s="1" t="s">
        <v>454</v>
      </c>
      <c r="E2740" s="1">
        <v>2172</v>
      </c>
      <c r="F2740" s="28">
        <v>82</v>
      </c>
      <c r="G2740" s="9">
        <v>81</v>
      </c>
      <c r="H2740" s="1">
        <v>84</v>
      </c>
      <c r="I2740" s="1">
        <v>83</v>
      </c>
      <c r="J2740" t="str">
        <f t="shared" si="42"/>
        <v>http://www.badatelna.eu/reprodukce/?fondId=1073&amp;zaznamId=1108958&amp;reproId=3779823</v>
      </c>
      <c r="K2740">
        <f>IF(LEN(TRIM(E2740))=0,"",VLOOKUP(E2740,Sheet2!$B$1:$E$19,2,FALSE))</f>
        <v>1073</v>
      </c>
      <c r="L2740">
        <f>IF(LEN(TRIM(E2740))=0,"",VLOOKUP(E2740,Sheet2!$B$1:$E$19,3,FALSE))</f>
        <v>1108958</v>
      </c>
      <c r="M2740">
        <f>IF(LEN(TRIM(E2740))=0,"",VLOOKUP(E2740,Sheet2!$B$1:$E$19,4,FALSE))+(F2740-1)</f>
        <v>3779823</v>
      </c>
    </row>
    <row r="2741" spans="1:13" s="1" customFormat="1" ht="15" customHeight="1" x14ac:dyDescent="0.25">
      <c r="A2741" s="27" t="s">
        <v>644</v>
      </c>
      <c r="B2741" s="27" t="s">
        <v>49</v>
      </c>
      <c r="C2741" s="5" t="s">
        <v>1458</v>
      </c>
      <c r="D2741" s="3" t="s">
        <v>454</v>
      </c>
      <c r="E2741" s="3">
        <v>2170</v>
      </c>
      <c r="F2741" s="28">
        <v>6</v>
      </c>
      <c r="G2741" s="10">
        <v>2</v>
      </c>
      <c r="H2741" s="3">
        <v>73</v>
      </c>
      <c r="I2741" s="3">
        <v>69</v>
      </c>
      <c r="J2741" t="str">
        <f t="shared" si="42"/>
        <v>http://www.badatelna.eu/reprodukce/?fondId=1073&amp;zaznamId=1108956&amp;reproId=3779598</v>
      </c>
      <c r="K2741">
        <f>IF(LEN(TRIM(E2741))=0,"",VLOOKUP(E2741,Sheet2!$B$1:$E$19,2,FALSE))</f>
        <v>1073</v>
      </c>
      <c r="L2741">
        <f>IF(LEN(TRIM(E2741))=0,"",VLOOKUP(E2741,Sheet2!$B$1:$E$19,3,FALSE))</f>
        <v>1108956</v>
      </c>
      <c r="M2741">
        <f>IF(LEN(TRIM(E2741))=0,"",VLOOKUP(E2741,Sheet2!$B$1:$E$19,4,FALSE))+(F2741-1)</f>
        <v>3779598</v>
      </c>
    </row>
    <row r="2742" spans="1:13" s="1" customFormat="1" ht="15" customHeight="1" x14ac:dyDescent="0.25">
      <c r="A2742" s="28" t="s">
        <v>644</v>
      </c>
      <c r="B2742" s="28" t="s">
        <v>462</v>
      </c>
      <c r="C2742" s="6" t="s">
        <v>1975</v>
      </c>
      <c r="D2742" s="1" t="s">
        <v>454</v>
      </c>
      <c r="E2742" s="1">
        <v>2172</v>
      </c>
      <c r="F2742" s="28">
        <v>241</v>
      </c>
      <c r="G2742" s="9">
        <v>220</v>
      </c>
      <c r="H2742" s="1" t="s">
        <v>3073</v>
      </c>
      <c r="I2742" s="1" t="s">
        <v>3073</v>
      </c>
      <c r="J2742" t="str">
        <f t="shared" si="42"/>
        <v>http://www.badatelna.eu/reprodukce/?fondId=1073&amp;zaznamId=1108958&amp;reproId=3779982</v>
      </c>
      <c r="K2742">
        <f>IF(LEN(TRIM(E2742))=0,"",VLOOKUP(E2742,Sheet2!$B$1:$E$19,2,FALSE))</f>
        <v>1073</v>
      </c>
      <c r="L2742">
        <f>IF(LEN(TRIM(E2742))=0,"",VLOOKUP(E2742,Sheet2!$B$1:$E$19,3,FALSE))</f>
        <v>1108958</v>
      </c>
      <c r="M2742">
        <f>IF(LEN(TRIM(E2742))=0,"",VLOOKUP(E2742,Sheet2!$B$1:$E$19,4,FALSE))+(F2742-1)</f>
        <v>3779982</v>
      </c>
    </row>
    <row r="2743" spans="1:13" s="1" customFormat="1" ht="15" customHeight="1" x14ac:dyDescent="0.25">
      <c r="A2743" s="28" t="s">
        <v>644</v>
      </c>
      <c r="B2743" s="28" t="s">
        <v>13</v>
      </c>
      <c r="C2743" s="15">
        <v>14287</v>
      </c>
      <c r="D2743" s="1" t="s">
        <v>454</v>
      </c>
      <c r="E2743" s="1">
        <v>2172</v>
      </c>
      <c r="F2743" s="28">
        <v>168</v>
      </c>
      <c r="G2743" s="9">
        <v>161</v>
      </c>
      <c r="H2743" s="1" t="s">
        <v>3073</v>
      </c>
      <c r="I2743" s="1" t="s">
        <v>3073</v>
      </c>
      <c r="J2743" t="str">
        <f t="shared" si="42"/>
        <v>http://www.badatelna.eu/reprodukce/?fondId=1073&amp;zaznamId=1108958&amp;reproId=3779909</v>
      </c>
      <c r="K2743">
        <f>IF(LEN(TRIM(E2743))=0,"",VLOOKUP(E2743,Sheet2!$B$1:$E$19,2,FALSE))</f>
        <v>1073</v>
      </c>
      <c r="L2743">
        <f>IF(LEN(TRIM(E2743))=0,"",VLOOKUP(E2743,Sheet2!$B$1:$E$19,3,FALSE))</f>
        <v>1108958</v>
      </c>
      <c r="M2743">
        <f>IF(LEN(TRIM(E2743))=0,"",VLOOKUP(E2743,Sheet2!$B$1:$E$19,4,FALSE))+(F2743-1)</f>
        <v>3779909</v>
      </c>
    </row>
    <row r="2744" spans="1:13" s="1" customFormat="1" ht="15" customHeight="1" x14ac:dyDescent="0.25">
      <c r="A2744" s="28" t="s">
        <v>720</v>
      </c>
      <c r="B2744" s="28" t="s">
        <v>721</v>
      </c>
      <c r="C2744" s="6" t="s">
        <v>1974</v>
      </c>
      <c r="D2744" s="1" t="s">
        <v>454</v>
      </c>
      <c r="E2744" s="1">
        <v>2172</v>
      </c>
      <c r="F2744" s="28">
        <v>239</v>
      </c>
      <c r="G2744" s="9">
        <v>219</v>
      </c>
      <c r="H2744" s="1" t="s">
        <v>3073</v>
      </c>
      <c r="I2744" s="1" t="s">
        <v>3073</v>
      </c>
      <c r="J2744" t="str">
        <f t="shared" si="42"/>
        <v>http://www.badatelna.eu/reprodukce/?fondId=1073&amp;zaznamId=1108958&amp;reproId=3779980</v>
      </c>
      <c r="K2744">
        <f>IF(LEN(TRIM(E2744))=0,"",VLOOKUP(E2744,Sheet2!$B$1:$E$19,2,FALSE))</f>
        <v>1073</v>
      </c>
      <c r="L2744">
        <f>IF(LEN(TRIM(E2744))=0,"",VLOOKUP(E2744,Sheet2!$B$1:$E$19,3,FALSE))</f>
        <v>1108958</v>
      </c>
      <c r="M2744">
        <f>IF(LEN(TRIM(E2744))=0,"",VLOOKUP(E2744,Sheet2!$B$1:$E$19,4,FALSE))+(F2744-1)</f>
        <v>3779980</v>
      </c>
    </row>
    <row r="2745" spans="1:13" s="1" customFormat="1" ht="15" customHeight="1" x14ac:dyDescent="0.25">
      <c r="A2745" s="28" t="s">
        <v>377</v>
      </c>
      <c r="B2745" s="28" t="s">
        <v>722</v>
      </c>
      <c r="C2745" s="6" t="s">
        <v>1509</v>
      </c>
      <c r="D2745" s="1" t="s">
        <v>454</v>
      </c>
      <c r="E2745" s="1">
        <v>2172</v>
      </c>
      <c r="F2745" s="28">
        <v>6</v>
      </c>
      <c r="G2745" s="9">
        <v>3</v>
      </c>
      <c r="H2745" s="1">
        <v>9</v>
      </c>
      <c r="I2745" s="1">
        <v>2</v>
      </c>
      <c r="J2745" t="str">
        <f t="shared" si="42"/>
        <v>http://www.badatelna.eu/reprodukce/?fondId=1073&amp;zaznamId=1108958&amp;reproId=3779747</v>
      </c>
      <c r="K2745">
        <f>IF(LEN(TRIM(E2745))=0,"",VLOOKUP(E2745,Sheet2!$B$1:$E$19,2,FALSE))</f>
        <v>1073</v>
      </c>
      <c r="L2745">
        <f>IF(LEN(TRIM(E2745))=0,"",VLOOKUP(E2745,Sheet2!$B$1:$E$19,3,FALSE))</f>
        <v>1108958</v>
      </c>
      <c r="M2745">
        <f>IF(LEN(TRIM(E2745))=0,"",VLOOKUP(E2745,Sheet2!$B$1:$E$19,4,FALSE))+(F2745-1)</f>
        <v>3779747</v>
      </c>
    </row>
    <row r="2746" spans="1:13" s="1" customFormat="1" ht="15" customHeight="1" x14ac:dyDescent="0.25">
      <c r="A2746" s="28" t="s">
        <v>377</v>
      </c>
      <c r="B2746" s="28" t="s">
        <v>340</v>
      </c>
      <c r="C2746" s="1">
        <v>1854</v>
      </c>
      <c r="D2746" s="1" t="s">
        <v>2919</v>
      </c>
      <c r="E2746" s="1">
        <v>998</v>
      </c>
      <c r="F2746" s="28">
        <v>42</v>
      </c>
      <c r="G2746" s="1">
        <v>40</v>
      </c>
      <c r="H2746" s="1">
        <v>81</v>
      </c>
      <c r="I2746" s="1">
        <v>79</v>
      </c>
      <c r="J2746" t="str">
        <f t="shared" si="42"/>
        <v>http://www.badatelna.eu/reprodukce/?fondId=241&amp;zaznamId=1133738&amp;reproId=3885688</v>
      </c>
      <c r="K2746">
        <f>IF(LEN(TRIM(E2746))=0,"",VLOOKUP(E2746,Sheet2!$B$1:$E$19,2,FALSE))</f>
        <v>241</v>
      </c>
      <c r="L2746">
        <f>IF(LEN(TRIM(E2746))=0,"",VLOOKUP(E2746,Sheet2!$B$1:$E$19,3,FALSE))</f>
        <v>1133738</v>
      </c>
      <c r="M2746">
        <f>IF(LEN(TRIM(E2746))=0,"",VLOOKUP(E2746,Sheet2!$B$1:$E$19,4,FALSE))+(F2746-1)</f>
        <v>3885688</v>
      </c>
    </row>
    <row r="2747" spans="1:13" s="1" customFormat="1" ht="15" customHeight="1" x14ac:dyDescent="0.25">
      <c r="A2747" s="28" t="s">
        <v>377</v>
      </c>
      <c r="B2747" s="28" t="s">
        <v>198</v>
      </c>
      <c r="C2747" s="6" t="s">
        <v>1651</v>
      </c>
      <c r="D2747" s="1" t="s">
        <v>454</v>
      </c>
      <c r="E2747" s="1">
        <v>2172</v>
      </c>
      <c r="F2747" s="28">
        <v>94</v>
      </c>
      <c r="G2747" s="9">
        <v>93</v>
      </c>
      <c r="H2747" s="1">
        <v>97</v>
      </c>
      <c r="I2747" s="1">
        <v>96</v>
      </c>
      <c r="J2747" t="str">
        <f t="shared" si="42"/>
        <v>http://www.badatelna.eu/reprodukce/?fondId=1073&amp;zaznamId=1108958&amp;reproId=3779835</v>
      </c>
      <c r="K2747">
        <f>IF(LEN(TRIM(E2747))=0,"",VLOOKUP(E2747,Sheet2!$B$1:$E$19,2,FALSE))</f>
        <v>1073</v>
      </c>
      <c r="L2747">
        <f>IF(LEN(TRIM(E2747))=0,"",VLOOKUP(E2747,Sheet2!$B$1:$E$19,3,FALSE))</f>
        <v>1108958</v>
      </c>
      <c r="M2747">
        <f>IF(LEN(TRIM(E2747))=0,"",VLOOKUP(E2747,Sheet2!$B$1:$E$19,4,FALSE))+(F2747-1)</f>
        <v>3779835</v>
      </c>
    </row>
    <row r="2748" spans="1:13" s="1" customFormat="1" ht="15" customHeight="1" x14ac:dyDescent="0.25">
      <c r="A2748" s="29" t="s">
        <v>377</v>
      </c>
      <c r="B2748" s="28" t="s">
        <v>16</v>
      </c>
      <c r="C2748" s="6" t="s">
        <v>2411</v>
      </c>
      <c r="D2748" s="1" t="s">
        <v>454</v>
      </c>
      <c r="E2748" s="1">
        <v>2173</v>
      </c>
      <c r="F2748" s="28">
        <v>202</v>
      </c>
      <c r="G2748" s="9">
        <v>14</v>
      </c>
      <c r="H2748" s="1" t="s">
        <v>3073</v>
      </c>
      <c r="I2748" s="1" t="s">
        <v>3073</v>
      </c>
      <c r="J2748" t="str">
        <f t="shared" si="42"/>
        <v>http://www.badatelna.eu/reprodukce/?fondId=1073&amp;zaznamId=1108959&amp;reproId=3780195</v>
      </c>
      <c r="K2748">
        <f>IF(LEN(TRIM(E2748))=0,"",VLOOKUP(E2748,Sheet2!$B$1:$E$19,2,FALSE))</f>
        <v>1073</v>
      </c>
      <c r="L2748">
        <f>IF(LEN(TRIM(E2748))=0,"",VLOOKUP(E2748,Sheet2!$B$1:$E$19,3,FALSE))</f>
        <v>1108959</v>
      </c>
      <c r="M2748">
        <f>IF(LEN(TRIM(E2748))=0,"",VLOOKUP(E2748,Sheet2!$B$1:$E$19,4,FALSE))+(F2748-1)</f>
        <v>3780195</v>
      </c>
    </row>
    <row r="2749" spans="1:13" s="1" customFormat="1" ht="15" customHeight="1" x14ac:dyDescent="0.25">
      <c r="A2749" s="28" t="s">
        <v>377</v>
      </c>
      <c r="B2749" s="28" t="s">
        <v>359</v>
      </c>
      <c r="C2749" s="1">
        <v>1883</v>
      </c>
      <c r="D2749" s="1" t="s">
        <v>454</v>
      </c>
      <c r="E2749" s="1">
        <v>2172</v>
      </c>
      <c r="F2749" s="28">
        <v>33</v>
      </c>
      <c r="G2749" s="9">
        <v>32</v>
      </c>
      <c r="H2749" s="1">
        <v>37</v>
      </c>
      <c r="I2749" s="1">
        <v>36</v>
      </c>
      <c r="J2749" t="str">
        <f t="shared" si="42"/>
        <v>http://www.badatelna.eu/reprodukce/?fondId=1073&amp;zaznamId=1108958&amp;reproId=3779774</v>
      </c>
      <c r="K2749">
        <f>IF(LEN(TRIM(E2749))=0,"",VLOOKUP(E2749,Sheet2!$B$1:$E$19,2,FALSE))</f>
        <v>1073</v>
      </c>
      <c r="L2749">
        <f>IF(LEN(TRIM(E2749))=0,"",VLOOKUP(E2749,Sheet2!$B$1:$E$19,3,FALSE))</f>
        <v>1108958</v>
      </c>
      <c r="M2749">
        <f>IF(LEN(TRIM(E2749))=0,"",VLOOKUP(E2749,Sheet2!$B$1:$E$19,4,FALSE))+(F2749-1)</f>
        <v>3779774</v>
      </c>
    </row>
    <row r="2750" spans="1:13" s="1" customFormat="1" ht="15" customHeight="1" x14ac:dyDescent="0.25">
      <c r="A2750" s="28" t="s">
        <v>377</v>
      </c>
      <c r="B2750" s="28" t="s">
        <v>2964</v>
      </c>
      <c r="C2750" s="1">
        <v>1855</v>
      </c>
      <c r="D2750" s="1" t="s">
        <v>2919</v>
      </c>
      <c r="E2750" s="1">
        <v>998</v>
      </c>
      <c r="F2750" s="28">
        <v>44</v>
      </c>
      <c r="G2750" s="1">
        <v>42</v>
      </c>
      <c r="H2750" s="1">
        <v>81</v>
      </c>
      <c r="I2750" s="1">
        <v>79</v>
      </c>
      <c r="J2750" t="str">
        <f t="shared" si="42"/>
        <v>http://www.badatelna.eu/reprodukce/?fondId=241&amp;zaznamId=1133738&amp;reproId=3885690</v>
      </c>
      <c r="K2750">
        <f>IF(LEN(TRIM(E2750))=0,"",VLOOKUP(E2750,Sheet2!$B$1:$E$19,2,FALSE))</f>
        <v>241</v>
      </c>
      <c r="L2750">
        <f>IF(LEN(TRIM(E2750))=0,"",VLOOKUP(E2750,Sheet2!$B$1:$E$19,3,FALSE))</f>
        <v>1133738</v>
      </c>
      <c r="M2750">
        <f>IF(LEN(TRIM(E2750))=0,"",VLOOKUP(E2750,Sheet2!$B$1:$E$19,4,FALSE))+(F2750-1)</f>
        <v>3885690</v>
      </c>
    </row>
    <row r="2751" spans="1:13" s="1" customFormat="1" ht="15" customHeight="1" x14ac:dyDescent="0.25">
      <c r="A2751" s="28" t="s">
        <v>377</v>
      </c>
      <c r="B2751" s="28" t="s">
        <v>13</v>
      </c>
      <c r="C2751" s="6" t="s">
        <v>2469</v>
      </c>
      <c r="D2751" s="1" t="s">
        <v>454</v>
      </c>
      <c r="E2751" s="1">
        <v>2173</v>
      </c>
      <c r="F2751" s="28">
        <v>204</v>
      </c>
      <c r="G2751" s="1">
        <v>18</v>
      </c>
      <c r="H2751" s="1" t="s">
        <v>3073</v>
      </c>
      <c r="I2751" s="1" t="s">
        <v>3073</v>
      </c>
      <c r="J2751" t="str">
        <f t="shared" si="42"/>
        <v>http://www.badatelna.eu/reprodukce/?fondId=1073&amp;zaznamId=1108959&amp;reproId=3780197</v>
      </c>
      <c r="K2751">
        <f>IF(LEN(TRIM(E2751))=0,"",VLOOKUP(E2751,Sheet2!$B$1:$E$19,2,FALSE))</f>
        <v>1073</v>
      </c>
      <c r="L2751">
        <f>IF(LEN(TRIM(E2751))=0,"",VLOOKUP(E2751,Sheet2!$B$1:$E$19,3,FALSE))</f>
        <v>1108959</v>
      </c>
      <c r="M2751">
        <f>IF(LEN(TRIM(E2751))=0,"",VLOOKUP(E2751,Sheet2!$B$1:$E$19,4,FALSE))+(F2751-1)</f>
        <v>3780197</v>
      </c>
    </row>
    <row r="2752" spans="1:13" s="1" customFormat="1" ht="15" customHeight="1" x14ac:dyDescent="0.25">
      <c r="A2752" s="28" t="s">
        <v>377</v>
      </c>
      <c r="B2752" s="28" t="s">
        <v>247</v>
      </c>
      <c r="C2752" s="6" t="s">
        <v>2202</v>
      </c>
      <c r="D2752" s="1" t="s">
        <v>454</v>
      </c>
      <c r="E2752" s="1">
        <v>2173</v>
      </c>
      <c r="F2752" s="28">
        <v>178</v>
      </c>
      <c r="G2752" s="9">
        <v>3</v>
      </c>
      <c r="H2752" s="1">
        <v>194</v>
      </c>
      <c r="I2752" s="1">
        <v>431</v>
      </c>
      <c r="J2752" t="str">
        <f t="shared" si="42"/>
        <v>http://www.badatelna.eu/reprodukce/?fondId=1073&amp;zaznamId=1108959&amp;reproId=3780171</v>
      </c>
      <c r="K2752">
        <f>IF(LEN(TRIM(E2752))=0,"",VLOOKUP(E2752,Sheet2!$B$1:$E$19,2,FALSE))</f>
        <v>1073</v>
      </c>
      <c r="L2752">
        <f>IF(LEN(TRIM(E2752))=0,"",VLOOKUP(E2752,Sheet2!$B$1:$E$19,3,FALSE))</f>
        <v>1108959</v>
      </c>
      <c r="M2752">
        <f>IF(LEN(TRIM(E2752))=0,"",VLOOKUP(E2752,Sheet2!$B$1:$E$19,4,FALSE))+(F2752-1)</f>
        <v>3780171</v>
      </c>
    </row>
    <row r="2753" spans="1:13" s="1" customFormat="1" ht="15" customHeight="1" x14ac:dyDescent="0.25">
      <c r="A2753" s="28" t="s">
        <v>455</v>
      </c>
      <c r="B2753" s="28" t="s">
        <v>39</v>
      </c>
      <c r="C2753" s="6" t="s">
        <v>2359</v>
      </c>
      <c r="D2753" s="1" t="s">
        <v>454</v>
      </c>
      <c r="E2753" s="1">
        <v>2173</v>
      </c>
      <c r="F2753" s="28">
        <v>200</v>
      </c>
      <c r="G2753" s="9">
        <v>9</v>
      </c>
      <c r="H2753" s="1" t="s">
        <v>3073</v>
      </c>
      <c r="I2753" s="1" t="s">
        <v>3073</v>
      </c>
      <c r="J2753" t="str">
        <f t="shared" si="42"/>
        <v>http://www.badatelna.eu/reprodukce/?fondId=1073&amp;zaznamId=1108959&amp;reproId=3780193</v>
      </c>
      <c r="K2753">
        <f>IF(LEN(TRIM(E2753))=0,"",VLOOKUP(E2753,Sheet2!$B$1:$E$19,2,FALSE))</f>
        <v>1073</v>
      </c>
      <c r="L2753">
        <f>IF(LEN(TRIM(E2753))=0,"",VLOOKUP(E2753,Sheet2!$B$1:$E$19,3,FALSE))</f>
        <v>1108959</v>
      </c>
      <c r="M2753">
        <f>IF(LEN(TRIM(E2753))=0,"",VLOOKUP(E2753,Sheet2!$B$1:$E$19,4,FALSE))+(F2753-1)</f>
        <v>3780193</v>
      </c>
    </row>
    <row r="2754" spans="1:13" s="1" customFormat="1" ht="15" customHeight="1" x14ac:dyDescent="0.25">
      <c r="A2754" s="28"/>
      <c r="B2754" s="28"/>
      <c r="C2754" s="38" t="s">
        <v>3140</v>
      </c>
      <c r="F2754" s="28"/>
      <c r="G2754" s="9"/>
      <c r="J2754" t="str">
        <f t="shared" si="42"/>
        <v/>
      </c>
      <c r="K2754" t="str">
        <f>IF(LEN(TRIM(E2754))=0,"",VLOOKUP(E2754,Sheet2!$B$1:$E$19,2,FALSE))</f>
        <v/>
      </c>
      <c r="L2754" t="str">
        <f>IF(LEN(TRIM(E2754))=0,"",VLOOKUP(E2754,Sheet2!$B$1:$E$19,3,FALSE))</f>
        <v/>
      </c>
      <c r="M2754" t="e">
        <f>IF(LEN(TRIM(E2754))=0,"",VLOOKUP(E2754,Sheet2!$B$1:$E$19,4,FALSE))+(F2754-1)</f>
        <v>#VALUE!</v>
      </c>
    </row>
    <row r="2755" spans="1:13" s="1" customFormat="1" ht="15" customHeight="1" x14ac:dyDescent="0.25">
      <c r="A2755" s="28" t="s">
        <v>379</v>
      </c>
      <c r="B2755" s="28" t="s">
        <v>40</v>
      </c>
      <c r="C2755" s="6" t="s">
        <v>2203</v>
      </c>
      <c r="D2755" s="1" t="s">
        <v>454</v>
      </c>
      <c r="E2755" s="1">
        <v>2173</v>
      </c>
      <c r="F2755" s="28">
        <v>178</v>
      </c>
      <c r="G2755" s="9">
        <v>3</v>
      </c>
      <c r="H2755" s="1">
        <v>194</v>
      </c>
      <c r="I2755" s="1">
        <v>431</v>
      </c>
      <c r="J2755" t="str">
        <f t="shared" ref="J2755:J2818" si="43">IF(LEN(TRIM(E2755))=0,"","http://www.badatelna.eu/reprodukce/?fondId="&amp;K2755&amp;"&amp;zaznamId="&amp;L2755&amp;"&amp;reproId="&amp;M2755)</f>
        <v>http://www.badatelna.eu/reprodukce/?fondId=1073&amp;zaznamId=1108959&amp;reproId=3780171</v>
      </c>
      <c r="K2755">
        <f>IF(LEN(TRIM(E2755))=0,"",VLOOKUP(E2755,Sheet2!$B$1:$E$19,2,FALSE))</f>
        <v>1073</v>
      </c>
      <c r="L2755">
        <f>IF(LEN(TRIM(E2755))=0,"",VLOOKUP(E2755,Sheet2!$B$1:$E$19,3,FALSE))</f>
        <v>1108959</v>
      </c>
      <c r="M2755">
        <f>IF(LEN(TRIM(E2755))=0,"",VLOOKUP(E2755,Sheet2!$B$1:$E$19,4,FALSE))+(F2755-1)</f>
        <v>3780171</v>
      </c>
    </row>
    <row r="2756" spans="1:13" s="1" customFormat="1" ht="15" customHeight="1" x14ac:dyDescent="0.25">
      <c r="A2756" s="28" t="s">
        <v>203</v>
      </c>
      <c r="B2756" s="28" t="s">
        <v>33</v>
      </c>
      <c r="C2756" s="6" t="s">
        <v>1753</v>
      </c>
      <c r="D2756" s="1" t="s">
        <v>454</v>
      </c>
      <c r="E2756" s="1">
        <v>2172</v>
      </c>
      <c r="F2756" s="28">
        <v>127</v>
      </c>
      <c r="G2756" s="9" t="s">
        <v>2780</v>
      </c>
      <c r="H2756" s="1">
        <v>133</v>
      </c>
      <c r="I2756" s="1">
        <v>132</v>
      </c>
      <c r="J2756" t="str">
        <f t="shared" si="43"/>
        <v>http://www.badatelna.eu/reprodukce/?fondId=1073&amp;zaznamId=1108958&amp;reproId=3779868</v>
      </c>
      <c r="K2756">
        <f>IF(LEN(TRIM(E2756))=0,"",VLOOKUP(E2756,Sheet2!$B$1:$E$19,2,FALSE))</f>
        <v>1073</v>
      </c>
      <c r="L2756">
        <f>IF(LEN(TRIM(E2756))=0,"",VLOOKUP(E2756,Sheet2!$B$1:$E$19,3,FALSE))</f>
        <v>1108958</v>
      </c>
      <c r="M2756">
        <f>IF(LEN(TRIM(E2756))=0,"",VLOOKUP(E2756,Sheet2!$B$1:$E$19,4,FALSE))+(F2756-1)</f>
        <v>3779868</v>
      </c>
    </row>
    <row r="2757" spans="1:13" s="1" customFormat="1" ht="15" customHeight="1" x14ac:dyDescent="0.25">
      <c r="A2757" s="28" t="s">
        <v>203</v>
      </c>
      <c r="B2757" s="28" t="s">
        <v>363</v>
      </c>
      <c r="C2757" s="6" t="s">
        <v>1772</v>
      </c>
      <c r="D2757" s="1" t="s">
        <v>454</v>
      </c>
      <c r="E2757" s="1">
        <v>2172</v>
      </c>
      <c r="F2757" s="28">
        <v>142</v>
      </c>
      <c r="G2757" s="9">
        <v>139</v>
      </c>
      <c r="H2757" s="1">
        <v>145</v>
      </c>
      <c r="I2757" s="1">
        <v>142</v>
      </c>
      <c r="J2757" t="str">
        <f t="shared" si="43"/>
        <v>http://www.badatelna.eu/reprodukce/?fondId=1073&amp;zaznamId=1108958&amp;reproId=3779883</v>
      </c>
      <c r="K2757">
        <f>IF(LEN(TRIM(E2757))=0,"",VLOOKUP(E2757,Sheet2!$B$1:$E$19,2,FALSE))</f>
        <v>1073</v>
      </c>
      <c r="L2757">
        <f>IF(LEN(TRIM(E2757))=0,"",VLOOKUP(E2757,Sheet2!$B$1:$E$19,3,FALSE))</f>
        <v>1108958</v>
      </c>
      <c r="M2757">
        <f>IF(LEN(TRIM(E2757))=0,"",VLOOKUP(E2757,Sheet2!$B$1:$E$19,4,FALSE))+(F2757-1)</f>
        <v>3779883</v>
      </c>
    </row>
    <row r="2758" spans="1:13" s="1" customFormat="1" ht="15" customHeight="1" x14ac:dyDescent="0.25">
      <c r="A2758" s="28" t="s">
        <v>203</v>
      </c>
      <c r="B2758" s="28" t="s">
        <v>723</v>
      </c>
      <c r="C2758" s="6" t="s">
        <v>1771</v>
      </c>
      <c r="D2758" s="1" t="s">
        <v>454</v>
      </c>
      <c r="E2758" s="1">
        <v>2172</v>
      </c>
      <c r="F2758" s="28">
        <v>142</v>
      </c>
      <c r="G2758" s="9">
        <v>139</v>
      </c>
      <c r="H2758" s="1">
        <v>145</v>
      </c>
      <c r="I2758" s="1">
        <v>142</v>
      </c>
      <c r="J2758" t="str">
        <f t="shared" si="43"/>
        <v>http://www.badatelna.eu/reprodukce/?fondId=1073&amp;zaznamId=1108958&amp;reproId=3779883</v>
      </c>
      <c r="K2758">
        <f>IF(LEN(TRIM(E2758))=0,"",VLOOKUP(E2758,Sheet2!$B$1:$E$19,2,FALSE))</f>
        <v>1073</v>
      </c>
      <c r="L2758">
        <f>IF(LEN(TRIM(E2758))=0,"",VLOOKUP(E2758,Sheet2!$B$1:$E$19,3,FALSE))</f>
        <v>1108958</v>
      </c>
      <c r="M2758">
        <f>IF(LEN(TRIM(E2758))=0,"",VLOOKUP(E2758,Sheet2!$B$1:$E$19,4,FALSE))+(F2758-1)</f>
        <v>3779883</v>
      </c>
    </row>
    <row r="2759" spans="1:13" s="1" customFormat="1" ht="15" customHeight="1" x14ac:dyDescent="0.25">
      <c r="A2759" s="28" t="s">
        <v>203</v>
      </c>
      <c r="B2759" s="28" t="s">
        <v>552</v>
      </c>
      <c r="C2759" s="1">
        <v>1850</v>
      </c>
      <c r="D2759" s="1" t="s">
        <v>2919</v>
      </c>
      <c r="E2759" s="1">
        <v>998</v>
      </c>
      <c r="F2759" s="28">
        <v>30</v>
      </c>
      <c r="G2759" s="1">
        <v>28</v>
      </c>
      <c r="H2759" s="1">
        <v>81</v>
      </c>
      <c r="I2759" s="1">
        <v>79</v>
      </c>
      <c r="J2759" t="str">
        <f t="shared" si="43"/>
        <v>http://www.badatelna.eu/reprodukce/?fondId=241&amp;zaznamId=1133738&amp;reproId=3885676</v>
      </c>
      <c r="K2759">
        <f>IF(LEN(TRIM(E2759))=0,"",VLOOKUP(E2759,Sheet2!$B$1:$E$19,2,FALSE))</f>
        <v>241</v>
      </c>
      <c r="L2759">
        <f>IF(LEN(TRIM(E2759))=0,"",VLOOKUP(E2759,Sheet2!$B$1:$E$19,3,FALSE))</f>
        <v>1133738</v>
      </c>
      <c r="M2759">
        <f>IF(LEN(TRIM(E2759))=0,"",VLOOKUP(E2759,Sheet2!$B$1:$E$19,4,FALSE))+(F2759-1)</f>
        <v>3885676</v>
      </c>
    </row>
    <row r="2760" spans="1:13" s="1" customFormat="1" ht="15" customHeight="1" x14ac:dyDescent="0.25">
      <c r="A2760" s="28" t="s">
        <v>203</v>
      </c>
      <c r="B2760" s="28" t="s">
        <v>462</v>
      </c>
      <c r="C2760" s="6" t="s">
        <v>1752</v>
      </c>
      <c r="D2760" s="1" t="s">
        <v>454</v>
      </c>
      <c r="E2760" s="1">
        <v>2172</v>
      </c>
      <c r="F2760" s="28">
        <v>129</v>
      </c>
      <c r="G2760" s="9" t="s">
        <v>2775</v>
      </c>
      <c r="H2760" s="1">
        <v>133</v>
      </c>
      <c r="I2760" s="1">
        <v>132</v>
      </c>
      <c r="J2760" t="str">
        <f t="shared" si="43"/>
        <v>http://www.badatelna.eu/reprodukce/?fondId=1073&amp;zaznamId=1108958&amp;reproId=3779870</v>
      </c>
      <c r="K2760">
        <f>IF(LEN(TRIM(E2760))=0,"",VLOOKUP(E2760,Sheet2!$B$1:$E$19,2,FALSE))</f>
        <v>1073</v>
      </c>
      <c r="L2760">
        <f>IF(LEN(TRIM(E2760))=0,"",VLOOKUP(E2760,Sheet2!$B$1:$E$19,3,FALSE))</f>
        <v>1108958</v>
      </c>
      <c r="M2760">
        <f>IF(LEN(TRIM(E2760))=0,"",VLOOKUP(E2760,Sheet2!$B$1:$E$19,4,FALSE))+(F2760-1)</f>
        <v>3779870</v>
      </c>
    </row>
    <row r="2761" spans="1:13" s="1" customFormat="1" ht="15" customHeight="1" x14ac:dyDescent="0.25">
      <c r="A2761" s="27" t="s">
        <v>203</v>
      </c>
      <c r="B2761" s="27" t="s">
        <v>272</v>
      </c>
      <c r="C2761" s="5" t="s">
        <v>1460</v>
      </c>
      <c r="D2761" s="3" t="s">
        <v>454</v>
      </c>
      <c r="E2761" s="3">
        <v>2170</v>
      </c>
      <c r="F2761" s="28">
        <v>41</v>
      </c>
      <c r="G2761" s="10">
        <v>37</v>
      </c>
      <c r="H2761" s="3">
        <v>73</v>
      </c>
      <c r="I2761" s="3">
        <v>69</v>
      </c>
      <c r="J2761" t="str">
        <f t="shared" si="43"/>
        <v>http://www.badatelna.eu/reprodukce/?fondId=1073&amp;zaznamId=1108956&amp;reproId=3779633</v>
      </c>
      <c r="K2761">
        <f>IF(LEN(TRIM(E2761))=0,"",VLOOKUP(E2761,Sheet2!$B$1:$E$19,2,FALSE))</f>
        <v>1073</v>
      </c>
      <c r="L2761">
        <f>IF(LEN(TRIM(E2761))=0,"",VLOOKUP(E2761,Sheet2!$B$1:$E$19,3,FALSE))</f>
        <v>1108956</v>
      </c>
      <c r="M2761">
        <f>IF(LEN(TRIM(E2761))=0,"",VLOOKUP(E2761,Sheet2!$B$1:$E$19,4,FALSE))+(F2761-1)</f>
        <v>3779633</v>
      </c>
    </row>
    <row r="2762" spans="1:13" s="1" customFormat="1" ht="15" customHeight="1" x14ac:dyDescent="0.25">
      <c r="A2762" s="28" t="s">
        <v>203</v>
      </c>
      <c r="B2762" s="28" t="s">
        <v>314</v>
      </c>
      <c r="C2762" s="1">
        <v>1858</v>
      </c>
      <c r="D2762" s="1" t="s">
        <v>2919</v>
      </c>
      <c r="E2762" s="1">
        <v>998</v>
      </c>
      <c r="F2762" s="28">
        <v>56</v>
      </c>
      <c r="G2762" s="1" t="s">
        <v>2941</v>
      </c>
      <c r="H2762" s="1">
        <v>81</v>
      </c>
      <c r="I2762" s="1">
        <v>79</v>
      </c>
      <c r="J2762" t="str">
        <f t="shared" si="43"/>
        <v>http://www.badatelna.eu/reprodukce/?fondId=241&amp;zaznamId=1133738&amp;reproId=3885702</v>
      </c>
      <c r="K2762">
        <f>IF(LEN(TRIM(E2762))=0,"",VLOOKUP(E2762,Sheet2!$B$1:$E$19,2,FALSE))</f>
        <v>241</v>
      </c>
      <c r="L2762">
        <f>IF(LEN(TRIM(E2762))=0,"",VLOOKUP(E2762,Sheet2!$B$1:$E$19,3,FALSE))</f>
        <v>1133738</v>
      </c>
      <c r="M2762">
        <f>IF(LEN(TRIM(E2762))=0,"",VLOOKUP(E2762,Sheet2!$B$1:$E$19,4,FALSE))+(F2762-1)</f>
        <v>3885702</v>
      </c>
    </row>
    <row r="2763" spans="1:13" s="1" customFormat="1" ht="15" customHeight="1" x14ac:dyDescent="0.25">
      <c r="A2763" s="28" t="s">
        <v>203</v>
      </c>
      <c r="B2763" s="28" t="s">
        <v>39</v>
      </c>
      <c r="C2763" s="6" t="s">
        <v>1619</v>
      </c>
      <c r="D2763" s="1" t="s">
        <v>454</v>
      </c>
      <c r="E2763" s="1">
        <v>2172</v>
      </c>
      <c r="F2763" s="28">
        <v>75</v>
      </c>
      <c r="G2763" s="9">
        <v>74</v>
      </c>
      <c r="H2763" s="1">
        <v>77</v>
      </c>
      <c r="I2763" s="1">
        <v>76</v>
      </c>
      <c r="J2763" t="str">
        <f t="shared" si="43"/>
        <v>http://www.badatelna.eu/reprodukce/?fondId=1073&amp;zaznamId=1108958&amp;reproId=3779816</v>
      </c>
      <c r="K2763">
        <f>IF(LEN(TRIM(E2763))=0,"",VLOOKUP(E2763,Sheet2!$B$1:$E$19,2,FALSE))</f>
        <v>1073</v>
      </c>
      <c r="L2763">
        <f>IF(LEN(TRIM(E2763))=0,"",VLOOKUP(E2763,Sheet2!$B$1:$E$19,3,FALSE))</f>
        <v>1108958</v>
      </c>
      <c r="M2763">
        <f>IF(LEN(TRIM(E2763))=0,"",VLOOKUP(E2763,Sheet2!$B$1:$E$19,4,FALSE))+(F2763-1)</f>
        <v>3779816</v>
      </c>
    </row>
    <row r="2764" spans="1:13" s="1" customFormat="1" ht="15" customHeight="1" x14ac:dyDescent="0.25">
      <c r="A2764" s="29" t="s">
        <v>203</v>
      </c>
      <c r="B2764" s="28" t="s">
        <v>177</v>
      </c>
      <c r="C2764" s="6" t="s">
        <v>2628</v>
      </c>
      <c r="D2764" s="1" t="s">
        <v>454</v>
      </c>
      <c r="E2764" s="1">
        <v>2173</v>
      </c>
      <c r="F2764" s="28">
        <v>220</v>
      </c>
      <c r="G2764" s="9">
        <v>47</v>
      </c>
      <c r="H2764" s="1" t="s">
        <v>3073</v>
      </c>
      <c r="I2764" s="1" t="s">
        <v>3073</v>
      </c>
      <c r="J2764" t="str">
        <f t="shared" si="43"/>
        <v>http://www.badatelna.eu/reprodukce/?fondId=1073&amp;zaznamId=1108959&amp;reproId=3780213</v>
      </c>
      <c r="K2764">
        <f>IF(LEN(TRIM(E2764))=0,"",VLOOKUP(E2764,Sheet2!$B$1:$E$19,2,FALSE))</f>
        <v>1073</v>
      </c>
      <c r="L2764">
        <f>IF(LEN(TRIM(E2764))=0,"",VLOOKUP(E2764,Sheet2!$B$1:$E$19,3,FALSE))</f>
        <v>1108959</v>
      </c>
      <c r="M2764">
        <f>IF(LEN(TRIM(E2764))=0,"",VLOOKUP(E2764,Sheet2!$B$1:$E$19,4,FALSE))+(F2764-1)</f>
        <v>3780213</v>
      </c>
    </row>
    <row r="2765" spans="1:13" s="1" customFormat="1" ht="15" customHeight="1" x14ac:dyDescent="0.25">
      <c r="A2765" s="27" t="s">
        <v>203</v>
      </c>
      <c r="B2765" s="27" t="s">
        <v>343</v>
      </c>
      <c r="C2765" s="5" t="s">
        <v>1391</v>
      </c>
      <c r="D2765" s="3" t="s">
        <v>454</v>
      </c>
      <c r="E2765" s="3">
        <v>2170</v>
      </c>
      <c r="F2765" s="28">
        <v>25</v>
      </c>
      <c r="G2765" s="10">
        <v>21</v>
      </c>
      <c r="H2765" s="3">
        <v>73</v>
      </c>
      <c r="I2765" s="3">
        <v>69</v>
      </c>
      <c r="J2765" t="str">
        <f t="shared" si="43"/>
        <v>http://www.badatelna.eu/reprodukce/?fondId=1073&amp;zaznamId=1108956&amp;reproId=3779617</v>
      </c>
      <c r="K2765">
        <f>IF(LEN(TRIM(E2765))=0,"",VLOOKUP(E2765,Sheet2!$B$1:$E$19,2,FALSE))</f>
        <v>1073</v>
      </c>
      <c r="L2765">
        <f>IF(LEN(TRIM(E2765))=0,"",VLOOKUP(E2765,Sheet2!$B$1:$E$19,3,FALSE))</f>
        <v>1108956</v>
      </c>
      <c r="M2765">
        <f>IF(LEN(TRIM(E2765))=0,"",VLOOKUP(E2765,Sheet2!$B$1:$E$19,4,FALSE))+(F2765-1)</f>
        <v>3779617</v>
      </c>
    </row>
    <row r="2766" spans="1:13" s="1" customFormat="1" ht="15" customHeight="1" x14ac:dyDescent="0.25">
      <c r="A2766" s="28" t="s">
        <v>203</v>
      </c>
      <c r="B2766" s="28" t="s">
        <v>645</v>
      </c>
      <c r="C2766" s="1">
        <v>1866</v>
      </c>
      <c r="D2766" s="1" t="s">
        <v>2919</v>
      </c>
      <c r="E2766" s="1">
        <v>999</v>
      </c>
      <c r="F2766" s="28">
        <v>92</v>
      </c>
      <c r="G2766" s="1">
        <v>13</v>
      </c>
      <c r="H2766" s="1">
        <v>111</v>
      </c>
      <c r="I2766" s="1">
        <v>171</v>
      </c>
      <c r="J2766" t="str">
        <f t="shared" si="43"/>
        <v>http://www.badatelna.eu/reprodukce/?fondId=241&amp;zaznamId=1133739&amp;reproId=3885821</v>
      </c>
      <c r="K2766">
        <f>IF(LEN(TRIM(E2766))=0,"",VLOOKUP(E2766,Sheet2!$B$1:$E$19,2,FALSE))</f>
        <v>241</v>
      </c>
      <c r="L2766">
        <f>IF(LEN(TRIM(E2766))=0,"",VLOOKUP(E2766,Sheet2!$B$1:$E$19,3,FALSE))</f>
        <v>1133739</v>
      </c>
      <c r="M2766">
        <f>IF(LEN(TRIM(E2766))=0,"",VLOOKUP(E2766,Sheet2!$B$1:$E$19,4,FALSE))+(F2766-1)</f>
        <v>3885821</v>
      </c>
    </row>
    <row r="2767" spans="1:13" s="1" customFormat="1" ht="15" customHeight="1" x14ac:dyDescent="0.25">
      <c r="A2767" s="27" t="s">
        <v>203</v>
      </c>
      <c r="B2767" s="27" t="s">
        <v>645</v>
      </c>
      <c r="C2767" s="5" t="s">
        <v>1461</v>
      </c>
      <c r="D2767" s="3" t="s">
        <v>454</v>
      </c>
      <c r="E2767" s="3">
        <v>2170</v>
      </c>
      <c r="F2767" s="37">
        <v>19</v>
      </c>
      <c r="G2767" s="10">
        <v>15</v>
      </c>
      <c r="H2767" s="3">
        <v>73</v>
      </c>
      <c r="I2767" s="3">
        <v>69</v>
      </c>
      <c r="J2767" t="str">
        <f t="shared" si="43"/>
        <v>http://www.badatelna.eu/reprodukce/?fondId=1073&amp;zaznamId=1108956&amp;reproId=3779611</v>
      </c>
      <c r="K2767">
        <f>IF(LEN(TRIM(E2767))=0,"",VLOOKUP(E2767,Sheet2!$B$1:$E$19,2,FALSE))</f>
        <v>1073</v>
      </c>
      <c r="L2767">
        <f>IF(LEN(TRIM(E2767))=0,"",VLOOKUP(E2767,Sheet2!$B$1:$E$19,3,FALSE))</f>
        <v>1108956</v>
      </c>
      <c r="M2767">
        <f>IF(LEN(TRIM(E2767))=0,"",VLOOKUP(E2767,Sheet2!$B$1:$E$19,4,FALSE))+(F2767-1)</f>
        <v>3779611</v>
      </c>
    </row>
    <row r="2768" spans="1:13" s="1" customFormat="1" ht="15" customHeight="1" x14ac:dyDescent="0.25">
      <c r="A2768" s="28" t="s">
        <v>203</v>
      </c>
      <c r="B2768" s="28" t="s">
        <v>13</v>
      </c>
      <c r="C2768" s="1">
        <v>1861</v>
      </c>
      <c r="D2768" s="1" t="s">
        <v>2919</v>
      </c>
      <c r="E2768" s="1">
        <v>998</v>
      </c>
      <c r="F2768" s="28">
        <v>60</v>
      </c>
      <c r="G2768" s="1">
        <v>57</v>
      </c>
      <c r="H2768" s="1">
        <v>81</v>
      </c>
      <c r="I2768" s="1">
        <v>79</v>
      </c>
      <c r="J2768" t="str">
        <f t="shared" si="43"/>
        <v>http://www.badatelna.eu/reprodukce/?fondId=241&amp;zaznamId=1133738&amp;reproId=3885706</v>
      </c>
      <c r="K2768">
        <f>IF(LEN(TRIM(E2768))=0,"",VLOOKUP(E2768,Sheet2!$B$1:$E$19,2,FALSE))</f>
        <v>241</v>
      </c>
      <c r="L2768">
        <f>IF(LEN(TRIM(E2768))=0,"",VLOOKUP(E2768,Sheet2!$B$1:$E$19,3,FALSE))</f>
        <v>1133738</v>
      </c>
      <c r="M2768">
        <f>IF(LEN(TRIM(E2768))=0,"",VLOOKUP(E2768,Sheet2!$B$1:$E$19,4,FALSE))+(F2768-1)</f>
        <v>3885706</v>
      </c>
    </row>
    <row r="2769" spans="1:13" s="1" customFormat="1" ht="15" customHeight="1" x14ac:dyDescent="0.25">
      <c r="A2769" s="28" t="s">
        <v>203</v>
      </c>
      <c r="B2769" s="28" t="s">
        <v>500</v>
      </c>
      <c r="C2769" s="1">
        <v>1860</v>
      </c>
      <c r="D2769" s="1" t="s">
        <v>2919</v>
      </c>
      <c r="E2769" s="1">
        <v>998</v>
      </c>
      <c r="F2769" s="28">
        <v>59</v>
      </c>
      <c r="G2769" s="1">
        <v>56</v>
      </c>
      <c r="H2769" s="1">
        <v>81</v>
      </c>
      <c r="I2769" s="1">
        <v>79</v>
      </c>
      <c r="J2769" t="str">
        <f t="shared" si="43"/>
        <v>http://www.badatelna.eu/reprodukce/?fondId=241&amp;zaznamId=1133738&amp;reproId=3885705</v>
      </c>
      <c r="K2769">
        <f>IF(LEN(TRIM(E2769))=0,"",VLOOKUP(E2769,Sheet2!$B$1:$E$19,2,FALSE))</f>
        <v>241</v>
      </c>
      <c r="L2769">
        <f>IF(LEN(TRIM(E2769))=0,"",VLOOKUP(E2769,Sheet2!$B$1:$E$19,3,FALSE))</f>
        <v>1133738</v>
      </c>
      <c r="M2769">
        <f>IF(LEN(TRIM(E2769))=0,"",VLOOKUP(E2769,Sheet2!$B$1:$E$19,4,FALSE))+(F2769-1)</f>
        <v>3885705</v>
      </c>
    </row>
    <row r="2770" spans="1:13" s="1" customFormat="1" ht="15" customHeight="1" x14ac:dyDescent="0.25">
      <c r="A2770" s="27" t="s">
        <v>203</v>
      </c>
      <c r="B2770" s="27" t="s">
        <v>514</v>
      </c>
      <c r="C2770" s="5" t="s">
        <v>1459</v>
      </c>
      <c r="D2770" s="3" t="s">
        <v>454</v>
      </c>
      <c r="E2770" s="3">
        <v>2170</v>
      </c>
      <c r="F2770" s="28">
        <v>40</v>
      </c>
      <c r="G2770" s="10">
        <v>36</v>
      </c>
      <c r="H2770" s="3">
        <v>73</v>
      </c>
      <c r="I2770" s="3">
        <v>69</v>
      </c>
      <c r="J2770" t="str">
        <f t="shared" si="43"/>
        <v>http://www.badatelna.eu/reprodukce/?fondId=1073&amp;zaznamId=1108956&amp;reproId=3779632</v>
      </c>
      <c r="K2770">
        <f>IF(LEN(TRIM(E2770))=0,"",VLOOKUP(E2770,Sheet2!$B$1:$E$19,2,FALSE))</f>
        <v>1073</v>
      </c>
      <c r="L2770">
        <f>IF(LEN(TRIM(E2770))=0,"",VLOOKUP(E2770,Sheet2!$B$1:$E$19,3,FALSE))</f>
        <v>1108956</v>
      </c>
      <c r="M2770">
        <f>IF(LEN(TRIM(E2770))=0,"",VLOOKUP(E2770,Sheet2!$B$1:$E$19,4,FALSE))+(F2770-1)</f>
        <v>3779632</v>
      </c>
    </row>
    <row r="2771" spans="1:13" s="1" customFormat="1" ht="15" customHeight="1" x14ac:dyDescent="0.25">
      <c r="A2771" s="28" t="s">
        <v>203</v>
      </c>
      <c r="B2771" s="28" t="s">
        <v>82</v>
      </c>
      <c r="C2771" s="1">
        <v>1858</v>
      </c>
      <c r="D2771" s="1" t="s">
        <v>2919</v>
      </c>
      <c r="E2771" s="1">
        <v>998</v>
      </c>
      <c r="F2771" s="28">
        <v>54</v>
      </c>
      <c r="G2771" s="1">
        <v>52</v>
      </c>
      <c r="H2771" s="1">
        <v>81</v>
      </c>
      <c r="I2771" s="1">
        <v>79</v>
      </c>
      <c r="J2771" t="str">
        <f t="shared" si="43"/>
        <v>http://www.badatelna.eu/reprodukce/?fondId=241&amp;zaznamId=1133738&amp;reproId=3885700</v>
      </c>
      <c r="K2771">
        <f>IF(LEN(TRIM(E2771))=0,"",VLOOKUP(E2771,Sheet2!$B$1:$E$19,2,FALSE))</f>
        <v>241</v>
      </c>
      <c r="L2771">
        <f>IF(LEN(TRIM(E2771))=0,"",VLOOKUP(E2771,Sheet2!$B$1:$E$19,3,FALSE))</f>
        <v>1133738</v>
      </c>
      <c r="M2771">
        <f>IF(LEN(TRIM(E2771))=0,"",VLOOKUP(E2771,Sheet2!$B$1:$E$19,4,FALSE))+(F2771-1)</f>
        <v>3885700</v>
      </c>
    </row>
    <row r="2772" spans="1:13" s="1" customFormat="1" ht="15" customHeight="1" x14ac:dyDescent="0.25">
      <c r="A2772" s="28" t="s">
        <v>203</v>
      </c>
      <c r="B2772" s="28" t="s">
        <v>82</v>
      </c>
      <c r="C2772" s="6" t="s">
        <v>2468</v>
      </c>
      <c r="D2772" s="1" t="s">
        <v>454</v>
      </c>
      <c r="E2772" s="1">
        <v>2173</v>
      </c>
      <c r="F2772" s="28">
        <v>204</v>
      </c>
      <c r="G2772" s="1">
        <v>18</v>
      </c>
      <c r="H2772" s="1" t="s">
        <v>3073</v>
      </c>
      <c r="I2772" s="1" t="s">
        <v>3073</v>
      </c>
      <c r="J2772" t="str">
        <f t="shared" si="43"/>
        <v>http://www.badatelna.eu/reprodukce/?fondId=1073&amp;zaznamId=1108959&amp;reproId=3780197</v>
      </c>
      <c r="K2772">
        <f>IF(LEN(TRIM(E2772))=0,"",VLOOKUP(E2772,Sheet2!$B$1:$E$19,2,FALSE))</f>
        <v>1073</v>
      </c>
      <c r="L2772">
        <f>IF(LEN(TRIM(E2772))=0,"",VLOOKUP(E2772,Sheet2!$B$1:$E$19,3,FALSE))</f>
        <v>1108959</v>
      </c>
      <c r="M2772">
        <f>IF(LEN(TRIM(E2772))=0,"",VLOOKUP(E2772,Sheet2!$B$1:$E$19,4,FALSE))+(F2772-1)</f>
        <v>3780197</v>
      </c>
    </row>
    <row r="2773" spans="1:13" s="1" customFormat="1" ht="15" customHeight="1" x14ac:dyDescent="0.25">
      <c r="A2773" s="28" t="s">
        <v>724</v>
      </c>
      <c r="B2773" s="28" t="s">
        <v>725</v>
      </c>
      <c r="C2773" s="6" t="s">
        <v>1923</v>
      </c>
      <c r="D2773" s="1" t="s">
        <v>454</v>
      </c>
      <c r="E2773" s="1">
        <v>2172</v>
      </c>
      <c r="F2773" s="28">
        <v>213</v>
      </c>
      <c r="G2773" s="9">
        <v>197</v>
      </c>
      <c r="H2773" s="1" t="s">
        <v>3073</v>
      </c>
      <c r="I2773" s="1" t="s">
        <v>3073</v>
      </c>
      <c r="J2773" t="str">
        <f t="shared" si="43"/>
        <v>http://www.badatelna.eu/reprodukce/?fondId=1073&amp;zaznamId=1108958&amp;reproId=3779954</v>
      </c>
      <c r="K2773">
        <f>IF(LEN(TRIM(E2773))=0,"",VLOOKUP(E2773,Sheet2!$B$1:$E$19,2,FALSE))</f>
        <v>1073</v>
      </c>
      <c r="L2773">
        <f>IF(LEN(TRIM(E2773))=0,"",VLOOKUP(E2773,Sheet2!$B$1:$E$19,3,FALSE))</f>
        <v>1108958</v>
      </c>
      <c r="M2773">
        <f>IF(LEN(TRIM(E2773))=0,"",VLOOKUP(E2773,Sheet2!$B$1:$E$19,4,FALSE))+(F2773-1)</f>
        <v>3779954</v>
      </c>
    </row>
    <row r="2774" spans="1:13" s="1" customFormat="1" ht="15" customHeight="1" x14ac:dyDescent="0.25">
      <c r="A2774" s="28" t="s">
        <v>724</v>
      </c>
      <c r="B2774" s="28" t="s">
        <v>718</v>
      </c>
      <c r="C2774" s="6" t="s">
        <v>1949</v>
      </c>
      <c r="D2774" s="1" t="s">
        <v>454</v>
      </c>
      <c r="E2774" s="1">
        <v>2172</v>
      </c>
      <c r="F2774" s="28">
        <v>226</v>
      </c>
      <c r="G2774" s="9">
        <v>207</v>
      </c>
      <c r="H2774" s="1" t="s">
        <v>3073</v>
      </c>
      <c r="I2774" s="1" t="s">
        <v>3073</v>
      </c>
      <c r="J2774" t="str">
        <f t="shared" si="43"/>
        <v>http://www.badatelna.eu/reprodukce/?fondId=1073&amp;zaznamId=1108958&amp;reproId=3779967</v>
      </c>
      <c r="K2774">
        <f>IF(LEN(TRIM(E2774))=0,"",VLOOKUP(E2774,Sheet2!$B$1:$E$19,2,FALSE))</f>
        <v>1073</v>
      </c>
      <c r="L2774">
        <f>IF(LEN(TRIM(E2774))=0,"",VLOOKUP(E2774,Sheet2!$B$1:$E$19,3,FALSE))</f>
        <v>1108958</v>
      </c>
      <c r="M2774">
        <f>IF(LEN(TRIM(E2774))=0,"",VLOOKUP(E2774,Sheet2!$B$1:$E$19,4,FALSE))+(F2774-1)</f>
        <v>3779967</v>
      </c>
    </row>
    <row r="2775" spans="1:13" s="1" customFormat="1" ht="15" customHeight="1" x14ac:dyDescent="0.25">
      <c r="A2775" s="28" t="s">
        <v>2783</v>
      </c>
      <c r="B2775" s="28" t="s">
        <v>542</v>
      </c>
      <c r="C2775" s="6" t="s">
        <v>1834</v>
      </c>
      <c r="D2775" s="1" t="s">
        <v>454</v>
      </c>
      <c r="E2775" s="1">
        <v>2172</v>
      </c>
      <c r="F2775" s="28">
        <v>173</v>
      </c>
      <c r="G2775" s="9" t="s">
        <v>3094</v>
      </c>
      <c r="H2775" s="1" t="s">
        <v>3073</v>
      </c>
      <c r="I2775" s="1" t="s">
        <v>3073</v>
      </c>
      <c r="J2775" t="str">
        <f t="shared" si="43"/>
        <v>http://www.badatelna.eu/reprodukce/?fondId=1073&amp;zaznamId=1108958&amp;reproId=3779914</v>
      </c>
      <c r="K2775">
        <f>IF(LEN(TRIM(E2775))=0,"",VLOOKUP(E2775,Sheet2!$B$1:$E$19,2,FALSE))</f>
        <v>1073</v>
      </c>
      <c r="L2775">
        <f>IF(LEN(TRIM(E2775))=0,"",VLOOKUP(E2775,Sheet2!$B$1:$E$19,3,FALSE))</f>
        <v>1108958</v>
      </c>
      <c r="M2775">
        <f>IF(LEN(TRIM(E2775))=0,"",VLOOKUP(E2775,Sheet2!$B$1:$E$19,4,FALSE))+(F2775-1)</f>
        <v>3779914</v>
      </c>
    </row>
    <row r="2776" spans="1:13" s="1" customFormat="1" ht="15" customHeight="1" x14ac:dyDescent="0.25">
      <c r="A2776" s="28" t="s">
        <v>376</v>
      </c>
      <c r="B2776" s="28" t="s">
        <v>285</v>
      </c>
      <c r="C2776" s="6" t="s">
        <v>2204</v>
      </c>
      <c r="D2776" s="1" t="s">
        <v>454</v>
      </c>
      <c r="E2776" s="1">
        <v>2173</v>
      </c>
      <c r="F2776" s="28">
        <v>177</v>
      </c>
      <c r="G2776" s="9">
        <v>1</v>
      </c>
      <c r="H2776" s="1">
        <v>194</v>
      </c>
      <c r="I2776" s="1">
        <v>431</v>
      </c>
      <c r="J2776" t="str">
        <f t="shared" si="43"/>
        <v>http://www.badatelna.eu/reprodukce/?fondId=1073&amp;zaznamId=1108959&amp;reproId=3780170</v>
      </c>
      <c r="K2776">
        <f>IF(LEN(TRIM(E2776))=0,"",VLOOKUP(E2776,Sheet2!$B$1:$E$19,2,FALSE))</f>
        <v>1073</v>
      </c>
      <c r="L2776">
        <f>IF(LEN(TRIM(E2776))=0,"",VLOOKUP(E2776,Sheet2!$B$1:$E$19,3,FALSE))</f>
        <v>1108959</v>
      </c>
      <c r="M2776">
        <f>IF(LEN(TRIM(E2776))=0,"",VLOOKUP(E2776,Sheet2!$B$1:$E$19,4,FALSE))+(F2776-1)</f>
        <v>3780170</v>
      </c>
    </row>
    <row r="2777" spans="1:13" s="1" customFormat="1" ht="15" customHeight="1" x14ac:dyDescent="0.25">
      <c r="A2777" s="28" t="s">
        <v>726</v>
      </c>
      <c r="B2777" s="28" t="s">
        <v>727</v>
      </c>
      <c r="C2777" s="6" t="s">
        <v>1510</v>
      </c>
      <c r="D2777" s="1" t="s">
        <v>454</v>
      </c>
      <c r="E2777" s="1">
        <v>2172</v>
      </c>
      <c r="F2777" s="28">
        <v>5</v>
      </c>
      <c r="G2777" s="9">
        <v>2</v>
      </c>
      <c r="H2777" s="1">
        <v>9</v>
      </c>
      <c r="I2777" s="1">
        <v>2</v>
      </c>
      <c r="J2777" t="str">
        <f t="shared" si="43"/>
        <v>http://www.badatelna.eu/reprodukce/?fondId=1073&amp;zaznamId=1108958&amp;reproId=3779746</v>
      </c>
      <c r="K2777">
        <f>IF(LEN(TRIM(E2777))=0,"",VLOOKUP(E2777,Sheet2!$B$1:$E$19,2,FALSE))</f>
        <v>1073</v>
      </c>
      <c r="L2777">
        <f>IF(LEN(TRIM(E2777))=0,"",VLOOKUP(E2777,Sheet2!$B$1:$E$19,3,FALSE))</f>
        <v>1108958</v>
      </c>
      <c r="M2777">
        <f>IF(LEN(TRIM(E2777))=0,"",VLOOKUP(E2777,Sheet2!$B$1:$E$19,4,FALSE))+(F2777-1)</f>
        <v>3779746</v>
      </c>
    </row>
    <row r="2778" spans="1:13" s="1" customFormat="1" ht="15" customHeight="1" x14ac:dyDescent="0.25">
      <c r="A2778" s="28" t="s">
        <v>726</v>
      </c>
      <c r="B2778" s="28" t="s">
        <v>198</v>
      </c>
      <c r="C2778" s="6" t="s">
        <v>1759</v>
      </c>
      <c r="D2778" s="1" t="s">
        <v>454</v>
      </c>
      <c r="E2778" s="1">
        <v>2172</v>
      </c>
      <c r="F2778" s="28">
        <v>136</v>
      </c>
      <c r="G2778" s="9" t="s">
        <v>3085</v>
      </c>
      <c r="H2778" s="1">
        <v>138</v>
      </c>
      <c r="I2778" s="1">
        <v>136</v>
      </c>
      <c r="J2778" t="str">
        <f t="shared" si="43"/>
        <v>http://www.badatelna.eu/reprodukce/?fondId=1073&amp;zaznamId=1108958&amp;reproId=3779877</v>
      </c>
      <c r="K2778">
        <f>IF(LEN(TRIM(E2778))=0,"",VLOOKUP(E2778,Sheet2!$B$1:$E$19,2,FALSE))</f>
        <v>1073</v>
      </c>
      <c r="L2778">
        <f>IF(LEN(TRIM(E2778))=0,"",VLOOKUP(E2778,Sheet2!$B$1:$E$19,3,FALSE))</f>
        <v>1108958</v>
      </c>
      <c r="M2778">
        <f>IF(LEN(TRIM(E2778))=0,"",VLOOKUP(E2778,Sheet2!$B$1:$E$19,4,FALSE))+(F2778-1)</f>
        <v>3779877</v>
      </c>
    </row>
    <row r="2779" spans="1:13" s="1" customFormat="1" ht="15" customHeight="1" x14ac:dyDescent="0.25">
      <c r="A2779" s="28" t="s">
        <v>728</v>
      </c>
      <c r="B2779" s="28" t="s">
        <v>60</v>
      </c>
      <c r="C2779" s="6" t="s">
        <v>1884</v>
      </c>
      <c r="D2779" s="1" t="s">
        <v>454</v>
      </c>
      <c r="E2779" s="1">
        <v>2172</v>
      </c>
      <c r="F2779" s="28">
        <v>194</v>
      </c>
      <c r="G2779" s="9">
        <v>184</v>
      </c>
      <c r="H2779" s="1" t="s">
        <v>3073</v>
      </c>
      <c r="I2779" s="1" t="s">
        <v>3073</v>
      </c>
      <c r="J2779" t="str">
        <f t="shared" si="43"/>
        <v>http://www.badatelna.eu/reprodukce/?fondId=1073&amp;zaznamId=1108958&amp;reproId=3779935</v>
      </c>
      <c r="K2779">
        <f>IF(LEN(TRIM(E2779))=0,"",VLOOKUP(E2779,Sheet2!$B$1:$E$19,2,FALSE))</f>
        <v>1073</v>
      </c>
      <c r="L2779">
        <f>IF(LEN(TRIM(E2779))=0,"",VLOOKUP(E2779,Sheet2!$B$1:$E$19,3,FALSE))</f>
        <v>1108958</v>
      </c>
      <c r="M2779">
        <f>IF(LEN(TRIM(E2779))=0,"",VLOOKUP(E2779,Sheet2!$B$1:$E$19,4,FALSE))+(F2779-1)</f>
        <v>3779935</v>
      </c>
    </row>
    <row r="2780" spans="1:13" s="1" customFormat="1" ht="15" customHeight="1" x14ac:dyDescent="0.25">
      <c r="A2780" s="28" t="s">
        <v>729</v>
      </c>
      <c r="B2780" s="28" t="s">
        <v>25</v>
      </c>
      <c r="C2780" s="1">
        <v>1855</v>
      </c>
      <c r="D2780" s="1" t="s">
        <v>2919</v>
      </c>
      <c r="E2780" s="1">
        <v>998</v>
      </c>
      <c r="F2780" s="28">
        <v>47</v>
      </c>
      <c r="G2780" s="1">
        <v>45</v>
      </c>
      <c r="H2780" s="1">
        <v>81</v>
      </c>
      <c r="I2780" s="1">
        <v>79</v>
      </c>
      <c r="J2780" t="str">
        <f t="shared" si="43"/>
        <v>http://www.badatelna.eu/reprodukce/?fondId=241&amp;zaznamId=1133738&amp;reproId=3885693</v>
      </c>
      <c r="K2780">
        <f>IF(LEN(TRIM(E2780))=0,"",VLOOKUP(E2780,Sheet2!$B$1:$E$19,2,FALSE))</f>
        <v>241</v>
      </c>
      <c r="L2780">
        <f>IF(LEN(TRIM(E2780))=0,"",VLOOKUP(E2780,Sheet2!$B$1:$E$19,3,FALSE))</f>
        <v>1133738</v>
      </c>
      <c r="M2780">
        <f>IF(LEN(TRIM(E2780))=0,"",VLOOKUP(E2780,Sheet2!$B$1:$E$19,4,FALSE))+(F2780-1)</f>
        <v>3885693</v>
      </c>
    </row>
    <row r="2781" spans="1:13" s="1" customFormat="1" ht="15" customHeight="1" x14ac:dyDescent="0.25">
      <c r="A2781" s="28" t="s">
        <v>729</v>
      </c>
      <c r="B2781" s="28" t="s">
        <v>730</v>
      </c>
      <c r="C2781" s="6" t="s">
        <v>1810</v>
      </c>
      <c r="D2781" s="1" t="s">
        <v>454</v>
      </c>
      <c r="E2781" s="1">
        <v>2172</v>
      </c>
      <c r="F2781" s="28">
        <v>163</v>
      </c>
      <c r="G2781" s="9">
        <v>157</v>
      </c>
      <c r="H2781" s="1">
        <v>164</v>
      </c>
      <c r="I2781" s="1">
        <v>158</v>
      </c>
      <c r="J2781" t="str">
        <f t="shared" si="43"/>
        <v>http://www.badatelna.eu/reprodukce/?fondId=1073&amp;zaznamId=1108958&amp;reproId=3779904</v>
      </c>
      <c r="K2781">
        <f>IF(LEN(TRIM(E2781))=0,"",VLOOKUP(E2781,Sheet2!$B$1:$E$19,2,FALSE))</f>
        <v>1073</v>
      </c>
      <c r="L2781">
        <f>IF(LEN(TRIM(E2781))=0,"",VLOOKUP(E2781,Sheet2!$B$1:$E$19,3,FALSE))</f>
        <v>1108958</v>
      </c>
      <c r="M2781">
        <f>IF(LEN(TRIM(E2781))=0,"",VLOOKUP(E2781,Sheet2!$B$1:$E$19,4,FALSE))+(F2781-1)</f>
        <v>3779904</v>
      </c>
    </row>
    <row r="2782" spans="1:13" s="1" customFormat="1" ht="15" customHeight="1" x14ac:dyDescent="0.25">
      <c r="A2782" s="29" t="s">
        <v>378</v>
      </c>
      <c r="B2782" s="28" t="s">
        <v>195</v>
      </c>
      <c r="C2782" s="6" t="s">
        <v>2441</v>
      </c>
      <c r="D2782" s="1" t="s">
        <v>454</v>
      </c>
      <c r="E2782" s="1">
        <v>2173</v>
      </c>
      <c r="F2782" s="28">
        <v>204</v>
      </c>
      <c r="G2782" s="1">
        <v>17</v>
      </c>
      <c r="H2782" s="1" t="s">
        <v>3073</v>
      </c>
      <c r="I2782" s="1" t="s">
        <v>3073</v>
      </c>
      <c r="J2782" t="str">
        <f t="shared" si="43"/>
        <v>http://www.badatelna.eu/reprodukce/?fondId=1073&amp;zaznamId=1108959&amp;reproId=3780197</v>
      </c>
      <c r="K2782">
        <f>IF(LEN(TRIM(E2782))=0,"",VLOOKUP(E2782,Sheet2!$B$1:$E$19,2,FALSE))</f>
        <v>1073</v>
      </c>
      <c r="L2782">
        <f>IF(LEN(TRIM(E2782))=0,"",VLOOKUP(E2782,Sheet2!$B$1:$E$19,3,FALSE))</f>
        <v>1108959</v>
      </c>
      <c r="M2782">
        <f>IF(LEN(TRIM(E2782))=0,"",VLOOKUP(E2782,Sheet2!$B$1:$E$19,4,FALSE))+(F2782-1)</f>
        <v>3780197</v>
      </c>
    </row>
    <row r="2783" spans="1:13" s="1" customFormat="1" ht="15" customHeight="1" x14ac:dyDescent="0.25">
      <c r="A2783" s="28" t="s">
        <v>378</v>
      </c>
      <c r="B2783" s="28" t="s">
        <v>10</v>
      </c>
      <c r="C2783" s="6" t="s">
        <v>2158</v>
      </c>
      <c r="D2783" s="1" t="s">
        <v>454</v>
      </c>
      <c r="E2783" s="1">
        <v>2173</v>
      </c>
      <c r="F2783" s="28">
        <v>178</v>
      </c>
      <c r="G2783" s="9">
        <v>3</v>
      </c>
      <c r="H2783" s="1">
        <v>194</v>
      </c>
      <c r="I2783" s="1">
        <v>431</v>
      </c>
      <c r="J2783" t="str">
        <f t="shared" si="43"/>
        <v>http://www.badatelna.eu/reprodukce/?fondId=1073&amp;zaznamId=1108959&amp;reproId=3780171</v>
      </c>
      <c r="K2783">
        <f>IF(LEN(TRIM(E2783))=0,"",VLOOKUP(E2783,Sheet2!$B$1:$E$19,2,FALSE))</f>
        <v>1073</v>
      </c>
      <c r="L2783">
        <f>IF(LEN(TRIM(E2783))=0,"",VLOOKUP(E2783,Sheet2!$B$1:$E$19,3,FALSE))</f>
        <v>1108959</v>
      </c>
      <c r="M2783">
        <f>IF(LEN(TRIM(E2783))=0,"",VLOOKUP(E2783,Sheet2!$B$1:$E$19,4,FALSE))+(F2783-1)</f>
        <v>3780171</v>
      </c>
    </row>
    <row r="2784" spans="1:13" s="1" customFormat="1" ht="15" customHeight="1" x14ac:dyDescent="0.25">
      <c r="A2784" s="28" t="s">
        <v>3027</v>
      </c>
      <c r="B2784" s="28" t="s">
        <v>25</v>
      </c>
      <c r="C2784" s="1">
        <v>1858</v>
      </c>
      <c r="D2784" s="1" t="s">
        <v>2919</v>
      </c>
      <c r="E2784" s="1">
        <v>998</v>
      </c>
      <c r="F2784" s="28">
        <v>53</v>
      </c>
      <c r="G2784" s="1">
        <v>51</v>
      </c>
      <c r="H2784" s="1">
        <v>81</v>
      </c>
      <c r="I2784" s="1">
        <v>79</v>
      </c>
      <c r="J2784" t="str">
        <f t="shared" si="43"/>
        <v>http://www.badatelna.eu/reprodukce/?fondId=241&amp;zaznamId=1133738&amp;reproId=3885699</v>
      </c>
      <c r="K2784">
        <f>IF(LEN(TRIM(E2784))=0,"",VLOOKUP(E2784,Sheet2!$B$1:$E$19,2,FALSE))</f>
        <v>241</v>
      </c>
      <c r="L2784">
        <f>IF(LEN(TRIM(E2784))=0,"",VLOOKUP(E2784,Sheet2!$B$1:$E$19,3,FALSE))</f>
        <v>1133738</v>
      </c>
      <c r="M2784">
        <f>IF(LEN(TRIM(E2784))=0,"",VLOOKUP(E2784,Sheet2!$B$1:$E$19,4,FALSE))+(F2784-1)</f>
        <v>3885699</v>
      </c>
    </row>
    <row r="2785" spans="1:13" s="1" customFormat="1" ht="15" customHeight="1" x14ac:dyDescent="0.25">
      <c r="A2785" s="28" t="s">
        <v>3027</v>
      </c>
      <c r="B2785" s="28" t="s">
        <v>3028</v>
      </c>
      <c r="C2785" s="1">
        <v>1855</v>
      </c>
      <c r="D2785" s="1" t="s">
        <v>2919</v>
      </c>
      <c r="E2785" s="1">
        <v>998</v>
      </c>
      <c r="F2785" s="28">
        <v>44</v>
      </c>
      <c r="G2785" s="1">
        <v>42</v>
      </c>
      <c r="H2785" s="1">
        <v>81</v>
      </c>
      <c r="I2785" s="1">
        <v>79</v>
      </c>
      <c r="J2785" t="str">
        <f t="shared" si="43"/>
        <v>http://www.badatelna.eu/reprodukce/?fondId=241&amp;zaznamId=1133738&amp;reproId=3885690</v>
      </c>
      <c r="K2785">
        <f>IF(LEN(TRIM(E2785))=0,"",VLOOKUP(E2785,Sheet2!$B$1:$E$19,2,FALSE))</f>
        <v>241</v>
      </c>
      <c r="L2785">
        <f>IF(LEN(TRIM(E2785))=0,"",VLOOKUP(E2785,Sheet2!$B$1:$E$19,3,FALSE))</f>
        <v>1133738</v>
      </c>
      <c r="M2785">
        <f>IF(LEN(TRIM(E2785))=0,"",VLOOKUP(E2785,Sheet2!$B$1:$E$19,4,FALSE))+(F2785-1)</f>
        <v>3885690</v>
      </c>
    </row>
    <row r="2786" spans="1:13" s="1" customFormat="1" ht="15" customHeight="1" x14ac:dyDescent="0.25">
      <c r="A2786" s="28" t="s">
        <v>3025</v>
      </c>
      <c r="B2786" s="28" t="s">
        <v>420</v>
      </c>
      <c r="C2786" s="1">
        <v>1853</v>
      </c>
      <c r="D2786" s="1" t="s">
        <v>2919</v>
      </c>
      <c r="E2786" s="1">
        <v>998</v>
      </c>
      <c r="F2786" s="28">
        <v>38</v>
      </c>
      <c r="G2786" s="1">
        <v>36</v>
      </c>
      <c r="H2786" s="1">
        <v>81</v>
      </c>
      <c r="I2786" s="1">
        <v>79</v>
      </c>
      <c r="J2786" t="str">
        <f t="shared" si="43"/>
        <v>http://www.badatelna.eu/reprodukce/?fondId=241&amp;zaznamId=1133738&amp;reproId=3885684</v>
      </c>
      <c r="K2786">
        <f>IF(LEN(TRIM(E2786))=0,"",VLOOKUP(E2786,Sheet2!$B$1:$E$19,2,FALSE))</f>
        <v>241</v>
      </c>
      <c r="L2786">
        <f>IF(LEN(TRIM(E2786))=0,"",VLOOKUP(E2786,Sheet2!$B$1:$E$19,3,FALSE))</f>
        <v>1133738</v>
      </c>
      <c r="M2786">
        <f>IF(LEN(TRIM(E2786))=0,"",VLOOKUP(E2786,Sheet2!$B$1:$E$19,4,FALSE))+(F2786-1)</f>
        <v>3885684</v>
      </c>
    </row>
    <row r="2787" spans="1:13" s="1" customFormat="1" ht="15" customHeight="1" x14ac:dyDescent="0.25">
      <c r="A2787" s="28" t="s">
        <v>646</v>
      </c>
      <c r="B2787" s="28" t="s">
        <v>571</v>
      </c>
      <c r="C2787" s="1">
        <v>1863</v>
      </c>
      <c r="D2787" s="1" t="s">
        <v>2919</v>
      </c>
      <c r="E2787" s="1">
        <v>999</v>
      </c>
      <c r="F2787" s="28">
        <v>82</v>
      </c>
      <c r="G2787" s="1">
        <v>3</v>
      </c>
      <c r="H2787" s="1">
        <v>111</v>
      </c>
      <c r="I2787" s="1">
        <v>171</v>
      </c>
      <c r="J2787" t="str">
        <f t="shared" si="43"/>
        <v>http://www.badatelna.eu/reprodukce/?fondId=241&amp;zaznamId=1133739&amp;reproId=3885811</v>
      </c>
      <c r="K2787">
        <f>IF(LEN(TRIM(E2787))=0,"",VLOOKUP(E2787,Sheet2!$B$1:$E$19,2,FALSE))</f>
        <v>241</v>
      </c>
      <c r="L2787">
        <f>IF(LEN(TRIM(E2787))=0,"",VLOOKUP(E2787,Sheet2!$B$1:$E$19,3,FALSE))</f>
        <v>1133739</v>
      </c>
      <c r="M2787">
        <f>IF(LEN(TRIM(E2787))=0,"",VLOOKUP(E2787,Sheet2!$B$1:$E$19,4,FALSE))+(F2787-1)</f>
        <v>3885811</v>
      </c>
    </row>
    <row r="2788" spans="1:13" s="1" customFormat="1" ht="15" customHeight="1" x14ac:dyDescent="0.25">
      <c r="A2788" s="27" t="s">
        <v>646</v>
      </c>
      <c r="B2788" s="27" t="s">
        <v>314</v>
      </c>
      <c r="C2788" s="5" t="s">
        <v>1463</v>
      </c>
      <c r="D2788" s="3" t="s">
        <v>454</v>
      </c>
      <c r="E2788" s="3">
        <v>2170</v>
      </c>
      <c r="F2788" s="28">
        <v>6</v>
      </c>
      <c r="G2788" s="10">
        <v>2</v>
      </c>
      <c r="H2788" s="3">
        <v>73</v>
      </c>
      <c r="I2788" s="3">
        <v>69</v>
      </c>
      <c r="J2788" t="str">
        <f t="shared" si="43"/>
        <v>http://www.badatelna.eu/reprodukce/?fondId=1073&amp;zaznamId=1108956&amp;reproId=3779598</v>
      </c>
      <c r="K2788">
        <f>IF(LEN(TRIM(E2788))=0,"",VLOOKUP(E2788,Sheet2!$B$1:$E$19,2,FALSE))</f>
        <v>1073</v>
      </c>
      <c r="L2788">
        <f>IF(LEN(TRIM(E2788))=0,"",VLOOKUP(E2788,Sheet2!$B$1:$E$19,3,FALSE))</f>
        <v>1108956</v>
      </c>
      <c r="M2788">
        <f>IF(LEN(TRIM(E2788))=0,"",VLOOKUP(E2788,Sheet2!$B$1:$E$19,4,FALSE))+(F2788-1)</f>
        <v>3779598</v>
      </c>
    </row>
    <row r="2789" spans="1:13" s="1" customFormat="1" ht="15" customHeight="1" x14ac:dyDescent="0.25">
      <c r="A2789" s="28" t="s">
        <v>646</v>
      </c>
      <c r="B2789" s="28" t="s">
        <v>600</v>
      </c>
      <c r="C2789" s="6" t="s">
        <v>1652</v>
      </c>
      <c r="D2789" s="1" t="s">
        <v>454</v>
      </c>
      <c r="E2789" s="1">
        <v>2172</v>
      </c>
      <c r="F2789" s="28">
        <v>94</v>
      </c>
      <c r="G2789" s="9">
        <v>93</v>
      </c>
      <c r="H2789" s="1">
        <v>97</v>
      </c>
      <c r="I2789" s="1">
        <v>96</v>
      </c>
      <c r="J2789" t="str">
        <f t="shared" si="43"/>
        <v>http://www.badatelna.eu/reprodukce/?fondId=1073&amp;zaznamId=1108958&amp;reproId=3779835</v>
      </c>
      <c r="K2789">
        <f>IF(LEN(TRIM(E2789))=0,"",VLOOKUP(E2789,Sheet2!$B$1:$E$19,2,FALSE))</f>
        <v>1073</v>
      </c>
      <c r="L2789">
        <f>IF(LEN(TRIM(E2789))=0,"",VLOOKUP(E2789,Sheet2!$B$1:$E$19,3,FALSE))</f>
        <v>1108958</v>
      </c>
      <c r="M2789">
        <f>IF(LEN(TRIM(E2789))=0,"",VLOOKUP(E2789,Sheet2!$B$1:$E$19,4,FALSE))+(F2789-1)</f>
        <v>3779835</v>
      </c>
    </row>
    <row r="2790" spans="1:13" s="1" customFormat="1" ht="15" customHeight="1" x14ac:dyDescent="0.25">
      <c r="A2790" s="28" t="s">
        <v>646</v>
      </c>
      <c r="B2790" s="28" t="s">
        <v>731</v>
      </c>
      <c r="C2790" s="6" t="s">
        <v>1865</v>
      </c>
      <c r="D2790" s="1" t="s">
        <v>454</v>
      </c>
      <c r="E2790" s="1">
        <v>2172</v>
      </c>
      <c r="F2790" s="28">
        <v>187</v>
      </c>
      <c r="G2790" s="9">
        <v>177</v>
      </c>
      <c r="H2790" s="1" t="s">
        <v>3073</v>
      </c>
      <c r="I2790" s="1" t="s">
        <v>3073</v>
      </c>
      <c r="J2790" t="str">
        <f t="shared" si="43"/>
        <v>http://www.badatelna.eu/reprodukce/?fondId=1073&amp;zaznamId=1108958&amp;reproId=3779928</v>
      </c>
      <c r="K2790">
        <f>IF(LEN(TRIM(E2790))=0,"",VLOOKUP(E2790,Sheet2!$B$1:$E$19,2,FALSE))</f>
        <v>1073</v>
      </c>
      <c r="L2790">
        <f>IF(LEN(TRIM(E2790))=0,"",VLOOKUP(E2790,Sheet2!$B$1:$E$19,3,FALSE))</f>
        <v>1108958</v>
      </c>
      <c r="M2790">
        <f>IF(LEN(TRIM(E2790))=0,"",VLOOKUP(E2790,Sheet2!$B$1:$E$19,4,FALSE))+(F2790-1)</f>
        <v>3779928</v>
      </c>
    </row>
    <row r="2791" spans="1:13" s="1" customFormat="1" ht="15" customHeight="1" x14ac:dyDescent="0.25">
      <c r="A2791" s="28" t="s">
        <v>646</v>
      </c>
      <c r="B2791" s="28" t="s">
        <v>254</v>
      </c>
      <c r="C2791" s="1">
        <v>1861</v>
      </c>
      <c r="D2791" s="1" t="s">
        <v>2919</v>
      </c>
      <c r="E2791" s="1">
        <v>998</v>
      </c>
      <c r="F2791" s="28">
        <v>61</v>
      </c>
      <c r="G2791" s="1">
        <v>58</v>
      </c>
      <c r="H2791" s="1">
        <v>81</v>
      </c>
      <c r="I2791" s="1">
        <v>79</v>
      </c>
      <c r="J2791" t="str">
        <f t="shared" si="43"/>
        <v>http://www.badatelna.eu/reprodukce/?fondId=241&amp;zaznamId=1133738&amp;reproId=3885707</v>
      </c>
      <c r="K2791">
        <f>IF(LEN(TRIM(E2791))=0,"",VLOOKUP(E2791,Sheet2!$B$1:$E$19,2,FALSE))</f>
        <v>241</v>
      </c>
      <c r="L2791">
        <f>IF(LEN(TRIM(E2791))=0,"",VLOOKUP(E2791,Sheet2!$B$1:$E$19,3,FALSE))</f>
        <v>1133738</v>
      </c>
      <c r="M2791">
        <f>IF(LEN(TRIM(E2791))=0,"",VLOOKUP(E2791,Sheet2!$B$1:$E$19,4,FALSE))+(F2791-1)</f>
        <v>3885707</v>
      </c>
    </row>
    <row r="2792" spans="1:13" s="1" customFormat="1" ht="15" customHeight="1" x14ac:dyDescent="0.25">
      <c r="A2792" s="27" t="s">
        <v>646</v>
      </c>
      <c r="B2792" s="27" t="s">
        <v>647</v>
      </c>
      <c r="C2792" s="5" t="s">
        <v>1462</v>
      </c>
      <c r="D2792" s="3" t="s">
        <v>454</v>
      </c>
      <c r="E2792" s="3">
        <v>2170</v>
      </c>
      <c r="F2792" s="28">
        <v>39</v>
      </c>
      <c r="G2792" s="10">
        <v>35</v>
      </c>
      <c r="H2792" s="3">
        <v>73</v>
      </c>
      <c r="I2792" s="3">
        <v>69</v>
      </c>
      <c r="J2792" t="str">
        <f t="shared" si="43"/>
        <v>http://www.badatelna.eu/reprodukce/?fondId=1073&amp;zaznamId=1108956&amp;reproId=3779631</v>
      </c>
      <c r="K2792">
        <f>IF(LEN(TRIM(E2792))=0,"",VLOOKUP(E2792,Sheet2!$B$1:$E$19,2,FALSE))</f>
        <v>1073</v>
      </c>
      <c r="L2792">
        <f>IF(LEN(TRIM(E2792))=0,"",VLOOKUP(E2792,Sheet2!$B$1:$E$19,3,FALSE))</f>
        <v>1108956</v>
      </c>
      <c r="M2792">
        <f>IF(LEN(TRIM(E2792))=0,"",VLOOKUP(E2792,Sheet2!$B$1:$E$19,4,FALSE))+(F2792-1)</f>
        <v>3779631</v>
      </c>
    </row>
    <row r="2793" spans="1:13" s="1" customFormat="1" ht="15" customHeight="1" x14ac:dyDescent="0.25">
      <c r="A2793" s="28" t="s">
        <v>732</v>
      </c>
      <c r="B2793" s="28" t="s">
        <v>733</v>
      </c>
      <c r="C2793" s="15">
        <v>8403</v>
      </c>
      <c r="D2793" s="1" t="s">
        <v>454</v>
      </c>
      <c r="E2793" s="1">
        <v>2172</v>
      </c>
      <c r="F2793" s="28">
        <v>204</v>
      </c>
      <c r="G2793" s="9">
        <v>190</v>
      </c>
      <c r="H2793" s="1" t="s">
        <v>3073</v>
      </c>
      <c r="I2793" s="1" t="s">
        <v>3073</v>
      </c>
      <c r="J2793" t="str">
        <f t="shared" si="43"/>
        <v>http://www.badatelna.eu/reprodukce/?fondId=1073&amp;zaznamId=1108958&amp;reproId=3779945</v>
      </c>
      <c r="K2793">
        <f>IF(LEN(TRIM(E2793))=0,"",VLOOKUP(E2793,Sheet2!$B$1:$E$19,2,FALSE))</f>
        <v>1073</v>
      </c>
      <c r="L2793">
        <f>IF(LEN(TRIM(E2793))=0,"",VLOOKUP(E2793,Sheet2!$B$1:$E$19,3,FALSE))</f>
        <v>1108958</v>
      </c>
      <c r="M2793">
        <f>IF(LEN(TRIM(E2793))=0,"",VLOOKUP(E2793,Sheet2!$B$1:$E$19,4,FALSE))+(F2793-1)</f>
        <v>3779945</v>
      </c>
    </row>
    <row r="2794" spans="1:13" s="1" customFormat="1" ht="15" customHeight="1" x14ac:dyDescent="0.25">
      <c r="A2794" s="28" t="s">
        <v>732</v>
      </c>
      <c r="B2794" s="28" t="s">
        <v>13</v>
      </c>
      <c r="C2794" s="6" t="s">
        <v>1043</v>
      </c>
      <c r="D2794" s="1" t="s">
        <v>454</v>
      </c>
      <c r="E2794" s="1">
        <v>2172</v>
      </c>
      <c r="F2794" s="28">
        <v>171</v>
      </c>
      <c r="G2794" s="9" t="s">
        <v>3093</v>
      </c>
      <c r="H2794" s="1" t="s">
        <v>3073</v>
      </c>
      <c r="I2794" s="1" t="s">
        <v>3073</v>
      </c>
      <c r="J2794" t="str">
        <f t="shared" si="43"/>
        <v>http://www.badatelna.eu/reprodukce/?fondId=1073&amp;zaznamId=1108958&amp;reproId=3779912</v>
      </c>
      <c r="K2794">
        <f>IF(LEN(TRIM(E2794))=0,"",VLOOKUP(E2794,Sheet2!$B$1:$E$19,2,FALSE))</f>
        <v>1073</v>
      </c>
      <c r="L2794">
        <f>IF(LEN(TRIM(E2794))=0,"",VLOOKUP(E2794,Sheet2!$B$1:$E$19,3,FALSE))</f>
        <v>1108958</v>
      </c>
      <c r="M2794">
        <f>IF(LEN(TRIM(E2794))=0,"",VLOOKUP(E2794,Sheet2!$B$1:$E$19,4,FALSE))+(F2794-1)</f>
        <v>3779912</v>
      </c>
    </row>
    <row r="2795" spans="1:13" s="1" customFormat="1" ht="15" customHeight="1" x14ac:dyDescent="0.25">
      <c r="A2795" s="28" t="s">
        <v>732</v>
      </c>
      <c r="B2795" s="28" t="s">
        <v>407</v>
      </c>
      <c r="C2795" s="6" t="s">
        <v>1942</v>
      </c>
      <c r="D2795" s="1" t="s">
        <v>454</v>
      </c>
      <c r="E2795" s="1">
        <v>2172</v>
      </c>
      <c r="F2795" s="28">
        <v>223</v>
      </c>
      <c r="G2795" s="9">
        <v>204</v>
      </c>
      <c r="H2795" s="1" t="s">
        <v>3073</v>
      </c>
      <c r="I2795" s="1" t="s">
        <v>3073</v>
      </c>
      <c r="J2795" t="str">
        <f t="shared" si="43"/>
        <v>http://www.badatelna.eu/reprodukce/?fondId=1073&amp;zaznamId=1108958&amp;reproId=3779964</v>
      </c>
      <c r="K2795">
        <f>IF(LEN(TRIM(E2795))=0,"",VLOOKUP(E2795,Sheet2!$B$1:$E$19,2,FALSE))</f>
        <v>1073</v>
      </c>
      <c r="L2795">
        <f>IF(LEN(TRIM(E2795))=0,"",VLOOKUP(E2795,Sheet2!$B$1:$E$19,3,FALSE))</f>
        <v>1108958</v>
      </c>
      <c r="M2795">
        <f>IF(LEN(TRIM(E2795))=0,"",VLOOKUP(E2795,Sheet2!$B$1:$E$19,4,FALSE))+(F2795-1)</f>
        <v>3779964</v>
      </c>
    </row>
    <row r="2796" spans="1:13" s="1" customFormat="1" ht="15" customHeight="1" x14ac:dyDescent="0.25">
      <c r="A2796" s="28" t="s">
        <v>734</v>
      </c>
      <c r="B2796" s="28" t="s">
        <v>735</v>
      </c>
      <c r="C2796" s="6" t="s">
        <v>1964</v>
      </c>
      <c r="D2796" s="1" t="s">
        <v>454</v>
      </c>
      <c r="E2796" s="1">
        <v>2172</v>
      </c>
      <c r="F2796" s="28">
        <v>235</v>
      </c>
      <c r="G2796" s="9">
        <v>215</v>
      </c>
      <c r="H2796" s="1" t="s">
        <v>3073</v>
      </c>
      <c r="I2796" s="1" t="s">
        <v>3073</v>
      </c>
      <c r="J2796" t="str">
        <f t="shared" si="43"/>
        <v>http://www.badatelna.eu/reprodukce/?fondId=1073&amp;zaznamId=1108958&amp;reproId=3779976</v>
      </c>
      <c r="K2796">
        <f>IF(LEN(TRIM(E2796))=0,"",VLOOKUP(E2796,Sheet2!$B$1:$E$19,2,FALSE))</f>
        <v>1073</v>
      </c>
      <c r="L2796">
        <f>IF(LEN(TRIM(E2796))=0,"",VLOOKUP(E2796,Sheet2!$B$1:$E$19,3,FALSE))</f>
        <v>1108958</v>
      </c>
      <c r="M2796">
        <f>IF(LEN(TRIM(E2796))=0,"",VLOOKUP(E2796,Sheet2!$B$1:$E$19,4,FALSE))+(F2796-1)</f>
        <v>3779976</v>
      </c>
    </row>
    <row r="2797" spans="1:13" s="1" customFormat="1" ht="15" customHeight="1" x14ac:dyDescent="0.25">
      <c r="A2797" s="28" t="s">
        <v>736</v>
      </c>
      <c r="B2797" s="28" t="s">
        <v>492</v>
      </c>
      <c r="C2797" s="6" t="s">
        <v>1875</v>
      </c>
      <c r="D2797" s="1" t="s">
        <v>454</v>
      </c>
      <c r="E2797" s="1">
        <v>2172</v>
      </c>
      <c r="F2797" s="28">
        <v>190</v>
      </c>
      <c r="G2797" s="9">
        <v>180</v>
      </c>
      <c r="H2797" s="1" t="s">
        <v>3073</v>
      </c>
      <c r="I2797" s="1" t="s">
        <v>3073</v>
      </c>
      <c r="J2797" t="str">
        <f t="shared" si="43"/>
        <v>http://www.badatelna.eu/reprodukce/?fondId=1073&amp;zaznamId=1108958&amp;reproId=3779931</v>
      </c>
      <c r="K2797">
        <f>IF(LEN(TRIM(E2797))=0,"",VLOOKUP(E2797,Sheet2!$B$1:$E$19,2,FALSE))</f>
        <v>1073</v>
      </c>
      <c r="L2797">
        <f>IF(LEN(TRIM(E2797))=0,"",VLOOKUP(E2797,Sheet2!$B$1:$E$19,3,FALSE))</f>
        <v>1108958</v>
      </c>
      <c r="M2797">
        <f>IF(LEN(TRIM(E2797))=0,"",VLOOKUP(E2797,Sheet2!$B$1:$E$19,4,FALSE))+(F2797-1)</f>
        <v>3779931</v>
      </c>
    </row>
    <row r="2798" spans="1:13" s="1" customFormat="1" ht="15" customHeight="1" x14ac:dyDescent="0.25">
      <c r="A2798" s="28" t="s">
        <v>736</v>
      </c>
      <c r="B2798" s="28" t="s">
        <v>737</v>
      </c>
      <c r="C2798" s="6" t="s">
        <v>1630</v>
      </c>
      <c r="D2798" s="1" t="s">
        <v>454</v>
      </c>
      <c r="E2798" s="1">
        <v>2172</v>
      </c>
      <c r="F2798" s="28">
        <v>88</v>
      </c>
      <c r="G2798" s="9">
        <v>87</v>
      </c>
      <c r="H2798" s="1">
        <v>90</v>
      </c>
      <c r="I2798" s="1">
        <v>89</v>
      </c>
      <c r="J2798" t="str">
        <f t="shared" si="43"/>
        <v>http://www.badatelna.eu/reprodukce/?fondId=1073&amp;zaznamId=1108958&amp;reproId=3779829</v>
      </c>
      <c r="K2798">
        <f>IF(LEN(TRIM(E2798))=0,"",VLOOKUP(E2798,Sheet2!$B$1:$E$19,2,FALSE))</f>
        <v>1073</v>
      </c>
      <c r="L2798">
        <f>IF(LEN(TRIM(E2798))=0,"",VLOOKUP(E2798,Sheet2!$B$1:$E$19,3,FALSE))</f>
        <v>1108958</v>
      </c>
      <c r="M2798">
        <f>IF(LEN(TRIM(E2798))=0,"",VLOOKUP(E2798,Sheet2!$B$1:$E$19,4,FALSE))+(F2798-1)</f>
        <v>3779829</v>
      </c>
    </row>
    <row r="2799" spans="1:13" s="1" customFormat="1" ht="15" customHeight="1" x14ac:dyDescent="0.25">
      <c r="A2799" s="28" t="s">
        <v>736</v>
      </c>
      <c r="B2799" s="28" t="s">
        <v>91</v>
      </c>
      <c r="C2799" s="6" t="s">
        <v>1925</v>
      </c>
      <c r="D2799" s="1" t="s">
        <v>454</v>
      </c>
      <c r="E2799" s="1">
        <v>2172</v>
      </c>
      <c r="F2799" s="28">
        <v>214</v>
      </c>
      <c r="G2799" s="9">
        <v>198</v>
      </c>
      <c r="H2799" s="1" t="s">
        <v>3073</v>
      </c>
      <c r="I2799" s="1" t="s">
        <v>3073</v>
      </c>
      <c r="J2799" t="str">
        <f t="shared" si="43"/>
        <v>http://www.badatelna.eu/reprodukce/?fondId=1073&amp;zaznamId=1108958&amp;reproId=3779955</v>
      </c>
      <c r="K2799">
        <f>IF(LEN(TRIM(E2799))=0,"",VLOOKUP(E2799,Sheet2!$B$1:$E$19,2,FALSE))</f>
        <v>1073</v>
      </c>
      <c r="L2799">
        <f>IF(LEN(TRIM(E2799))=0,"",VLOOKUP(E2799,Sheet2!$B$1:$E$19,3,FALSE))</f>
        <v>1108958</v>
      </c>
      <c r="M2799">
        <f>IF(LEN(TRIM(E2799))=0,"",VLOOKUP(E2799,Sheet2!$B$1:$E$19,4,FALSE))+(F2799-1)</f>
        <v>3779955</v>
      </c>
    </row>
    <row r="2800" spans="1:13" s="1" customFormat="1" ht="15" customHeight="1" x14ac:dyDescent="0.25">
      <c r="A2800" s="28" t="s">
        <v>739</v>
      </c>
      <c r="B2800" s="28" t="s">
        <v>575</v>
      </c>
      <c r="C2800" s="6" t="s">
        <v>1928</v>
      </c>
      <c r="D2800" s="1" t="s">
        <v>454</v>
      </c>
      <c r="E2800" s="1">
        <v>2172</v>
      </c>
      <c r="F2800" s="28">
        <v>216</v>
      </c>
      <c r="G2800" s="9">
        <v>200</v>
      </c>
      <c r="H2800" s="1" t="s">
        <v>3073</v>
      </c>
      <c r="I2800" s="1" t="s">
        <v>3073</v>
      </c>
      <c r="J2800" t="str">
        <f t="shared" si="43"/>
        <v>http://www.badatelna.eu/reprodukce/?fondId=1073&amp;zaznamId=1108958&amp;reproId=3779957</v>
      </c>
      <c r="K2800">
        <f>IF(LEN(TRIM(E2800))=0,"",VLOOKUP(E2800,Sheet2!$B$1:$E$19,2,FALSE))</f>
        <v>1073</v>
      </c>
      <c r="L2800">
        <f>IF(LEN(TRIM(E2800))=0,"",VLOOKUP(E2800,Sheet2!$B$1:$E$19,3,FALSE))</f>
        <v>1108958</v>
      </c>
      <c r="M2800">
        <f>IF(LEN(TRIM(E2800))=0,"",VLOOKUP(E2800,Sheet2!$B$1:$E$19,4,FALSE))+(F2800-1)</f>
        <v>3779957</v>
      </c>
    </row>
    <row r="2801" spans="1:13" s="1" customFormat="1" ht="15" customHeight="1" x14ac:dyDescent="0.25">
      <c r="A2801" s="28" t="s">
        <v>3029</v>
      </c>
      <c r="B2801" s="28" t="s">
        <v>552</v>
      </c>
      <c r="C2801" s="1">
        <v>1857</v>
      </c>
      <c r="D2801" s="1" t="s">
        <v>2919</v>
      </c>
      <c r="E2801" s="1">
        <v>998</v>
      </c>
      <c r="F2801" s="28">
        <v>51</v>
      </c>
      <c r="G2801" s="1">
        <v>49</v>
      </c>
      <c r="H2801" s="1">
        <v>81</v>
      </c>
      <c r="I2801" s="1">
        <v>79</v>
      </c>
      <c r="J2801" t="str">
        <f t="shared" si="43"/>
        <v>http://www.badatelna.eu/reprodukce/?fondId=241&amp;zaznamId=1133738&amp;reproId=3885697</v>
      </c>
      <c r="K2801">
        <f>IF(LEN(TRIM(E2801))=0,"",VLOOKUP(E2801,Sheet2!$B$1:$E$19,2,FALSE))</f>
        <v>241</v>
      </c>
      <c r="L2801">
        <f>IF(LEN(TRIM(E2801))=0,"",VLOOKUP(E2801,Sheet2!$B$1:$E$19,3,FALSE))</f>
        <v>1133738</v>
      </c>
      <c r="M2801">
        <f>IF(LEN(TRIM(E2801))=0,"",VLOOKUP(E2801,Sheet2!$B$1:$E$19,4,FALSE))+(F2801-1)</f>
        <v>3885697</v>
      </c>
    </row>
    <row r="2802" spans="1:13" s="1" customFormat="1" ht="15" customHeight="1" x14ac:dyDescent="0.25">
      <c r="A2802" s="28" t="s">
        <v>3029</v>
      </c>
      <c r="B2802" s="28" t="s">
        <v>3030</v>
      </c>
      <c r="C2802" s="1">
        <v>1855</v>
      </c>
      <c r="D2802" s="1" t="s">
        <v>2919</v>
      </c>
      <c r="E2802" s="1">
        <v>998</v>
      </c>
      <c r="F2802" s="28">
        <v>48</v>
      </c>
      <c r="G2802" s="1">
        <v>46</v>
      </c>
      <c r="H2802" s="1">
        <v>81</v>
      </c>
      <c r="I2802" s="1">
        <v>79</v>
      </c>
      <c r="J2802" t="str">
        <f t="shared" si="43"/>
        <v>http://www.badatelna.eu/reprodukce/?fondId=241&amp;zaznamId=1133738&amp;reproId=3885694</v>
      </c>
      <c r="K2802">
        <f>IF(LEN(TRIM(E2802))=0,"",VLOOKUP(E2802,Sheet2!$B$1:$E$19,2,FALSE))</f>
        <v>241</v>
      </c>
      <c r="L2802">
        <f>IF(LEN(TRIM(E2802))=0,"",VLOOKUP(E2802,Sheet2!$B$1:$E$19,3,FALSE))</f>
        <v>1133738</v>
      </c>
      <c r="M2802">
        <f>IF(LEN(TRIM(E2802))=0,"",VLOOKUP(E2802,Sheet2!$B$1:$E$19,4,FALSE))+(F2802-1)</f>
        <v>3885694</v>
      </c>
    </row>
    <row r="2803" spans="1:13" s="1" customFormat="1" ht="15" customHeight="1" x14ac:dyDescent="0.25">
      <c r="A2803" s="28" t="s">
        <v>3034</v>
      </c>
      <c r="B2803" s="28" t="s">
        <v>631</v>
      </c>
      <c r="C2803" s="1">
        <v>1860</v>
      </c>
      <c r="D2803" s="1" t="s">
        <v>2919</v>
      </c>
      <c r="E2803" s="1">
        <v>998</v>
      </c>
      <c r="F2803" s="28">
        <v>58</v>
      </c>
      <c r="G2803" s="1">
        <v>55</v>
      </c>
      <c r="H2803" s="1">
        <v>81</v>
      </c>
      <c r="I2803" s="1">
        <v>79</v>
      </c>
      <c r="J2803" t="str">
        <f t="shared" si="43"/>
        <v>http://www.badatelna.eu/reprodukce/?fondId=241&amp;zaznamId=1133738&amp;reproId=3885704</v>
      </c>
      <c r="K2803">
        <f>IF(LEN(TRIM(E2803))=0,"",VLOOKUP(E2803,Sheet2!$B$1:$E$19,2,FALSE))</f>
        <v>241</v>
      </c>
      <c r="L2803">
        <f>IF(LEN(TRIM(E2803))=0,"",VLOOKUP(E2803,Sheet2!$B$1:$E$19,3,FALSE))</f>
        <v>1133738</v>
      </c>
      <c r="M2803">
        <f>IF(LEN(TRIM(E2803))=0,"",VLOOKUP(E2803,Sheet2!$B$1:$E$19,4,FALSE))+(F2803-1)</f>
        <v>3885704</v>
      </c>
    </row>
    <row r="2804" spans="1:13" s="1" customFormat="1" ht="15" customHeight="1" x14ac:dyDescent="0.25">
      <c r="A2804" s="28" t="s">
        <v>446</v>
      </c>
      <c r="B2804" s="28" t="s">
        <v>465</v>
      </c>
      <c r="C2804" s="1">
        <v>1858</v>
      </c>
      <c r="D2804" s="1" t="s">
        <v>2919</v>
      </c>
      <c r="E2804" s="1">
        <v>998</v>
      </c>
      <c r="F2804" s="28">
        <v>53</v>
      </c>
      <c r="G2804" s="1">
        <v>51</v>
      </c>
      <c r="H2804" s="1">
        <v>81</v>
      </c>
      <c r="I2804" s="1">
        <v>79</v>
      </c>
      <c r="J2804" t="str">
        <f t="shared" si="43"/>
        <v>http://www.badatelna.eu/reprodukce/?fondId=241&amp;zaznamId=1133738&amp;reproId=3885699</v>
      </c>
      <c r="K2804">
        <f>IF(LEN(TRIM(E2804))=0,"",VLOOKUP(E2804,Sheet2!$B$1:$E$19,2,FALSE))</f>
        <v>241</v>
      </c>
      <c r="L2804">
        <f>IF(LEN(TRIM(E2804))=0,"",VLOOKUP(E2804,Sheet2!$B$1:$E$19,3,FALSE))</f>
        <v>1133738</v>
      </c>
      <c r="M2804">
        <f>IF(LEN(TRIM(E2804))=0,"",VLOOKUP(E2804,Sheet2!$B$1:$E$19,4,FALSE))+(F2804-1)</f>
        <v>3885699</v>
      </c>
    </row>
    <row r="2805" spans="1:13" s="1" customFormat="1" ht="15" customHeight="1" x14ac:dyDescent="0.25">
      <c r="A2805" s="28" t="s">
        <v>446</v>
      </c>
      <c r="B2805" s="28" t="s">
        <v>40</v>
      </c>
      <c r="C2805" s="1">
        <v>1855</v>
      </c>
      <c r="D2805" s="1" t="s">
        <v>2919</v>
      </c>
      <c r="E2805" s="1">
        <v>998</v>
      </c>
      <c r="F2805" s="28">
        <v>44</v>
      </c>
      <c r="G2805" s="1">
        <v>42</v>
      </c>
      <c r="H2805" s="1">
        <v>81</v>
      </c>
      <c r="I2805" s="1">
        <v>79</v>
      </c>
      <c r="J2805" t="str">
        <f t="shared" si="43"/>
        <v>http://www.badatelna.eu/reprodukce/?fondId=241&amp;zaznamId=1133738&amp;reproId=3885690</v>
      </c>
      <c r="K2805">
        <f>IF(LEN(TRIM(E2805))=0,"",VLOOKUP(E2805,Sheet2!$B$1:$E$19,2,FALSE))</f>
        <v>241</v>
      </c>
      <c r="L2805">
        <f>IF(LEN(TRIM(E2805))=0,"",VLOOKUP(E2805,Sheet2!$B$1:$E$19,3,FALSE))</f>
        <v>1133738</v>
      </c>
      <c r="M2805">
        <f>IF(LEN(TRIM(E2805))=0,"",VLOOKUP(E2805,Sheet2!$B$1:$E$19,4,FALSE))+(F2805-1)</f>
        <v>3885690</v>
      </c>
    </row>
    <row r="2806" spans="1:13" s="1" customFormat="1" ht="15" customHeight="1" x14ac:dyDescent="0.25">
      <c r="A2806" s="28" t="s">
        <v>446</v>
      </c>
      <c r="B2806" s="28" t="s">
        <v>40</v>
      </c>
      <c r="C2806" s="6" t="s">
        <v>2733</v>
      </c>
      <c r="D2806" s="1" t="s">
        <v>454</v>
      </c>
      <c r="E2806" s="1">
        <v>2173</v>
      </c>
      <c r="F2806" s="28">
        <v>226</v>
      </c>
      <c r="G2806" s="9">
        <v>58</v>
      </c>
      <c r="H2806" s="1" t="s">
        <v>3073</v>
      </c>
      <c r="I2806" s="1" t="s">
        <v>3073</v>
      </c>
      <c r="J2806" t="str">
        <f t="shared" si="43"/>
        <v>http://www.badatelna.eu/reprodukce/?fondId=1073&amp;zaznamId=1108959&amp;reproId=3780219</v>
      </c>
      <c r="K2806">
        <f>IF(LEN(TRIM(E2806))=0,"",VLOOKUP(E2806,Sheet2!$B$1:$E$19,2,FALSE))</f>
        <v>1073</v>
      </c>
      <c r="L2806">
        <f>IF(LEN(TRIM(E2806))=0,"",VLOOKUP(E2806,Sheet2!$B$1:$E$19,3,FALSE))</f>
        <v>1108959</v>
      </c>
      <c r="M2806">
        <f>IF(LEN(TRIM(E2806))=0,"",VLOOKUP(E2806,Sheet2!$B$1:$E$19,4,FALSE))+(F2806-1)</f>
        <v>3780219</v>
      </c>
    </row>
    <row r="2807" spans="1:13" s="1" customFormat="1" ht="15" customHeight="1" x14ac:dyDescent="0.25">
      <c r="A2807" s="28" t="s">
        <v>446</v>
      </c>
      <c r="B2807" s="28" t="s">
        <v>84</v>
      </c>
      <c r="C2807" s="6" t="s">
        <v>1845</v>
      </c>
      <c r="D2807" s="1" t="s">
        <v>454</v>
      </c>
      <c r="E2807" s="1">
        <v>2172</v>
      </c>
      <c r="F2807" s="28">
        <v>178</v>
      </c>
      <c r="G2807" s="9">
        <v>171</v>
      </c>
      <c r="H2807" s="1" t="s">
        <v>3073</v>
      </c>
      <c r="I2807" s="1" t="s">
        <v>3073</v>
      </c>
      <c r="J2807" t="str">
        <f t="shared" si="43"/>
        <v>http://www.badatelna.eu/reprodukce/?fondId=1073&amp;zaznamId=1108958&amp;reproId=3779919</v>
      </c>
      <c r="K2807">
        <f>IF(LEN(TRIM(E2807))=0,"",VLOOKUP(E2807,Sheet2!$B$1:$E$19,2,FALSE))</f>
        <v>1073</v>
      </c>
      <c r="L2807">
        <f>IF(LEN(TRIM(E2807))=0,"",VLOOKUP(E2807,Sheet2!$B$1:$E$19,3,FALSE))</f>
        <v>1108958</v>
      </c>
      <c r="M2807">
        <f>IF(LEN(TRIM(E2807))=0,"",VLOOKUP(E2807,Sheet2!$B$1:$E$19,4,FALSE))+(F2807-1)</f>
        <v>3779919</v>
      </c>
    </row>
    <row r="2808" spans="1:13" s="1" customFormat="1" ht="15" customHeight="1" x14ac:dyDescent="0.25">
      <c r="A2808" s="28" t="s">
        <v>446</v>
      </c>
      <c r="B2808" s="28" t="s">
        <v>511</v>
      </c>
      <c r="C2808" s="6" t="s">
        <v>1584</v>
      </c>
      <c r="D2808" s="1" t="s">
        <v>454</v>
      </c>
      <c r="E2808" s="1">
        <v>2172</v>
      </c>
      <c r="F2808" s="28">
        <v>19</v>
      </c>
      <c r="G2808" s="9" t="s">
        <v>1041</v>
      </c>
      <c r="H2808" s="1">
        <v>25</v>
      </c>
      <c r="I2808" s="1">
        <v>24</v>
      </c>
      <c r="J2808" t="str">
        <f t="shared" si="43"/>
        <v>http://www.badatelna.eu/reprodukce/?fondId=1073&amp;zaznamId=1108958&amp;reproId=3779760</v>
      </c>
      <c r="K2808">
        <f>IF(LEN(TRIM(E2808))=0,"",VLOOKUP(E2808,Sheet2!$B$1:$E$19,2,FALSE))</f>
        <v>1073</v>
      </c>
      <c r="L2808">
        <f>IF(LEN(TRIM(E2808))=0,"",VLOOKUP(E2808,Sheet2!$B$1:$E$19,3,FALSE))</f>
        <v>1108958</v>
      </c>
      <c r="M2808">
        <f>IF(LEN(TRIM(E2808))=0,"",VLOOKUP(E2808,Sheet2!$B$1:$E$19,4,FALSE))+(F2808-1)</f>
        <v>3779760</v>
      </c>
    </row>
    <row r="2809" spans="1:13" s="1" customFormat="1" ht="15" customHeight="1" x14ac:dyDescent="0.25">
      <c r="A2809" s="27" t="s">
        <v>446</v>
      </c>
      <c r="B2809" s="27" t="s">
        <v>648</v>
      </c>
      <c r="C2809" s="5" t="s">
        <v>1082</v>
      </c>
      <c r="D2809" s="3" t="s">
        <v>454</v>
      </c>
      <c r="E2809" s="3">
        <v>2170</v>
      </c>
      <c r="F2809" s="28">
        <v>43</v>
      </c>
      <c r="G2809" s="10">
        <v>39</v>
      </c>
      <c r="H2809" s="3">
        <v>73</v>
      </c>
      <c r="I2809" s="3">
        <v>69</v>
      </c>
      <c r="J2809" t="str">
        <f t="shared" si="43"/>
        <v>http://www.badatelna.eu/reprodukce/?fondId=1073&amp;zaznamId=1108956&amp;reproId=3779635</v>
      </c>
      <c r="K2809">
        <f>IF(LEN(TRIM(E2809))=0,"",VLOOKUP(E2809,Sheet2!$B$1:$E$19,2,FALSE))</f>
        <v>1073</v>
      </c>
      <c r="L2809">
        <f>IF(LEN(TRIM(E2809))=0,"",VLOOKUP(E2809,Sheet2!$B$1:$E$19,3,FALSE))</f>
        <v>1108956</v>
      </c>
      <c r="M2809">
        <f>IF(LEN(TRIM(E2809))=0,"",VLOOKUP(E2809,Sheet2!$B$1:$E$19,4,FALSE))+(F2809-1)</f>
        <v>3779635</v>
      </c>
    </row>
    <row r="2810" spans="1:13" s="1" customFormat="1" ht="15" customHeight="1" x14ac:dyDescent="0.25">
      <c r="A2810" s="27" t="s">
        <v>446</v>
      </c>
      <c r="B2810" s="27" t="s">
        <v>314</v>
      </c>
      <c r="C2810" s="5" t="s">
        <v>1465</v>
      </c>
      <c r="D2810" s="3" t="s">
        <v>454</v>
      </c>
      <c r="E2810" s="3">
        <v>2170</v>
      </c>
      <c r="F2810" s="28">
        <v>43</v>
      </c>
      <c r="G2810" s="10">
        <v>39</v>
      </c>
      <c r="H2810" s="3">
        <v>73</v>
      </c>
      <c r="I2810" s="3">
        <v>69</v>
      </c>
      <c r="J2810" t="str">
        <f t="shared" si="43"/>
        <v>http://www.badatelna.eu/reprodukce/?fondId=1073&amp;zaznamId=1108956&amp;reproId=3779635</v>
      </c>
      <c r="K2810">
        <f>IF(LEN(TRIM(E2810))=0,"",VLOOKUP(E2810,Sheet2!$B$1:$E$19,2,FALSE))</f>
        <v>1073</v>
      </c>
      <c r="L2810">
        <f>IF(LEN(TRIM(E2810))=0,"",VLOOKUP(E2810,Sheet2!$B$1:$E$19,3,FALSE))</f>
        <v>1108956</v>
      </c>
      <c r="M2810">
        <f>IF(LEN(TRIM(E2810))=0,"",VLOOKUP(E2810,Sheet2!$B$1:$E$19,4,FALSE))+(F2810-1)</f>
        <v>3779635</v>
      </c>
    </row>
    <row r="2811" spans="1:13" s="1" customFormat="1" ht="15" customHeight="1" x14ac:dyDescent="0.25">
      <c r="A2811" s="28" t="s">
        <v>446</v>
      </c>
      <c r="B2811" s="28" t="s">
        <v>424</v>
      </c>
      <c r="C2811" s="6" t="s">
        <v>1549</v>
      </c>
      <c r="D2811" s="1" t="s">
        <v>454</v>
      </c>
      <c r="E2811" s="1">
        <v>2172</v>
      </c>
      <c r="F2811" s="28">
        <v>17</v>
      </c>
      <c r="G2811" s="9">
        <v>16</v>
      </c>
      <c r="H2811" s="1" t="s">
        <v>3073</v>
      </c>
      <c r="I2811" s="1" t="s">
        <v>3073</v>
      </c>
      <c r="J2811" t="str">
        <f t="shared" si="43"/>
        <v>http://www.badatelna.eu/reprodukce/?fondId=1073&amp;zaznamId=1108958&amp;reproId=3779758</v>
      </c>
      <c r="K2811">
        <f>IF(LEN(TRIM(E2811))=0,"",VLOOKUP(E2811,Sheet2!$B$1:$E$19,2,FALSE))</f>
        <v>1073</v>
      </c>
      <c r="L2811">
        <f>IF(LEN(TRIM(E2811))=0,"",VLOOKUP(E2811,Sheet2!$B$1:$E$19,3,FALSE))</f>
        <v>1108958</v>
      </c>
      <c r="M2811">
        <f>IF(LEN(TRIM(E2811))=0,"",VLOOKUP(E2811,Sheet2!$B$1:$E$19,4,FALSE))+(F2811-1)</f>
        <v>3779758</v>
      </c>
    </row>
    <row r="2812" spans="1:13" s="1" customFormat="1" ht="15" customHeight="1" x14ac:dyDescent="0.25">
      <c r="A2812" s="27" t="s">
        <v>446</v>
      </c>
      <c r="B2812" s="27" t="s">
        <v>424</v>
      </c>
      <c r="C2812" s="5" t="s">
        <v>1467</v>
      </c>
      <c r="D2812" s="3" t="s">
        <v>454</v>
      </c>
      <c r="E2812" s="3">
        <v>2170</v>
      </c>
      <c r="F2812" s="31">
        <v>38</v>
      </c>
      <c r="G2812" s="10">
        <v>34</v>
      </c>
      <c r="H2812" s="3">
        <v>73</v>
      </c>
      <c r="I2812" s="3">
        <v>69</v>
      </c>
      <c r="J2812" t="str">
        <f t="shared" si="43"/>
        <v>http://www.badatelna.eu/reprodukce/?fondId=1073&amp;zaznamId=1108956&amp;reproId=3779630</v>
      </c>
      <c r="K2812">
        <f>IF(LEN(TRIM(E2812))=0,"",VLOOKUP(E2812,Sheet2!$B$1:$E$19,2,FALSE))</f>
        <v>1073</v>
      </c>
      <c r="L2812">
        <f>IF(LEN(TRIM(E2812))=0,"",VLOOKUP(E2812,Sheet2!$B$1:$E$19,3,FALSE))</f>
        <v>1108956</v>
      </c>
      <c r="M2812">
        <f>IF(LEN(TRIM(E2812))=0,"",VLOOKUP(E2812,Sheet2!$B$1:$E$19,4,FALSE))+(F2812-1)</f>
        <v>3779630</v>
      </c>
    </row>
    <row r="2813" spans="1:13" s="1" customFormat="1" ht="15" customHeight="1" x14ac:dyDescent="0.25">
      <c r="A2813" s="28" t="s">
        <v>446</v>
      </c>
      <c r="B2813" s="28" t="s">
        <v>483</v>
      </c>
      <c r="C2813" s="1">
        <v>1865</v>
      </c>
      <c r="D2813" s="1" t="s">
        <v>2919</v>
      </c>
      <c r="E2813" s="1">
        <v>999</v>
      </c>
      <c r="F2813" s="28">
        <v>88</v>
      </c>
      <c r="G2813" s="1">
        <v>9</v>
      </c>
      <c r="H2813" s="1">
        <v>111</v>
      </c>
      <c r="I2813" s="1">
        <v>171</v>
      </c>
      <c r="J2813" t="str">
        <f t="shared" si="43"/>
        <v>http://www.badatelna.eu/reprodukce/?fondId=241&amp;zaznamId=1133739&amp;reproId=3885817</v>
      </c>
      <c r="K2813">
        <f>IF(LEN(TRIM(E2813))=0,"",VLOOKUP(E2813,Sheet2!$B$1:$E$19,2,FALSE))</f>
        <v>241</v>
      </c>
      <c r="L2813">
        <f>IF(LEN(TRIM(E2813))=0,"",VLOOKUP(E2813,Sheet2!$B$1:$E$19,3,FALSE))</f>
        <v>1133739</v>
      </c>
      <c r="M2813">
        <f>IF(LEN(TRIM(E2813))=0,"",VLOOKUP(E2813,Sheet2!$B$1:$E$19,4,FALSE))+(F2813-1)</f>
        <v>3885817</v>
      </c>
    </row>
    <row r="2814" spans="1:13" s="1" customFormat="1" ht="15" customHeight="1" x14ac:dyDescent="0.25">
      <c r="A2814" s="27" t="s">
        <v>446</v>
      </c>
      <c r="B2814" s="27" t="s">
        <v>483</v>
      </c>
      <c r="C2814" s="5" t="s">
        <v>1466</v>
      </c>
      <c r="D2814" s="3" t="s">
        <v>454</v>
      </c>
      <c r="E2814" s="3">
        <v>2170</v>
      </c>
      <c r="F2814" s="28">
        <v>14</v>
      </c>
      <c r="G2814" s="10">
        <v>10</v>
      </c>
      <c r="H2814" s="3">
        <v>73</v>
      </c>
      <c r="I2814" s="3">
        <v>69</v>
      </c>
      <c r="J2814" t="str">
        <f t="shared" si="43"/>
        <v>http://www.badatelna.eu/reprodukce/?fondId=1073&amp;zaznamId=1108956&amp;reproId=3779606</v>
      </c>
      <c r="K2814">
        <f>IF(LEN(TRIM(E2814))=0,"",VLOOKUP(E2814,Sheet2!$B$1:$E$19,2,FALSE))</f>
        <v>1073</v>
      </c>
      <c r="L2814">
        <f>IF(LEN(TRIM(E2814))=0,"",VLOOKUP(E2814,Sheet2!$B$1:$E$19,3,FALSE))</f>
        <v>1108956</v>
      </c>
      <c r="M2814">
        <f>IF(LEN(TRIM(E2814))=0,"",VLOOKUP(E2814,Sheet2!$B$1:$E$19,4,FALSE))+(F2814-1)</f>
        <v>3779606</v>
      </c>
    </row>
    <row r="2815" spans="1:13" s="1" customFormat="1" ht="15" customHeight="1" x14ac:dyDescent="0.25">
      <c r="A2815" s="28" t="s">
        <v>446</v>
      </c>
      <c r="B2815" s="28" t="s">
        <v>7</v>
      </c>
      <c r="C2815" s="6" t="s">
        <v>1667</v>
      </c>
      <c r="D2815" s="1" t="s">
        <v>454</v>
      </c>
      <c r="E2815" s="1">
        <v>2172</v>
      </c>
      <c r="F2815" s="28">
        <v>102</v>
      </c>
      <c r="G2815" s="9">
        <v>101</v>
      </c>
      <c r="H2815" s="1">
        <v>104</v>
      </c>
      <c r="I2815" s="1">
        <v>103</v>
      </c>
      <c r="J2815" t="str">
        <f t="shared" si="43"/>
        <v>http://www.badatelna.eu/reprodukce/?fondId=1073&amp;zaznamId=1108958&amp;reproId=3779843</v>
      </c>
      <c r="K2815">
        <f>IF(LEN(TRIM(E2815))=0,"",VLOOKUP(E2815,Sheet2!$B$1:$E$19,2,FALSE))</f>
        <v>1073</v>
      </c>
      <c r="L2815">
        <f>IF(LEN(TRIM(E2815))=0,"",VLOOKUP(E2815,Sheet2!$B$1:$E$19,3,FALSE))</f>
        <v>1108958</v>
      </c>
      <c r="M2815">
        <f>IF(LEN(TRIM(E2815))=0,"",VLOOKUP(E2815,Sheet2!$B$1:$E$19,4,FALSE))+(F2815-1)</f>
        <v>3779843</v>
      </c>
    </row>
    <row r="2816" spans="1:13" s="1" customFormat="1" ht="15" customHeight="1" x14ac:dyDescent="0.25">
      <c r="A2816" s="28" t="s">
        <v>446</v>
      </c>
      <c r="B2816" s="28" t="s">
        <v>54</v>
      </c>
      <c r="C2816" s="1">
        <v>1863</v>
      </c>
      <c r="D2816" s="1" t="s">
        <v>2919</v>
      </c>
      <c r="E2816" s="1">
        <v>999</v>
      </c>
      <c r="F2816" s="28">
        <v>83</v>
      </c>
      <c r="G2816" s="1">
        <v>4</v>
      </c>
      <c r="H2816" s="1">
        <v>111</v>
      </c>
      <c r="I2816" s="1">
        <v>171</v>
      </c>
      <c r="J2816" t="str">
        <f t="shared" si="43"/>
        <v>http://www.badatelna.eu/reprodukce/?fondId=241&amp;zaznamId=1133739&amp;reproId=3885812</v>
      </c>
      <c r="K2816">
        <f>IF(LEN(TRIM(E2816))=0,"",VLOOKUP(E2816,Sheet2!$B$1:$E$19,2,FALSE))</f>
        <v>241</v>
      </c>
      <c r="L2816">
        <f>IF(LEN(TRIM(E2816))=0,"",VLOOKUP(E2816,Sheet2!$B$1:$E$19,3,FALSE))</f>
        <v>1133739</v>
      </c>
      <c r="M2816">
        <f>IF(LEN(TRIM(E2816))=0,"",VLOOKUP(E2816,Sheet2!$B$1:$E$19,4,FALSE))+(F2816-1)</f>
        <v>3885812</v>
      </c>
    </row>
    <row r="2817" spans="1:13" s="1" customFormat="1" ht="15" customHeight="1" x14ac:dyDescent="0.25">
      <c r="A2817" s="27" t="s">
        <v>446</v>
      </c>
      <c r="B2817" s="27" t="s">
        <v>13</v>
      </c>
      <c r="C2817" s="5" t="s">
        <v>1464</v>
      </c>
      <c r="D2817" s="3" t="s">
        <v>454</v>
      </c>
      <c r="E2817" s="3">
        <v>2170</v>
      </c>
      <c r="F2817" s="28">
        <v>7</v>
      </c>
      <c r="G2817" s="10">
        <v>3</v>
      </c>
      <c r="H2817" s="3">
        <v>73</v>
      </c>
      <c r="I2817" s="3">
        <v>69</v>
      </c>
      <c r="J2817" t="str">
        <f t="shared" si="43"/>
        <v>http://www.badatelna.eu/reprodukce/?fondId=1073&amp;zaznamId=1108956&amp;reproId=3779599</v>
      </c>
      <c r="K2817">
        <f>IF(LEN(TRIM(E2817))=0,"",VLOOKUP(E2817,Sheet2!$B$1:$E$19,2,FALSE))</f>
        <v>1073</v>
      </c>
      <c r="L2817">
        <f>IF(LEN(TRIM(E2817))=0,"",VLOOKUP(E2817,Sheet2!$B$1:$E$19,3,FALSE))</f>
        <v>1108956</v>
      </c>
      <c r="M2817">
        <f>IF(LEN(TRIM(E2817))=0,"",VLOOKUP(E2817,Sheet2!$B$1:$E$19,4,FALSE))+(F2817-1)</f>
        <v>3779599</v>
      </c>
    </row>
    <row r="2818" spans="1:13" s="1" customFormat="1" ht="15" customHeight="1" x14ac:dyDescent="0.25">
      <c r="A2818" s="28" t="s">
        <v>738</v>
      </c>
      <c r="B2818" s="28" t="s">
        <v>667</v>
      </c>
      <c r="C2818" s="15">
        <v>11084</v>
      </c>
      <c r="D2818" s="1" t="s">
        <v>454</v>
      </c>
      <c r="E2818" s="1">
        <v>2172</v>
      </c>
      <c r="F2818" s="28">
        <v>221</v>
      </c>
      <c r="G2818" s="9">
        <v>203</v>
      </c>
      <c r="H2818" s="1" t="s">
        <v>3073</v>
      </c>
      <c r="I2818" s="1" t="s">
        <v>3073</v>
      </c>
      <c r="J2818" t="str">
        <f t="shared" si="43"/>
        <v>http://www.badatelna.eu/reprodukce/?fondId=1073&amp;zaznamId=1108958&amp;reproId=3779962</v>
      </c>
      <c r="K2818">
        <f>IF(LEN(TRIM(E2818))=0,"",VLOOKUP(E2818,Sheet2!$B$1:$E$19,2,FALSE))</f>
        <v>1073</v>
      </c>
      <c r="L2818">
        <f>IF(LEN(TRIM(E2818))=0,"",VLOOKUP(E2818,Sheet2!$B$1:$E$19,3,FALSE))</f>
        <v>1108958</v>
      </c>
      <c r="M2818">
        <f>IF(LEN(TRIM(E2818))=0,"",VLOOKUP(E2818,Sheet2!$B$1:$E$19,4,FALSE))+(F2818-1)</f>
        <v>3779962</v>
      </c>
    </row>
    <row r="2819" spans="1:13" ht="15" customHeight="1" x14ac:dyDescent="0.25">
      <c r="A2819" s="28" t="s">
        <v>3031</v>
      </c>
      <c r="B2819" s="28" t="s">
        <v>247</v>
      </c>
      <c r="C2819" s="1">
        <v>1856</v>
      </c>
      <c r="D2819" s="1" t="s">
        <v>2919</v>
      </c>
      <c r="E2819" s="1">
        <v>998</v>
      </c>
      <c r="F2819" s="28">
        <v>49</v>
      </c>
      <c r="G2819" s="1">
        <v>47</v>
      </c>
      <c r="H2819" s="1">
        <v>81</v>
      </c>
      <c r="I2819" s="1">
        <v>79</v>
      </c>
      <c r="J2819" t="str">
        <f t="shared" ref="J2819:J2882" si="44">IF(LEN(TRIM(E2819))=0,"","http://www.badatelna.eu/reprodukce/?fondId="&amp;K2819&amp;"&amp;zaznamId="&amp;L2819&amp;"&amp;reproId="&amp;M2819)</f>
        <v>http://www.badatelna.eu/reprodukce/?fondId=241&amp;zaznamId=1133738&amp;reproId=3885695</v>
      </c>
      <c r="K2819">
        <f>IF(LEN(TRIM(E2819))=0,"",VLOOKUP(E2819,Sheet2!$B$1:$E$19,2,FALSE))</f>
        <v>241</v>
      </c>
      <c r="L2819">
        <f>IF(LEN(TRIM(E2819))=0,"",VLOOKUP(E2819,Sheet2!$B$1:$E$19,3,FALSE))</f>
        <v>1133738</v>
      </c>
      <c r="M2819">
        <f>IF(LEN(TRIM(E2819))=0,"",VLOOKUP(E2819,Sheet2!$B$1:$E$19,4,FALSE))+(F2819-1)</f>
        <v>3885695</v>
      </c>
    </row>
    <row r="2820" spans="1:13" s="1" customFormat="1" ht="15" customHeight="1" x14ac:dyDescent="0.25">
      <c r="A2820" s="28" t="s">
        <v>381</v>
      </c>
      <c r="B2820" s="28" t="s">
        <v>382</v>
      </c>
      <c r="C2820" s="6" t="s">
        <v>2123</v>
      </c>
      <c r="D2820" s="1" t="s">
        <v>454</v>
      </c>
      <c r="E2820" s="1">
        <v>2173</v>
      </c>
      <c r="F2820" s="28">
        <v>181</v>
      </c>
      <c r="G2820" s="9">
        <v>9</v>
      </c>
      <c r="H2820" s="1">
        <v>194</v>
      </c>
      <c r="I2820" s="1">
        <v>431</v>
      </c>
      <c r="J2820" t="str">
        <f t="shared" si="44"/>
        <v>http://www.badatelna.eu/reprodukce/?fondId=1073&amp;zaznamId=1108959&amp;reproId=3780174</v>
      </c>
      <c r="K2820">
        <f>IF(LEN(TRIM(E2820))=0,"",VLOOKUP(E2820,Sheet2!$B$1:$E$19,2,FALSE))</f>
        <v>1073</v>
      </c>
      <c r="L2820">
        <f>IF(LEN(TRIM(E2820))=0,"",VLOOKUP(E2820,Sheet2!$B$1:$E$19,3,FALSE))</f>
        <v>1108959</v>
      </c>
      <c r="M2820">
        <f>IF(LEN(TRIM(E2820))=0,"",VLOOKUP(E2820,Sheet2!$B$1:$E$19,4,FALSE))+(F2820-1)</f>
        <v>3780174</v>
      </c>
    </row>
    <row r="2821" spans="1:13" s="1" customFormat="1" ht="15" customHeight="1" x14ac:dyDescent="0.25">
      <c r="A2821" s="29" t="s">
        <v>2815</v>
      </c>
      <c r="B2821" s="28" t="s">
        <v>1</v>
      </c>
      <c r="C2821" s="6" t="s">
        <v>2787</v>
      </c>
      <c r="D2821" s="1" t="s">
        <v>454</v>
      </c>
      <c r="E2821" s="1">
        <v>2173</v>
      </c>
      <c r="F2821" s="28">
        <v>203</v>
      </c>
      <c r="G2821" s="9">
        <v>15</v>
      </c>
      <c r="H2821" s="1" t="s">
        <v>3073</v>
      </c>
      <c r="I2821" s="1" t="s">
        <v>3073</v>
      </c>
      <c r="J2821" t="str">
        <f t="shared" si="44"/>
        <v>http://www.badatelna.eu/reprodukce/?fondId=1073&amp;zaznamId=1108959&amp;reproId=3780196</v>
      </c>
      <c r="K2821">
        <f>IF(LEN(TRIM(E2821))=0,"",VLOOKUP(E2821,Sheet2!$B$1:$E$19,2,FALSE))</f>
        <v>1073</v>
      </c>
      <c r="L2821">
        <f>IF(LEN(TRIM(E2821))=0,"",VLOOKUP(E2821,Sheet2!$B$1:$E$19,3,FALSE))</f>
        <v>1108959</v>
      </c>
      <c r="M2821">
        <f>IF(LEN(TRIM(E2821))=0,"",VLOOKUP(E2821,Sheet2!$B$1:$E$19,4,FALSE))+(F2821-1)</f>
        <v>3780196</v>
      </c>
    </row>
    <row r="2822" spans="1:13" s="1" customFormat="1" ht="15" customHeight="1" x14ac:dyDescent="0.25">
      <c r="A2822" s="28" t="s">
        <v>740</v>
      </c>
      <c r="B2822" s="28" t="s">
        <v>741</v>
      </c>
      <c r="C2822" s="6" t="s">
        <v>1815</v>
      </c>
      <c r="D2822" s="1" t="s">
        <v>454</v>
      </c>
      <c r="E2822" s="1">
        <v>2172</v>
      </c>
      <c r="F2822" s="28">
        <v>166</v>
      </c>
      <c r="G2822" s="9">
        <v>159</v>
      </c>
      <c r="H2822" s="1" t="s">
        <v>3073</v>
      </c>
      <c r="I2822" s="1" t="s">
        <v>3073</v>
      </c>
      <c r="J2822" t="str">
        <f t="shared" si="44"/>
        <v>http://www.badatelna.eu/reprodukce/?fondId=1073&amp;zaznamId=1108958&amp;reproId=3779907</v>
      </c>
      <c r="K2822">
        <f>IF(LEN(TRIM(E2822))=0,"",VLOOKUP(E2822,Sheet2!$B$1:$E$19,2,FALSE))</f>
        <v>1073</v>
      </c>
      <c r="L2822">
        <f>IF(LEN(TRIM(E2822))=0,"",VLOOKUP(E2822,Sheet2!$B$1:$E$19,3,FALSE))</f>
        <v>1108958</v>
      </c>
      <c r="M2822">
        <f>IF(LEN(TRIM(E2822))=0,"",VLOOKUP(E2822,Sheet2!$B$1:$E$19,4,FALSE))+(F2822-1)</f>
        <v>3779907</v>
      </c>
    </row>
    <row r="2823" spans="1:13" s="1" customFormat="1" ht="15.95" customHeight="1" x14ac:dyDescent="0.25">
      <c r="A2823" s="28" t="s">
        <v>3026</v>
      </c>
      <c r="B2823" s="28" t="s">
        <v>471</v>
      </c>
      <c r="C2823" s="1">
        <v>1853</v>
      </c>
      <c r="D2823" s="1" t="s">
        <v>2919</v>
      </c>
      <c r="E2823" s="1">
        <v>998</v>
      </c>
      <c r="F2823" s="28">
        <v>38</v>
      </c>
      <c r="G2823" s="1">
        <v>36</v>
      </c>
      <c r="H2823" s="1">
        <v>81</v>
      </c>
      <c r="I2823" s="1">
        <v>79</v>
      </c>
      <c r="J2823" t="str">
        <f t="shared" si="44"/>
        <v>http://www.badatelna.eu/reprodukce/?fondId=241&amp;zaznamId=1133738&amp;reproId=3885684</v>
      </c>
      <c r="K2823">
        <f>IF(LEN(TRIM(E2823))=0,"",VLOOKUP(E2823,Sheet2!$B$1:$E$19,2,FALSE))</f>
        <v>241</v>
      </c>
      <c r="L2823">
        <f>IF(LEN(TRIM(E2823))=0,"",VLOOKUP(E2823,Sheet2!$B$1:$E$19,3,FALSE))</f>
        <v>1133738</v>
      </c>
      <c r="M2823">
        <f>IF(LEN(TRIM(E2823))=0,"",VLOOKUP(E2823,Sheet2!$B$1:$E$19,4,FALSE))+(F2823-1)</f>
        <v>3885684</v>
      </c>
    </row>
    <row r="2824" spans="1:13" s="1" customFormat="1" ht="15" customHeight="1" x14ac:dyDescent="0.25">
      <c r="A2824" s="28" t="s">
        <v>3021</v>
      </c>
      <c r="B2824" s="28" t="s">
        <v>306</v>
      </c>
      <c r="C2824" s="1">
        <v>1850</v>
      </c>
      <c r="D2824" s="1" t="s">
        <v>2919</v>
      </c>
      <c r="E2824" s="1">
        <v>998</v>
      </c>
      <c r="F2824" s="28">
        <v>29</v>
      </c>
      <c r="G2824" s="1">
        <v>27</v>
      </c>
      <c r="H2824" s="1">
        <v>81</v>
      </c>
      <c r="I2824" s="1">
        <v>79</v>
      </c>
      <c r="J2824" t="str">
        <f t="shared" si="44"/>
        <v>http://www.badatelna.eu/reprodukce/?fondId=241&amp;zaznamId=1133738&amp;reproId=3885675</v>
      </c>
      <c r="K2824">
        <f>IF(LEN(TRIM(E2824))=0,"",VLOOKUP(E2824,Sheet2!$B$1:$E$19,2,FALSE))</f>
        <v>241</v>
      </c>
      <c r="L2824">
        <f>IF(LEN(TRIM(E2824))=0,"",VLOOKUP(E2824,Sheet2!$B$1:$E$19,3,FALSE))</f>
        <v>1133738</v>
      </c>
      <c r="M2824">
        <f>IF(LEN(TRIM(E2824))=0,"",VLOOKUP(E2824,Sheet2!$B$1:$E$19,4,FALSE))+(F2824-1)</f>
        <v>3885675</v>
      </c>
    </row>
    <row r="2825" spans="1:13" s="1" customFormat="1" ht="15" customHeight="1" x14ac:dyDescent="0.25">
      <c r="A2825" s="28" t="s">
        <v>431</v>
      </c>
      <c r="B2825" s="28" t="s">
        <v>290</v>
      </c>
      <c r="C2825" s="15">
        <v>3385</v>
      </c>
      <c r="D2825" s="1" t="s">
        <v>454</v>
      </c>
      <c r="E2825" s="1">
        <v>2172</v>
      </c>
      <c r="F2825" s="28">
        <v>174</v>
      </c>
      <c r="G2825" s="9">
        <v>167</v>
      </c>
      <c r="H2825" s="1" t="s">
        <v>3073</v>
      </c>
      <c r="I2825" s="1" t="s">
        <v>3073</v>
      </c>
      <c r="J2825" t="str">
        <f t="shared" si="44"/>
        <v>http://www.badatelna.eu/reprodukce/?fondId=1073&amp;zaznamId=1108958&amp;reproId=3779915</v>
      </c>
      <c r="K2825">
        <f>IF(LEN(TRIM(E2825))=0,"",VLOOKUP(E2825,Sheet2!$B$1:$E$19,2,FALSE))</f>
        <v>1073</v>
      </c>
      <c r="L2825">
        <f>IF(LEN(TRIM(E2825))=0,"",VLOOKUP(E2825,Sheet2!$B$1:$E$19,3,FALSE))</f>
        <v>1108958</v>
      </c>
      <c r="M2825">
        <f>IF(LEN(TRIM(E2825))=0,"",VLOOKUP(E2825,Sheet2!$B$1:$E$19,4,FALSE))+(F2825-1)</f>
        <v>3779915</v>
      </c>
    </row>
    <row r="2826" spans="1:13" s="1" customFormat="1" ht="15" customHeight="1" x14ac:dyDescent="0.25">
      <c r="A2826" s="27" t="s">
        <v>431</v>
      </c>
      <c r="B2826" s="27" t="s">
        <v>1035</v>
      </c>
      <c r="C2826" s="5" t="s">
        <v>1468</v>
      </c>
      <c r="D2826" s="3" t="s">
        <v>454</v>
      </c>
      <c r="E2826" s="3">
        <v>2170</v>
      </c>
      <c r="F2826" s="28">
        <v>33</v>
      </c>
      <c r="G2826" s="10">
        <v>29</v>
      </c>
      <c r="H2826" s="3">
        <v>73</v>
      </c>
      <c r="I2826" s="3">
        <v>69</v>
      </c>
      <c r="J2826" t="str">
        <f t="shared" si="44"/>
        <v>http://www.badatelna.eu/reprodukce/?fondId=1073&amp;zaznamId=1108956&amp;reproId=3779625</v>
      </c>
      <c r="K2826">
        <f>IF(LEN(TRIM(E2826))=0,"",VLOOKUP(E2826,Sheet2!$B$1:$E$19,2,FALSE))</f>
        <v>1073</v>
      </c>
      <c r="L2826">
        <f>IF(LEN(TRIM(E2826))=0,"",VLOOKUP(E2826,Sheet2!$B$1:$E$19,3,FALSE))</f>
        <v>1108956</v>
      </c>
      <c r="M2826">
        <f>IF(LEN(TRIM(E2826))=0,"",VLOOKUP(E2826,Sheet2!$B$1:$E$19,4,FALSE))+(F2826-1)</f>
        <v>3779625</v>
      </c>
    </row>
    <row r="2827" spans="1:13" s="1" customFormat="1" ht="15" customHeight="1" x14ac:dyDescent="0.25">
      <c r="A2827" s="28" t="s">
        <v>431</v>
      </c>
      <c r="B2827" s="28" t="s">
        <v>496</v>
      </c>
      <c r="C2827" s="1">
        <v>1891</v>
      </c>
      <c r="D2827" s="1" t="s">
        <v>454</v>
      </c>
      <c r="E2827" s="1">
        <v>2172</v>
      </c>
      <c r="F2827" s="28">
        <v>81</v>
      </c>
      <c r="G2827" s="9">
        <v>80</v>
      </c>
      <c r="H2827" s="1">
        <v>84</v>
      </c>
      <c r="I2827" s="1">
        <v>83</v>
      </c>
      <c r="J2827" t="str">
        <f t="shared" si="44"/>
        <v>http://www.badatelna.eu/reprodukce/?fondId=1073&amp;zaznamId=1108958&amp;reproId=3779822</v>
      </c>
      <c r="K2827">
        <f>IF(LEN(TRIM(E2827))=0,"",VLOOKUP(E2827,Sheet2!$B$1:$E$19,2,FALSE))</f>
        <v>1073</v>
      </c>
      <c r="L2827">
        <f>IF(LEN(TRIM(E2827))=0,"",VLOOKUP(E2827,Sheet2!$B$1:$E$19,3,FALSE))</f>
        <v>1108958</v>
      </c>
      <c r="M2827">
        <f>IF(LEN(TRIM(E2827))=0,"",VLOOKUP(E2827,Sheet2!$B$1:$E$19,4,FALSE))+(F2827-1)</f>
        <v>3779822</v>
      </c>
    </row>
    <row r="2828" spans="1:13" s="1" customFormat="1" ht="15" customHeight="1" x14ac:dyDescent="0.25">
      <c r="A2828" s="28" t="s">
        <v>431</v>
      </c>
      <c r="B2828" s="28" t="s">
        <v>240</v>
      </c>
      <c r="C2828" s="1">
        <v>1849</v>
      </c>
      <c r="D2828" s="1" t="s">
        <v>2919</v>
      </c>
      <c r="E2828" s="1">
        <v>998</v>
      </c>
      <c r="F2828" s="28">
        <v>24</v>
      </c>
      <c r="G2828" s="1">
        <v>22</v>
      </c>
      <c r="H2828" s="1">
        <v>81</v>
      </c>
      <c r="I2828" s="1">
        <v>79</v>
      </c>
      <c r="J2828" t="str">
        <f t="shared" si="44"/>
        <v>http://www.badatelna.eu/reprodukce/?fondId=241&amp;zaznamId=1133738&amp;reproId=3885670</v>
      </c>
      <c r="K2828">
        <f>IF(LEN(TRIM(E2828))=0,"",VLOOKUP(E2828,Sheet2!$B$1:$E$19,2,FALSE))</f>
        <v>241</v>
      </c>
      <c r="L2828">
        <f>IF(LEN(TRIM(E2828))=0,"",VLOOKUP(E2828,Sheet2!$B$1:$E$19,3,FALSE))</f>
        <v>1133738</v>
      </c>
      <c r="M2828">
        <f>IF(LEN(TRIM(E2828))=0,"",VLOOKUP(E2828,Sheet2!$B$1:$E$19,4,FALSE))+(F2828-1)</f>
        <v>3885670</v>
      </c>
    </row>
    <row r="2829" spans="1:13" s="1" customFormat="1" ht="15" customHeight="1" x14ac:dyDescent="0.25">
      <c r="A2829" s="28" t="s">
        <v>431</v>
      </c>
      <c r="B2829" s="28" t="s">
        <v>19</v>
      </c>
      <c r="C2829" s="6" t="s">
        <v>2360</v>
      </c>
      <c r="D2829" s="1" t="s">
        <v>454</v>
      </c>
      <c r="E2829" s="1">
        <v>2173</v>
      </c>
      <c r="F2829" s="28">
        <v>200</v>
      </c>
      <c r="G2829" s="9">
        <v>10</v>
      </c>
      <c r="H2829" s="1" t="s">
        <v>3073</v>
      </c>
      <c r="I2829" s="1" t="s">
        <v>3073</v>
      </c>
      <c r="J2829" t="str">
        <f t="shared" si="44"/>
        <v>http://www.badatelna.eu/reprodukce/?fondId=1073&amp;zaznamId=1108959&amp;reproId=3780193</v>
      </c>
      <c r="K2829">
        <f>IF(LEN(TRIM(E2829))=0,"",VLOOKUP(E2829,Sheet2!$B$1:$E$19,2,FALSE))</f>
        <v>1073</v>
      </c>
      <c r="L2829">
        <f>IF(LEN(TRIM(E2829))=0,"",VLOOKUP(E2829,Sheet2!$B$1:$E$19,3,FALSE))</f>
        <v>1108959</v>
      </c>
      <c r="M2829">
        <f>IF(LEN(TRIM(E2829))=0,"",VLOOKUP(E2829,Sheet2!$B$1:$E$19,4,FALSE))+(F2829-1)</f>
        <v>3780193</v>
      </c>
    </row>
    <row r="2830" spans="1:13" s="1" customFormat="1" ht="15" customHeight="1" x14ac:dyDescent="0.25">
      <c r="A2830" s="28" t="s">
        <v>431</v>
      </c>
      <c r="B2830" s="28" t="s">
        <v>25</v>
      </c>
      <c r="C2830" s="6" t="s">
        <v>1924</v>
      </c>
      <c r="D2830" s="1" t="s">
        <v>454</v>
      </c>
      <c r="E2830" s="1">
        <v>2172</v>
      </c>
      <c r="F2830" s="28">
        <v>213</v>
      </c>
      <c r="G2830" s="9">
        <v>197</v>
      </c>
      <c r="H2830" s="1" t="s">
        <v>3073</v>
      </c>
      <c r="I2830" s="1" t="s">
        <v>3073</v>
      </c>
      <c r="J2830" t="str">
        <f t="shared" si="44"/>
        <v>http://www.badatelna.eu/reprodukce/?fondId=1073&amp;zaznamId=1108958&amp;reproId=3779954</v>
      </c>
      <c r="K2830">
        <f>IF(LEN(TRIM(E2830))=0,"",VLOOKUP(E2830,Sheet2!$B$1:$E$19,2,FALSE))</f>
        <v>1073</v>
      </c>
      <c r="L2830">
        <f>IF(LEN(TRIM(E2830))=0,"",VLOOKUP(E2830,Sheet2!$B$1:$E$19,3,FALSE))</f>
        <v>1108958</v>
      </c>
      <c r="M2830">
        <f>IF(LEN(TRIM(E2830))=0,"",VLOOKUP(E2830,Sheet2!$B$1:$E$19,4,FALSE))+(F2830-1)</f>
        <v>3779954</v>
      </c>
    </row>
    <row r="2831" spans="1:13" s="1" customFormat="1" ht="15" customHeight="1" x14ac:dyDescent="0.25">
      <c r="A2831" s="28" t="s">
        <v>431</v>
      </c>
      <c r="B2831" s="28" t="s">
        <v>25</v>
      </c>
      <c r="C2831" s="6" t="s">
        <v>1620</v>
      </c>
      <c r="D2831" s="1" t="s">
        <v>454</v>
      </c>
      <c r="E2831" s="1">
        <v>2172</v>
      </c>
      <c r="F2831" s="28">
        <v>73</v>
      </c>
      <c r="G2831" s="9">
        <v>72</v>
      </c>
      <c r="H2831" s="1">
        <v>77</v>
      </c>
      <c r="I2831" s="1">
        <v>76</v>
      </c>
      <c r="J2831" t="str">
        <f t="shared" si="44"/>
        <v>http://www.badatelna.eu/reprodukce/?fondId=1073&amp;zaznamId=1108958&amp;reproId=3779814</v>
      </c>
      <c r="K2831">
        <f>IF(LEN(TRIM(E2831))=0,"",VLOOKUP(E2831,Sheet2!$B$1:$E$19,2,FALSE))</f>
        <v>1073</v>
      </c>
      <c r="L2831">
        <f>IF(LEN(TRIM(E2831))=0,"",VLOOKUP(E2831,Sheet2!$B$1:$E$19,3,FALSE))</f>
        <v>1108958</v>
      </c>
      <c r="M2831">
        <f>IF(LEN(TRIM(E2831))=0,"",VLOOKUP(E2831,Sheet2!$B$1:$E$19,4,FALSE))+(F2831-1)</f>
        <v>3779814</v>
      </c>
    </row>
    <row r="2832" spans="1:13" ht="15" customHeight="1" x14ac:dyDescent="0.25">
      <c r="A2832" s="28" t="s">
        <v>431</v>
      </c>
      <c r="B2832" s="28" t="s">
        <v>590</v>
      </c>
      <c r="C2832" s="1">
        <v>1855</v>
      </c>
      <c r="D2832" s="1" t="s">
        <v>2919</v>
      </c>
      <c r="E2832" s="1">
        <v>998</v>
      </c>
      <c r="F2832" s="28">
        <v>44</v>
      </c>
      <c r="G2832" s="1">
        <v>42</v>
      </c>
      <c r="H2832" s="1">
        <v>81</v>
      </c>
      <c r="I2832" s="1">
        <v>79</v>
      </c>
      <c r="J2832" t="str">
        <f t="shared" si="44"/>
        <v>http://www.badatelna.eu/reprodukce/?fondId=241&amp;zaznamId=1133738&amp;reproId=3885690</v>
      </c>
      <c r="K2832">
        <f>IF(LEN(TRIM(E2832))=0,"",VLOOKUP(E2832,Sheet2!$B$1:$E$19,2,FALSE))</f>
        <v>241</v>
      </c>
      <c r="L2832">
        <f>IF(LEN(TRIM(E2832))=0,"",VLOOKUP(E2832,Sheet2!$B$1:$E$19,3,FALSE))</f>
        <v>1133738</v>
      </c>
      <c r="M2832">
        <f>IF(LEN(TRIM(E2832))=0,"",VLOOKUP(E2832,Sheet2!$B$1:$E$19,4,FALSE))+(F2832-1)</f>
        <v>3885690</v>
      </c>
    </row>
    <row r="2833" spans="1:13" s="1" customFormat="1" ht="15" customHeight="1" x14ac:dyDescent="0.25">
      <c r="A2833" s="28" t="s">
        <v>431</v>
      </c>
      <c r="B2833" s="28" t="s">
        <v>747</v>
      </c>
      <c r="C2833" s="6" t="s">
        <v>1800</v>
      </c>
      <c r="D2833" s="1" t="s">
        <v>454</v>
      </c>
      <c r="E2833" s="1">
        <v>2172</v>
      </c>
      <c r="F2833" s="28">
        <v>158</v>
      </c>
      <c r="G2833" s="9">
        <v>152</v>
      </c>
      <c r="H2833" s="1">
        <v>161</v>
      </c>
      <c r="I2833" s="1">
        <v>155</v>
      </c>
      <c r="J2833" t="str">
        <f t="shared" si="44"/>
        <v>http://www.badatelna.eu/reprodukce/?fondId=1073&amp;zaznamId=1108958&amp;reproId=3779899</v>
      </c>
      <c r="K2833">
        <f>IF(LEN(TRIM(E2833))=0,"",VLOOKUP(E2833,Sheet2!$B$1:$E$19,2,FALSE))</f>
        <v>1073</v>
      </c>
      <c r="L2833">
        <f>IF(LEN(TRIM(E2833))=0,"",VLOOKUP(E2833,Sheet2!$B$1:$E$19,3,FALSE))</f>
        <v>1108958</v>
      </c>
      <c r="M2833">
        <f>IF(LEN(TRIM(E2833))=0,"",VLOOKUP(E2833,Sheet2!$B$1:$E$19,4,FALSE))+(F2833-1)</f>
        <v>3779899</v>
      </c>
    </row>
    <row r="2834" spans="1:13" s="1" customFormat="1" ht="15" customHeight="1" x14ac:dyDescent="0.25">
      <c r="A2834" s="28" t="s">
        <v>431</v>
      </c>
      <c r="B2834" s="28" t="s">
        <v>74</v>
      </c>
      <c r="C2834" s="1">
        <v>1866</v>
      </c>
      <c r="D2834" s="1" t="s">
        <v>2919</v>
      </c>
      <c r="E2834" s="1">
        <v>999</v>
      </c>
      <c r="F2834" s="28">
        <v>93</v>
      </c>
      <c r="G2834" s="1">
        <v>14</v>
      </c>
      <c r="H2834" s="1">
        <v>111</v>
      </c>
      <c r="I2834" s="1">
        <v>171</v>
      </c>
      <c r="J2834" t="str">
        <f t="shared" si="44"/>
        <v>http://www.badatelna.eu/reprodukce/?fondId=241&amp;zaznamId=1133739&amp;reproId=3885822</v>
      </c>
      <c r="K2834">
        <f>IF(LEN(TRIM(E2834))=0,"",VLOOKUP(E2834,Sheet2!$B$1:$E$19,2,FALSE))</f>
        <v>241</v>
      </c>
      <c r="L2834">
        <f>IF(LEN(TRIM(E2834))=0,"",VLOOKUP(E2834,Sheet2!$B$1:$E$19,3,FALSE))</f>
        <v>1133739</v>
      </c>
      <c r="M2834">
        <f>IF(LEN(TRIM(E2834))=0,"",VLOOKUP(E2834,Sheet2!$B$1:$E$19,4,FALSE))+(F2834-1)</f>
        <v>3885822</v>
      </c>
    </row>
    <row r="2835" spans="1:13" s="1" customFormat="1" ht="15" customHeight="1" x14ac:dyDescent="0.25">
      <c r="A2835" s="27" t="s">
        <v>431</v>
      </c>
      <c r="B2835" s="27" t="s">
        <v>649</v>
      </c>
      <c r="C2835" s="5" t="s">
        <v>1470</v>
      </c>
      <c r="D2835" s="3" t="s">
        <v>454</v>
      </c>
      <c r="E2835" s="3">
        <v>2170</v>
      </c>
      <c r="F2835" s="28">
        <v>20</v>
      </c>
      <c r="G2835" s="10">
        <v>16</v>
      </c>
      <c r="H2835" s="3">
        <v>73</v>
      </c>
      <c r="I2835" s="3">
        <v>69</v>
      </c>
      <c r="J2835" t="str">
        <f t="shared" si="44"/>
        <v>http://www.badatelna.eu/reprodukce/?fondId=1073&amp;zaznamId=1108956&amp;reproId=3779612</v>
      </c>
      <c r="K2835">
        <f>IF(LEN(TRIM(E2835))=0,"",VLOOKUP(E2835,Sheet2!$B$1:$E$19,2,FALSE))</f>
        <v>1073</v>
      </c>
      <c r="L2835">
        <f>IF(LEN(TRIM(E2835))=0,"",VLOOKUP(E2835,Sheet2!$B$1:$E$19,3,FALSE))</f>
        <v>1108956</v>
      </c>
      <c r="M2835">
        <f>IF(LEN(TRIM(E2835))=0,"",VLOOKUP(E2835,Sheet2!$B$1:$E$19,4,FALSE))+(F2835-1)</f>
        <v>3779612</v>
      </c>
    </row>
    <row r="2836" spans="1:13" s="1" customFormat="1" ht="15" customHeight="1" x14ac:dyDescent="0.25">
      <c r="A2836" s="28" t="s">
        <v>431</v>
      </c>
      <c r="B2836" s="28" t="s">
        <v>263</v>
      </c>
      <c r="C2836" s="1">
        <v>1848</v>
      </c>
      <c r="D2836" s="1" t="s">
        <v>2919</v>
      </c>
      <c r="E2836" s="1">
        <v>998</v>
      </c>
      <c r="F2836" s="28">
        <v>16</v>
      </c>
      <c r="G2836" s="1">
        <v>14</v>
      </c>
      <c r="H2836" s="1">
        <v>81</v>
      </c>
      <c r="I2836" s="1">
        <v>79</v>
      </c>
      <c r="J2836" t="str">
        <f t="shared" si="44"/>
        <v>http://www.badatelna.eu/reprodukce/?fondId=241&amp;zaznamId=1133738&amp;reproId=3885662</v>
      </c>
      <c r="K2836">
        <f>IF(LEN(TRIM(E2836))=0,"",VLOOKUP(E2836,Sheet2!$B$1:$E$19,2,FALSE))</f>
        <v>241</v>
      </c>
      <c r="L2836">
        <f>IF(LEN(TRIM(E2836))=0,"",VLOOKUP(E2836,Sheet2!$B$1:$E$19,3,FALSE))</f>
        <v>1133738</v>
      </c>
      <c r="M2836">
        <f>IF(LEN(TRIM(E2836))=0,"",VLOOKUP(E2836,Sheet2!$B$1:$E$19,4,FALSE))+(F2836-1)</f>
        <v>3885662</v>
      </c>
    </row>
    <row r="2837" spans="1:13" s="1" customFormat="1" ht="15" customHeight="1" x14ac:dyDescent="0.25">
      <c r="A2837" s="28" t="s">
        <v>431</v>
      </c>
      <c r="B2837" s="28" t="s">
        <v>263</v>
      </c>
      <c r="C2837" s="1">
        <v>1862</v>
      </c>
      <c r="D2837" s="1" t="s">
        <v>2919</v>
      </c>
      <c r="E2837" s="1">
        <v>999</v>
      </c>
      <c r="F2837" s="28">
        <v>80</v>
      </c>
      <c r="G2837" s="1">
        <v>1</v>
      </c>
      <c r="H2837" s="1">
        <v>111</v>
      </c>
      <c r="I2837" s="1">
        <v>171</v>
      </c>
      <c r="J2837" t="str">
        <f t="shared" si="44"/>
        <v>http://www.badatelna.eu/reprodukce/?fondId=241&amp;zaznamId=1133739&amp;reproId=3885809</v>
      </c>
      <c r="K2837">
        <f>IF(LEN(TRIM(E2837))=0,"",VLOOKUP(E2837,Sheet2!$B$1:$E$19,2,FALSE))</f>
        <v>241</v>
      </c>
      <c r="L2837">
        <f>IF(LEN(TRIM(E2837))=0,"",VLOOKUP(E2837,Sheet2!$B$1:$E$19,3,FALSE))</f>
        <v>1133739</v>
      </c>
      <c r="M2837">
        <f>IF(LEN(TRIM(E2837))=0,"",VLOOKUP(E2837,Sheet2!$B$1:$E$19,4,FALSE))+(F2837-1)</f>
        <v>3885809</v>
      </c>
    </row>
    <row r="2838" spans="1:13" s="1" customFormat="1" ht="15" customHeight="1" x14ac:dyDescent="0.25">
      <c r="A2838" s="28" t="s">
        <v>431</v>
      </c>
      <c r="B2838" s="28" t="s">
        <v>471</v>
      </c>
      <c r="C2838" s="1">
        <v>1854</v>
      </c>
      <c r="D2838" s="1" t="s">
        <v>2919</v>
      </c>
      <c r="E2838" s="1">
        <v>998</v>
      </c>
      <c r="F2838" s="28">
        <v>43</v>
      </c>
      <c r="G2838" s="1">
        <v>41</v>
      </c>
      <c r="H2838" s="1">
        <v>81</v>
      </c>
      <c r="I2838" s="1">
        <v>79</v>
      </c>
      <c r="J2838" t="str">
        <f t="shared" si="44"/>
        <v>http://www.badatelna.eu/reprodukce/?fondId=241&amp;zaznamId=1133738&amp;reproId=3885689</v>
      </c>
      <c r="K2838">
        <f>IF(LEN(TRIM(E2838))=0,"",VLOOKUP(E2838,Sheet2!$B$1:$E$19,2,FALSE))</f>
        <v>241</v>
      </c>
      <c r="L2838">
        <f>IF(LEN(TRIM(E2838))=0,"",VLOOKUP(E2838,Sheet2!$B$1:$E$19,3,FALSE))</f>
        <v>1133738</v>
      </c>
      <c r="M2838">
        <f>IF(LEN(TRIM(E2838))=0,"",VLOOKUP(E2838,Sheet2!$B$1:$E$19,4,FALSE))+(F2838-1)</f>
        <v>3885689</v>
      </c>
    </row>
    <row r="2839" spans="1:13" s="1" customFormat="1" ht="15" customHeight="1" x14ac:dyDescent="0.25">
      <c r="A2839" s="28" t="s">
        <v>431</v>
      </c>
      <c r="B2839" s="28" t="s">
        <v>359</v>
      </c>
      <c r="C2839" s="6" t="s">
        <v>1754</v>
      </c>
      <c r="D2839" s="1" t="s">
        <v>454</v>
      </c>
      <c r="E2839" s="1">
        <v>2172</v>
      </c>
      <c r="F2839" s="28">
        <v>130</v>
      </c>
      <c r="G2839" s="9" t="s">
        <v>2781</v>
      </c>
      <c r="H2839" s="1">
        <v>133</v>
      </c>
      <c r="I2839" s="1">
        <v>132</v>
      </c>
      <c r="J2839" t="str">
        <f t="shared" si="44"/>
        <v>http://www.badatelna.eu/reprodukce/?fondId=1073&amp;zaznamId=1108958&amp;reproId=3779871</v>
      </c>
      <c r="K2839">
        <f>IF(LEN(TRIM(E2839))=0,"",VLOOKUP(E2839,Sheet2!$B$1:$E$19,2,FALSE))</f>
        <v>1073</v>
      </c>
      <c r="L2839">
        <f>IF(LEN(TRIM(E2839))=0,"",VLOOKUP(E2839,Sheet2!$B$1:$E$19,3,FALSE))</f>
        <v>1108958</v>
      </c>
      <c r="M2839">
        <f>IF(LEN(TRIM(E2839))=0,"",VLOOKUP(E2839,Sheet2!$B$1:$E$19,4,FALSE))+(F2839-1)</f>
        <v>3779871</v>
      </c>
    </row>
    <row r="2840" spans="1:13" s="1" customFormat="1" ht="15" customHeight="1" x14ac:dyDescent="0.25">
      <c r="A2840" s="28" t="s">
        <v>431</v>
      </c>
      <c r="B2840" s="28" t="s">
        <v>39</v>
      </c>
      <c r="C2840" s="1" t="s">
        <v>3143</v>
      </c>
      <c r="D2840" s="1" t="s">
        <v>2919</v>
      </c>
      <c r="E2840" s="1">
        <v>998</v>
      </c>
      <c r="F2840" s="28">
        <v>19</v>
      </c>
      <c r="G2840" s="1">
        <v>17</v>
      </c>
      <c r="H2840" s="1">
        <v>81</v>
      </c>
      <c r="I2840" s="1">
        <v>79</v>
      </c>
      <c r="J2840" t="str">
        <f t="shared" si="44"/>
        <v>http://www.badatelna.eu/reprodukce/?fondId=241&amp;zaznamId=1133738&amp;reproId=3885665</v>
      </c>
      <c r="K2840">
        <f>IF(LEN(TRIM(E2840))=0,"",VLOOKUP(E2840,Sheet2!$B$1:$E$19,2,FALSE))</f>
        <v>241</v>
      </c>
      <c r="L2840">
        <f>IF(LEN(TRIM(E2840))=0,"",VLOOKUP(E2840,Sheet2!$B$1:$E$19,3,FALSE))</f>
        <v>1133738</v>
      </c>
      <c r="M2840">
        <f>IF(LEN(TRIM(E2840))=0,"",VLOOKUP(E2840,Sheet2!$B$1:$E$19,4,FALSE))+(F2840-1)</f>
        <v>3885665</v>
      </c>
    </row>
    <row r="2841" spans="1:13" s="1" customFormat="1" ht="15" customHeight="1" x14ac:dyDescent="0.25">
      <c r="A2841" s="28" t="s">
        <v>431</v>
      </c>
      <c r="B2841" s="28" t="s">
        <v>39</v>
      </c>
      <c r="C2841" s="6" t="s">
        <v>2703</v>
      </c>
      <c r="D2841" s="1" t="s">
        <v>454</v>
      </c>
      <c r="E2841" s="1">
        <v>2173</v>
      </c>
      <c r="F2841" s="28">
        <v>224</v>
      </c>
      <c r="G2841" s="9">
        <v>54</v>
      </c>
      <c r="H2841" s="1" t="s">
        <v>3073</v>
      </c>
      <c r="I2841" s="1" t="s">
        <v>3073</v>
      </c>
      <c r="J2841" t="str">
        <f t="shared" si="44"/>
        <v>http://www.badatelna.eu/reprodukce/?fondId=1073&amp;zaznamId=1108959&amp;reproId=3780217</v>
      </c>
      <c r="K2841">
        <f>IF(LEN(TRIM(E2841))=0,"",VLOOKUP(E2841,Sheet2!$B$1:$E$19,2,FALSE))</f>
        <v>1073</v>
      </c>
      <c r="L2841">
        <f>IF(LEN(TRIM(E2841))=0,"",VLOOKUP(E2841,Sheet2!$B$1:$E$19,3,FALSE))</f>
        <v>1108959</v>
      </c>
      <c r="M2841">
        <f>IF(LEN(TRIM(E2841))=0,"",VLOOKUP(E2841,Sheet2!$B$1:$E$19,4,FALSE))+(F2841-1)</f>
        <v>3780217</v>
      </c>
    </row>
    <row r="2842" spans="1:13" s="1" customFormat="1" ht="15" customHeight="1" x14ac:dyDescent="0.25">
      <c r="A2842" s="28" t="s">
        <v>431</v>
      </c>
      <c r="B2842" s="28" t="s">
        <v>742</v>
      </c>
      <c r="C2842" s="6" t="s">
        <v>1846</v>
      </c>
      <c r="D2842" s="1" t="s">
        <v>454</v>
      </c>
      <c r="E2842" s="1">
        <v>2172</v>
      </c>
      <c r="F2842" s="28">
        <v>178</v>
      </c>
      <c r="G2842" s="9">
        <v>171</v>
      </c>
      <c r="H2842" s="1" t="s">
        <v>3073</v>
      </c>
      <c r="I2842" s="1" t="s">
        <v>3073</v>
      </c>
      <c r="J2842" t="str">
        <f t="shared" si="44"/>
        <v>http://www.badatelna.eu/reprodukce/?fondId=1073&amp;zaznamId=1108958&amp;reproId=3779919</v>
      </c>
      <c r="K2842">
        <f>IF(LEN(TRIM(E2842))=0,"",VLOOKUP(E2842,Sheet2!$B$1:$E$19,2,FALSE))</f>
        <v>1073</v>
      </c>
      <c r="L2842">
        <f>IF(LEN(TRIM(E2842))=0,"",VLOOKUP(E2842,Sheet2!$B$1:$E$19,3,FALSE))</f>
        <v>1108958</v>
      </c>
      <c r="M2842">
        <f>IF(LEN(TRIM(E2842))=0,"",VLOOKUP(E2842,Sheet2!$B$1:$E$19,4,FALSE))+(F2842-1)</f>
        <v>3779919</v>
      </c>
    </row>
    <row r="2843" spans="1:13" ht="15" customHeight="1" x14ac:dyDescent="0.25">
      <c r="A2843" s="28" t="s">
        <v>431</v>
      </c>
      <c r="B2843" s="28" t="s">
        <v>475</v>
      </c>
      <c r="C2843" s="1">
        <v>1850</v>
      </c>
      <c r="D2843" s="1" t="s">
        <v>2919</v>
      </c>
      <c r="E2843" s="1">
        <v>998</v>
      </c>
      <c r="F2843" s="28">
        <v>29</v>
      </c>
      <c r="G2843" s="1">
        <v>27</v>
      </c>
      <c r="H2843" s="1">
        <v>81</v>
      </c>
      <c r="I2843" s="1">
        <v>79</v>
      </c>
      <c r="J2843" t="str">
        <f t="shared" si="44"/>
        <v>http://www.badatelna.eu/reprodukce/?fondId=241&amp;zaznamId=1133738&amp;reproId=3885675</v>
      </c>
      <c r="K2843">
        <f>IF(LEN(TRIM(E2843))=0,"",VLOOKUP(E2843,Sheet2!$B$1:$E$19,2,FALSE))</f>
        <v>241</v>
      </c>
      <c r="L2843">
        <f>IF(LEN(TRIM(E2843))=0,"",VLOOKUP(E2843,Sheet2!$B$1:$E$19,3,FALSE))</f>
        <v>1133738</v>
      </c>
      <c r="M2843">
        <f>IF(LEN(TRIM(E2843))=0,"",VLOOKUP(E2843,Sheet2!$B$1:$E$19,4,FALSE))+(F2843-1)</f>
        <v>3885675</v>
      </c>
    </row>
    <row r="2844" spans="1:13" ht="15" customHeight="1" x14ac:dyDescent="0.25">
      <c r="A2844" s="28" t="s">
        <v>431</v>
      </c>
      <c r="B2844" s="28" t="s">
        <v>234</v>
      </c>
      <c r="C2844" s="1">
        <v>1887</v>
      </c>
      <c r="D2844" s="1" t="s">
        <v>454</v>
      </c>
      <c r="E2844" s="1">
        <v>2172</v>
      </c>
      <c r="F2844" s="28">
        <v>57</v>
      </c>
      <c r="G2844" s="9">
        <v>58</v>
      </c>
      <c r="H2844" s="1">
        <v>61</v>
      </c>
      <c r="I2844" s="1">
        <v>62</v>
      </c>
      <c r="J2844" t="str">
        <f t="shared" si="44"/>
        <v>http://www.badatelna.eu/reprodukce/?fondId=1073&amp;zaznamId=1108958&amp;reproId=3779798</v>
      </c>
      <c r="K2844">
        <f>IF(LEN(TRIM(E2844))=0,"",VLOOKUP(E2844,Sheet2!$B$1:$E$19,2,FALSE))</f>
        <v>1073</v>
      </c>
      <c r="L2844">
        <f>IF(LEN(TRIM(E2844))=0,"",VLOOKUP(E2844,Sheet2!$B$1:$E$19,3,FALSE))</f>
        <v>1108958</v>
      </c>
      <c r="M2844">
        <f>IF(LEN(TRIM(E2844))=0,"",VLOOKUP(E2844,Sheet2!$B$1:$E$19,4,FALSE))+(F2844-1)</f>
        <v>3779798</v>
      </c>
    </row>
    <row r="2845" spans="1:13" ht="15" customHeight="1" x14ac:dyDescent="0.25">
      <c r="A2845" s="27" t="s">
        <v>431</v>
      </c>
      <c r="B2845" s="27" t="s">
        <v>54</v>
      </c>
      <c r="C2845" s="5" t="s">
        <v>1469</v>
      </c>
      <c r="D2845" s="3" t="s">
        <v>454</v>
      </c>
      <c r="E2845" s="3">
        <v>2170</v>
      </c>
      <c r="F2845" s="28">
        <v>24</v>
      </c>
      <c r="G2845" s="10">
        <v>20</v>
      </c>
      <c r="H2845" s="3">
        <v>73</v>
      </c>
      <c r="I2845" s="3">
        <v>69</v>
      </c>
      <c r="J2845" t="str">
        <f t="shared" si="44"/>
        <v>http://www.badatelna.eu/reprodukce/?fondId=1073&amp;zaznamId=1108956&amp;reproId=3779616</v>
      </c>
      <c r="K2845">
        <f>IF(LEN(TRIM(E2845))=0,"",VLOOKUP(E2845,Sheet2!$B$1:$E$19,2,FALSE))</f>
        <v>1073</v>
      </c>
      <c r="L2845">
        <f>IF(LEN(TRIM(E2845))=0,"",VLOOKUP(E2845,Sheet2!$B$1:$E$19,3,FALSE))</f>
        <v>1108956</v>
      </c>
      <c r="M2845">
        <f>IF(LEN(TRIM(E2845))=0,"",VLOOKUP(E2845,Sheet2!$B$1:$E$19,4,FALSE))+(F2845-1)</f>
        <v>3779616</v>
      </c>
    </row>
    <row r="2846" spans="1:13" ht="15" customHeight="1" x14ac:dyDescent="0.25">
      <c r="A2846" s="28" t="s">
        <v>431</v>
      </c>
      <c r="B2846" s="28" t="s">
        <v>13</v>
      </c>
      <c r="C2846" s="6" t="s">
        <v>1728</v>
      </c>
      <c r="D2846" s="1" t="s">
        <v>454</v>
      </c>
      <c r="E2846" s="1">
        <v>2172</v>
      </c>
      <c r="F2846" s="28">
        <v>122</v>
      </c>
      <c r="G2846" s="9">
        <v>121</v>
      </c>
      <c r="H2846" s="1">
        <v>124</v>
      </c>
      <c r="I2846" s="1">
        <v>123</v>
      </c>
      <c r="J2846" t="str">
        <f t="shared" si="44"/>
        <v>http://www.badatelna.eu/reprodukce/?fondId=1073&amp;zaznamId=1108958&amp;reproId=3779863</v>
      </c>
      <c r="K2846">
        <f>IF(LEN(TRIM(E2846))=0,"",VLOOKUP(E2846,Sheet2!$B$1:$E$19,2,FALSE))</f>
        <v>1073</v>
      </c>
      <c r="L2846">
        <f>IF(LEN(TRIM(E2846))=0,"",VLOOKUP(E2846,Sheet2!$B$1:$E$19,3,FALSE))</f>
        <v>1108958</v>
      </c>
      <c r="M2846">
        <f>IF(LEN(TRIM(E2846))=0,"",VLOOKUP(E2846,Sheet2!$B$1:$E$19,4,FALSE))+(F2846-1)</f>
        <v>3779863</v>
      </c>
    </row>
    <row r="2847" spans="1:13" ht="15" customHeight="1" x14ac:dyDescent="0.25">
      <c r="A2847" s="28" t="s">
        <v>431</v>
      </c>
      <c r="B2847" s="28" t="s">
        <v>486</v>
      </c>
      <c r="C2847" s="1">
        <v>1886</v>
      </c>
      <c r="D2847" s="1" t="s">
        <v>454</v>
      </c>
      <c r="E2847" s="1">
        <v>2172</v>
      </c>
      <c r="F2847" s="28">
        <v>53</v>
      </c>
      <c r="G2847" s="9">
        <v>54</v>
      </c>
      <c r="H2847" s="1">
        <v>55</v>
      </c>
      <c r="I2847" s="1">
        <v>56</v>
      </c>
      <c r="J2847" t="str">
        <f t="shared" si="44"/>
        <v>http://www.badatelna.eu/reprodukce/?fondId=1073&amp;zaznamId=1108958&amp;reproId=3779794</v>
      </c>
      <c r="K2847">
        <f>IF(LEN(TRIM(E2847))=0,"",VLOOKUP(E2847,Sheet2!$B$1:$E$19,2,FALSE))</f>
        <v>1073</v>
      </c>
      <c r="L2847">
        <f>IF(LEN(TRIM(E2847))=0,"",VLOOKUP(E2847,Sheet2!$B$1:$E$19,3,FALSE))</f>
        <v>1108958</v>
      </c>
      <c r="M2847">
        <f>IF(LEN(TRIM(E2847))=0,"",VLOOKUP(E2847,Sheet2!$B$1:$E$19,4,FALSE))+(F2847-1)</f>
        <v>3779794</v>
      </c>
    </row>
    <row r="2848" spans="1:13" ht="15" customHeight="1" x14ac:dyDescent="0.25">
      <c r="A2848" s="28" t="s">
        <v>431</v>
      </c>
      <c r="B2848" s="28" t="s">
        <v>91</v>
      </c>
      <c r="C2848" s="1">
        <v>1847</v>
      </c>
      <c r="D2848" s="1" t="s">
        <v>2919</v>
      </c>
      <c r="E2848" s="1">
        <v>998</v>
      </c>
      <c r="F2848" s="28">
        <v>6</v>
      </c>
      <c r="G2848" s="1">
        <v>4</v>
      </c>
      <c r="H2848" s="1">
        <v>81</v>
      </c>
      <c r="I2848" s="1">
        <v>79</v>
      </c>
      <c r="J2848" t="str">
        <f t="shared" si="44"/>
        <v>http://www.badatelna.eu/reprodukce/?fondId=241&amp;zaznamId=1133738&amp;reproId=3885652</v>
      </c>
      <c r="K2848">
        <f>IF(LEN(TRIM(E2848))=0,"",VLOOKUP(E2848,Sheet2!$B$1:$E$19,2,FALSE))</f>
        <v>241</v>
      </c>
      <c r="L2848">
        <f>IF(LEN(TRIM(E2848))=0,"",VLOOKUP(E2848,Sheet2!$B$1:$E$19,3,FALSE))</f>
        <v>1133738</v>
      </c>
      <c r="M2848">
        <f>IF(LEN(TRIM(E2848))=0,"",VLOOKUP(E2848,Sheet2!$B$1:$E$19,4,FALSE))+(F2848-1)</f>
        <v>3885652</v>
      </c>
    </row>
    <row r="2849" spans="1:13" ht="15" customHeight="1" x14ac:dyDescent="0.25">
      <c r="A2849" s="28" t="s">
        <v>431</v>
      </c>
      <c r="B2849" s="28" t="s">
        <v>91</v>
      </c>
      <c r="C2849" s="6" t="s">
        <v>2704</v>
      </c>
      <c r="D2849" s="1" t="s">
        <v>454</v>
      </c>
      <c r="E2849" s="1">
        <v>2173</v>
      </c>
      <c r="F2849" s="28">
        <v>224</v>
      </c>
      <c r="G2849" s="9">
        <v>53</v>
      </c>
      <c r="H2849" s="1" t="s">
        <v>3073</v>
      </c>
      <c r="I2849" s="1" t="s">
        <v>3073</v>
      </c>
      <c r="J2849" t="str">
        <f t="shared" si="44"/>
        <v>http://www.badatelna.eu/reprodukce/?fondId=1073&amp;zaznamId=1108959&amp;reproId=3780217</v>
      </c>
      <c r="K2849">
        <f>IF(LEN(TRIM(E2849))=0,"",VLOOKUP(E2849,Sheet2!$B$1:$E$19,2,FALSE))</f>
        <v>1073</v>
      </c>
      <c r="L2849">
        <f>IF(LEN(TRIM(E2849))=0,"",VLOOKUP(E2849,Sheet2!$B$1:$E$19,3,FALSE))</f>
        <v>1108959</v>
      </c>
      <c r="M2849">
        <f>IF(LEN(TRIM(E2849))=0,"",VLOOKUP(E2849,Sheet2!$B$1:$E$19,4,FALSE))+(F2849-1)</f>
        <v>3780217</v>
      </c>
    </row>
    <row r="2850" spans="1:13" ht="15" customHeight="1" x14ac:dyDescent="0.25">
      <c r="A2850" s="28" t="s">
        <v>743</v>
      </c>
      <c r="B2850" s="28" t="s">
        <v>357</v>
      </c>
      <c r="C2850" s="6" t="s">
        <v>1866</v>
      </c>
      <c r="D2850" s="1" t="s">
        <v>454</v>
      </c>
      <c r="E2850" s="1">
        <v>2172</v>
      </c>
      <c r="F2850" s="28">
        <v>187</v>
      </c>
      <c r="G2850" s="9">
        <v>177</v>
      </c>
      <c r="H2850" s="1" t="s">
        <v>3073</v>
      </c>
      <c r="I2850" s="1" t="s">
        <v>3073</v>
      </c>
      <c r="J2850" t="str">
        <f t="shared" si="44"/>
        <v>http://www.badatelna.eu/reprodukce/?fondId=1073&amp;zaznamId=1108958&amp;reproId=3779928</v>
      </c>
      <c r="K2850">
        <f>IF(LEN(TRIM(E2850))=0,"",VLOOKUP(E2850,Sheet2!$B$1:$E$19,2,FALSE))</f>
        <v>1073</v>
      </c>
      <c r="L2850">
        <f>IF(LEN(TRIM(E2850))=0,"",VLOOKUP(E2850,Sheet2!$B$1:$E$19,3,FALSE))</f>
        <v>1108958</v>
      </c>
      <c r="M2850">
        <f>IF(LEN(TRIM(E2850))=0,"",VLOOKUP(E2850,Sheet2!$B$1:$E$19,4,FALSE))+(F2850-1)</f>
        <v>3779928</v>
      </c>
    </row>
    <row r="2851" spans="1:13" ht="15" customHeight="1" x14ac:dyDescent="0.25">
      <c r="A2851" s="28" t="s">
        <v>743</v>
      </c>
      <c r="B2851" s="28" t="s">
        <v>25</v>
      </c>
      <c r="C2851" s="6" t="s">
        <v>1660</v>
      </c>
      <c r="D2851" s="1" t="s">
        <v>454</v>
      </c>
      <c r="E2851" s="1">
        <v>2172</v>
      </c>
      <c r="F2851" s="28">
        <v>102</v>
      </c>
      <c r="G2851" s="9">
        <v>101</v>
      </c>
      <c r="H2851" s="1">
        <v>104</v>
      </c>
      <c r="I2851" s="1">
        <v>103</v>
      </c>
      <c r="J2851" t="str">
        <f t="shared" si="44"/>
        <v>http://www.badatelna.eu/reprodukce/?fondId=1073&amp;zaznamId=1108958&amp;reproId=3779843</v>
      </c>
      <c r="K2851">
        <f>IF(LEN(TRIM(E2851))=0,"",VLOOKUP(E2851,Sheet2!$B$1:$E$19,2,FALSE))</f>
        <v>1073</v>
      </c>
      <c r="L2851">
        <f>IF(LEN(TRIM(E2851))=0,"",VLOOKUP(E2851,Sheet2!$B$1:$E$19,3,FALSE))</f>
        <v>1108958</v>
      </c>
      <c r="M2851">
        <f>IF(LEN(TRIM(E2851))=0,"",VLOOKUP(E2851,Sheet2!$B$1:$E$19,4,FALSE))+(F2851-1)</f>
        <v>3779843</v>
      </c>
    </row>
    <row r="2852" spans="1:13" ht="15" customHeight="1" x14ac:dyDescent="0.25">
      <c r="A2852" s="28" t="s">
        <v>743</v>
      </c>
      <c r="B2852" s="28" t="s">
        <v>744</v>
      </c>
      <c r="C2852" s="6" t="s">
        <v>1892</v>
      </c>
      <c r="D2852" s="1" t="s">
        <v>454</v>
      </c>
      <c r="E2852" s="1">
        <v>2172</v>
      </c>
      <c r="F2852" s="28">
        <v>197</v>
      </c>
      <c r="G2852" s="9" t="s">
        <v>3095</v>
      </c>
      <c r="H2852" s="1" t="s">
        <v>3073</v>
      </c>
      <c r="I2852" s="1" t="s">
        <v>3073</v>
      </c>
      <c r="J2852" t="str">
        <f t="shared" si="44"/>
        <v>http://www.badatelna.eu/reprodukce/?fondId=1073&amp;zaznamId=1108958&amp;reproId=3779938</v>
      </c>
      <c r="K2852">
        <f>IF(LEN(TRIM(E2852))=0,"",VLOOKUP(E2852,Sheet2!$B$1:$E$19,2,FALSE))</f>
        <v>1073</v>
      </c>
      <c r="L2852">
        <f>IF(LEN(TRIM(E2852))=0,"",VLOOKUP(E2852,Sheet2!$B$1:$E$19,3,FALSE))</f>
        <v>1108958</v>
      </c>
      <c r="M2852">
        <f>IF(LEN(TRIM(E2852))=0,"",VLOOKUP(E2852,Sheet2!$B$1:$E$19,4,FALSE))+(F2852-1)</f>
        <v>3779938</v>
      </c>
    </row>
    <row r="2853" spans="1:13" ht="15" customHeight="1" x14ac:dyDescent="0.25">
      <c r="A2853" s="28" t="s">
        <v>3032</v>
      </c>
      <c r="B2853" s="28" t="s">
        <v>590</v>
      </c>
      <c r="C2853" s="1">
        <v>1857</v>
      </c>
      <c r="D2853" s="1" t="s">
        <v>2919</v>
      </c>
      <c r="E2853" s="1">
        <v>998</v>
      </c>
      <c r="F2853" s="28">
        <v>51</v>
      </c>
      <c r="G2853" s="1">
        <v>49</v>
      </c>
      <c r="H2853" s="1">
        <v>81</v>
      </c>
      <c r="I2853" s="1">
        <v>79</v>
      </c>
      <c r="J2853" t="str">
        <f t="shared" si="44"/>
        <v>http://www.badatelna.eu/reprodukce/?fondId=241&amp;zaznamId=1133738&amp;reproId=3885697</v>
      </c>
      <c r="K2853">
        <f>IF(LEN(TRIM(E2853))=0,"",VLOOKUP(E2853,Sheet2!$B$1:$E$19,2,FALSE))</f>
        <v>241</v>
      </c>
      <c r="L2853">
        <f>IF(LEN(TRIM(E2853))=0,"",VLOOKUP(E2853,Sheet2!$B$1:$E$19,3,FALSE))</f>
        <v>1133738</v>
      </c>
      <c r="M2853">
        <f>IF(LEN(TRIM(E2853))=0,"",VLOOKUP(E2853,Sheet2!$B$1:$E$19,4,FALSE))+(F2853-1)</f>
        <v>3885697</v>
      </c>
    </row>
    <row r="2854" spans="1:13" ht="15" customHeight="1" x14ac:dyDescent="0.25">
      <c r="A2854" s="28"/>
      <c r="B2854" s="28"/>
      <c r="C2854" s="42" t="s">
        <v>3142</v>
      </c>
      <c r="D2854" s="1"/>
      <c r="E2854" s="1"/>
      <c r="F2854" s="28"/>
      <c r="G2854" s="1"/>
      <c r="H2854" s="1"/>
      <c r="I2854" s="1"/>
      <c r="J2854" t="str">
        <f t="shared" si="44"/>
        <v/>
      </c>
      <c r="K2854" t="str">
        <f>IF(LEN(TRIM(E2854))=0,"",VLOOKUP(E2854,Sheet2!$B$1:$E$19,2,FALSE))</f>
        <v/>
      </c>
      <c r="L2854" t="str">
        <f>IF(LEN(TRIM(E2854))=0,"",VLOOKUP(E2854,Sheet2!$B$1:$E$19,3,FALSE))</f>
        <v/>
      </c>
      <c r="M2854" t="e">
        <f>IF(LEN(TRIM(E2854))=0,"",VLOOKUP(E2854,Sheet2!$B$1:$E$19,4,FALSE))+(F2854-1)</f>
        <v>#VALUE!</v>
      </c>
    </row>
    <row r="2855" spans="1:13" ht="15" customHeight="1" x14ac:dyDescent="0.25">
      <c r="A2855" s="27" t="s">
        <v>651</v>
      </c>
      <c r="B2855" s="27" t="s">
        <v>33</v>
      </c>
      <c r="C2855" s="5" t="s">
        <v>1472</v>
      </c>
      <c r="D2855" s="3" t="s">
        <v>454</v>
      </c>
      <c r="E2855" s="3">
        <v>2170</v>
      </c>
      <c r="F2855" s="28">
        <v>48</v>
      </c>
      <c r="G2855" s="10">
        <v>44</v>
      </c>
      <c r="H2855" s="3">
        <v>73</v>
      </c>
      <c r="I2855" s="3">
        <v>69</v>
      </c>
      <c r="J2855" t="str">
        <f t="shared" si="44"/>
        <v>http://www.badatelna.eu/reprodukce/?fondId=1073&amp;zaznamId=1108956&amp;reproId=3779640</v>
      </c>
      <c r="K2855">
        <f>IF(LEN(TRIM(E2855))=0,"",VLOOKUP(E2855,Sheet2!$B$1:$E$19,2,FALSE))</f>
        <v>1073</v>
      </c>
      <c r="L2855">
        <f>IF(LEN(TRIM(E2855))=0,"",VLOOKUP(E2855,Sheet2!$B$1:$E$19,3,FALSE))</f>
        <v>1108956</v>
      </c>
      <c r="M2855">
        <f>IF(LEN(TRIM(E2855))=0,"",VLOOKUP(E2855,Sheet2!$B$1:$E$19,4,FALSE))+(F2855-1)</f>
        <v>3779640</v>
      </c>
    </row>
    <row r="2856" spans="1:13" ht="15" customHeight="1" x14ac:dyDescent="0.25">
      <c r="A2856" s="28" t="s">
        <v>651</v>
      </c>
      <c r="B2856" s="28" t="s">
        <v>673</v>
      </c>
      <c r="C2856" s="1">
        <v>1884</v>
      </c>
      <c r="D2856" s="1" t="s">
        <v>454</v>
      </c>
      <c r="E2856" s="1">
        <v>2172</v>
      </c>
      <c r="F2856" s="28">
        <v>39</v>
      </c>
      <c r="G2856" s="9" t="s">
        <v>3080</v>
      </c>
      <c r="H2856" s="1">
        <v>43</v>
      </c>
      <c r="I2856" s="1">
        <v>42</v>
      </c>
      <c r="J2856" t="str">
        <f t="shared" si="44"/>
        <v>http://www.badatelna.eu/reprodukce/?fondId=1073&amp;zaznamId=1108958&amp;reproId=3779780</v>
      </c>
      <c r="K2856">
        <f>IF(LEN(TRIM(E2856))=0,"",VLOOKUP(E2856,Sheet2!$B$1:$E$19,2,FALSE))</f>
        <v>1073</v>
      </c>
      <c r="L2856">
        <f>IF(LEN(TRIM(E2856))=0,"",VLOOKUP(E2856,Sheet2!$B$1:$E$19,3,FALSE))</f>
        <v>1108958</v>
      </c>
      <c r="M2856">
        <f>IF(LEN(TRIM(E2856))=0,"",VLOOKUP(E2856,Sheet2!$B$1:$E$19,4,FALSE))+(F2856-1)</f>
        <v>3779780</v>
      </c>
    </row>
    <row r="2857" spans="1:13" ht="15" customHeight="1" x14ac:dyDescent="0.25">
      <c r="A2857" s="27" t="s">
        <v>651</v>
      </c>
      <c r="B2857" s="27" t="s">
        <v>631</v>
      </c>
      <c r="C2857" s="5" t="s">
        <v>1471</v>
      </c>
      <c r="D2857" s="3" t="s">
        <v>454</v>
      </c>
      <c r="E2857" s="3">
        <v>2170</v>
      </c>
      <c r="F2857" s="28">
        <v>6</v>
      </c>
      <c r="G2857" s="10">
        <v>2</v>
      </c>
      <c r="H2857" s="3">
        <v>73</v>
      </c>
      <c r="I2857" s="3">
        <v>69</v>
      </c>
      <c r="J2857" t="str">
        <f t="shared" si="44"/>
        <v>http://www.badatelna.eu/reprodukce/?fondId=1073&amp;zaznamId=1108956&amp;reproId=3779598</v>
      </c>
      <c r="K2857">
        <f>IF(LEN(TRIM(E2857))=0,"",VLOOKUP(E2857,Sheet2!$B$1:$E$19,2,FALSE))</f>
        <v>1073</v>
      </c>
      <c r="L2857">
        <f>IF(LEN(TRIM(E2857))=0,"",VLOOKUP(E2857,Sheet2!$B$1:$E$19,3,FALSE))</f>
        <v>1108956</v>
      </c>
      <c r="M2857">
        <f>IF(LEN(TRIM(E2857))=0,"",VLOOKUP(E2857,Sheet2!$B$1:$E$19,4,FALSE))+(F2857-1)</f>
        <v>3779598</v>
      </c>
    </row>
    <row r="2858" spans="1:13" ht="15" customHeight="1" x14ac:dyDescent="0.25">
      <c r="A2858" s="28" t="s">
        <v>92</v>
      </c>
      <c r="B2858" s="29" t="s">
        <v>2998</v>
      </c>
      <c r="C2858" s="1">
        <v>1861</v>
      </c>
      <c r="D2858" s="1" t="s">
        <v>2919</v>
      </c>
      <c r="E2858" s="1">
        <v>998</v>
      </c>
      <c r="F2858" s="28">
        <v>61</v>
      </c>
      <c r="G2858" s="1">
        <v>58</v>
      </c>
      <c r="H2858" s="1">
        <v>81</v>
      </c>
      <c r="I2858" s="1">
        <v>79</v>
      </c>
      <c r="J2858" t="str">
        <f t="shared" si="44"/>
        <v>http://www.badatelna.eu/reprodukce/?fondId=241&amp;zaznamId=1133738&amp;reproId=3885707</v>
      </c>
      <c r="K2858">
        <f>IF(LEN(TRIM(E2858))=0,"",VLOOKUP(E2858,Sheet2!$B$1:$E$19,2,FALSE))</f>
        <v>241</v>
      </c>
      <c r="L2858">
        <f>IF(LEN(TRIM(E2858))=0,"",VLOOKUP(E2858,Sheet2!$B$1:$E$19,3,FALSE))</f>
        <v>1133738</v>
      </c>
      <c r="M2858">
        <f>IF(LEN(TRIM(E2858))=0,"",VLOOKUP(E2858,Sheet2!$B$1:$E$19,4,FALSE))+(F2858-1)</f>
        <v>3885707</v>
      </c>
    </row>
    <row r="2859" spans="1:13" ht="15" customHeight="1" x14ac:dyDescent="0.25">
      <c r="A2859" s="28" t="s">
        <v>92</v>
      </c>
      <c r="B2859" s="28" t="s">
        <v>33</v>
      </c>
      <c r="C2859" s="6" t="s">
        <v>2525</v>
      </c>
      <c r="D2859" s="1" t="s">
        <v>454</v>
      </c>
      <c r="E2859" s="1">
        <v>2173</v>
      </c>
      <c r="F2859" s="28">
        <v>206</v>
      </c>
      <c r="G2859" s="1">
        <v>21</v>
      </c>
      <c r="H2859" s="1" t="s">
        <v>3073</v>
      </c>
      <c r="I2859" s="1" t="s">
        <v>3073</v>
      </c>
      <c r="J2859" t="str">
        <f t="shared" si="44"/>
        <v>http://www.badatelna.eu/reprodukce/?fondId=1073&amp;zaznamId=1108959&amp;reproId=3780199</v>
      </c>
      <c r="K2859">
        <f>IF(LEN(TRIM(E2859))=0,"",VLOOKUP(E2859,Sheet2!$B$1:$E$19,2,FALSE))</f>
        <v>1073</v>
      </c>
      <c r="L2859">
        <f>IF(LEN(TRIM(E2859))=0,"",VLOOKUP(E2859,Sheet2!$B$1:$E$19,3,FALSE))</f>
        <v>1108959</v>
      </c>
      <c r="M2859">
        <f>IF(LEN(TRIM(E2859))=0,"",VLOOKUP(E2859,Sheet2!$B$1:$E$19,4,FALSE))+(F2859-1)</f>
        <v>3780199</v>
      </c>
    </row>
    <row r="2860" spans="1:13" ht="15" customHeight="1" x14ac:dyDescent="0.25">
      <c r="A2860" s="28" t="s">
        <v>92</v>
      </c>
      <c r="B2860" s="28" t="s">
        <v>466</v>
      </c>
      <c r="C2860" s="1">
        <v>1865</v>
      </c>
      <c r="D2860" s="1" t="s">
        <v>2919</v>
      </c>
      <c r="E2860" s="1">
        <v>999</v>
      </c>
      <c r="F2860" s="28">
        <v>87</v>
      </c>
      <c r="G2860" s="1">
        <v>8</v>
      </c>
      <c r="H2860" s="1">
        <v>111</v>
      </c>
      <c r="I2860" s="1">
        <v>171</v>
      </c>
      <c r="J2860" t="str">
        <f t="shared" si="44"/>
        <v>http://www.badatelna.eu/reprodukce/?fondId=241&amp;zaznamId=1133739&amp;reproId=3885816</v>
      </c>
      <c r="K2860">
        <f>IF(LEN(TRIM(E2860))=0,"",VLOOKUP(E2860,Sheet2!$B$1:$E$19,2,FALSE))</f>
        <v>241</v>
      </c>
      <c r="L2860">
        <f>IF(LEN(TRIM(E2860))=0,"",VLOOKUP(E2860,Sheet2!$B$1:$E$19,3,FALSE))</f>
        <v>1133739</v>
      </c>
      <c r="M2860">
        <f>IF(LEN(TRIM(E2860))=0,"",VLOOKUP(E2860,Sheet2!$B$1:$E$19,4,FALSE))+(F2860-1)</f>
        <v>3885816</v>
      </c>
    </row>
    <row r="2861" spans="1:13" ht="15" customHeight="1" x14ac:dyDescent="0.25">
      <c r="A2861" s="30" t="s">
        <v>92</v>
      </c>
      <c r="B2861" s="27" t="s">
        <v>493</v>
      </c>
      <c r="C2861" s="5" t="s">
        <v>1474</v>
      </c>
      <c r="D2861" s="3" t="s">
        <v>454</v>
      </c>
      <c r="E2861" s="3">
        <v>2170</v>
      </c>
      <c r="F2861" s="28">
        <v>31</v>
      </c>
      <c r="G2861" s="10">
        <v>27</v>
      </c>
      <c r="H2861" s="3">
        <v>73</v>
      </c>
      <c r="I2861" s="3">
        <v>69</v>
      </c>
      <c r="J2861" t="str">
        <f t="shared" si="44"/>
        <v>http://www.badatelna.eu/reprodukce/?fondId=1073&amp;zaznamId=1108956&amp;reproId=3779623</v>
      </c>
      <c r="K2861">
        <f>IF(LEN(TRIM(E2861))=0,"",VLOOKUP(E2861,Sheet2!$B$1:$E$19,2,FALSE))</f>
        <v>1073</v>
      </c>
      <c r="L2861">
        <f>IF(LEN(TRIM(E2861))=0,"",VLOOKUP(E2861,Sheet2!$B$1:$E$19,3,FALSE))</f>
        <v>1108956</v>
      </c>
      <c r="M2861">
        <f>IF(LEN(TRIM(E2861))=0,"",VLOOKUP(E2861,Sheet2!$B$1:$E$19,4,FALSE))+(F2861-1)</f>
        <v>3779623</v>
      </c>
    </row>
    <row r="2862" spans="1:13" ht="15" customHeight="1" x14ac:dyDescent="0.25">
      <c r="A2862" s="28" t="s">
        <v>92</v>
      </c>
      <c r="B2862" s="28" t="s">
        <v>87</v>
      </c>
      <c r="C2862" s="6" t="s">
        <v>2206</v>
      </c>
      <c r="D2862" s="1" t="s">
        <v>454</v>
      </c>
      <c r="E2862" s="1">
        <v>2173</v>
      </c>
      <c r="F2862" s="28">
        <v>177</v>
      </c>
      <c r="G2862" s="9">
        <v>1</v>
      </c>
      <c r="H2862" s="1">
        <v>194</v>
      </c>
      <c r="I2862" s="1">
        <v>431</v>
      </c>
      <c r="J2862" t="str">
        <f t="shared" si="44"/>
        <v>http://www.badatelna.eu/reprodukce/?fondId=1073&amp;zaznamId=1108959&amp;reproId=3780170</v>
      </c>
      <c r="K2862">
        <f>IF(LEN(TRIM(E2862))=0,"",VLOOKUP(E2862,Sheet2!$B$1:$E$19,2,FALSE))</f>
        <v>1073</v>
      </c>
      <c r="L2862">
        <f>IF(LEN(TRIM(E2862))=0,"",VLOOKUP(E2862,Sheet2!$B$1:$E$19,3,FALSE))</f>
        <v>1108959</v>
      </c>
      <c r="M2862">
        <f>IF(LEN(TRIM(E2862))=0,"",VLOOKUP(E2862,Sheet2!$B$1:$E$19,4,FALSE))+(F2862-1)</f>
        <v>3780170</v>
      </c>
    </row>
    <row r="2863" spans="1:13" ht="15" customHeight="1" x14ac:dyDescent="0.25">
      <c r="A2863" s="28" t="s">
        <v>92</v>
      </c>
      <c r="B2863" s="28" t="s">
        <v>87</v>
      </c>
      <c r="C2863" s="6" t="s">
        <v>2206</v>
      </c>
      <c r="D2863" s="1" t="s">
        <v>454</v>
      </c>
      <c r="E2863" s="1">
        <v>2173</v>
      </c>
      <c r="F2863" s="28">
        <v>208</v>
      </c>
      <c r="G2863" s="1">
        <v>25</v>
      </c>
      <c r="H2863" s="1" t="s">
        <v>3073</v>
      </c>
      <c r="I2863" s="1" t="s">
        <v>3073</v>
      </c>
      <c r="J2863" t="str">
        <f t="shared" si="44"/>
        <v>http://www.badatelna.eu/reprodukce/?fondId=1073&amp;zaznamId=1108959&amp;reproId=3780201</v>
      </c>
      <c r="K2863">
        <f>IF(LEN(TRIM(E2863))=0,"",VLOOKUP(E2863,Sheet2!$B$1:$E$19,2,FALSE))</f>
        <v>1073</v>
      </c>
      <c r="L2863">
        <f>IF(LEN(TRIM(E2863))=0,"",VLOOKUP(E2863,Sheet2!$B$1:$E$19,3,FALSE))</f>
        <v>1108959</v>
      </c>
      <c r="M2863">
        <f>IF(LEN(TRIM(E2863))=0,"",VLOOKUP(E2863,Sheet2!$B$1:$E$19,4,FALSE))+(F2863-1)</f>
        <v>3780201</v>
      </c>
    </row>
    <row r="2864" spans="1:13" ht="15" customHeight="1" x14ac:dyDescent="0.25">
      <c r="A2864" s="28" t="s">
        <v>92</v>
      </c>
      <c r="B2864" s="28" t="s">
        <v>745</v>
      </c>
      <c r="C2864" s="6" t="s">
        <v>1850</v>
      </c>
      <c r="D2864" s="1" t="s">
        <v>454</v>
      </c>
      <c r="E2864" s="1">
        <v>2172</v>
      </c>
      <c r="F2864" s="28">
        <v>179</v>
      </c>
      <c r="G2864" s="9">
        <v>172</v>
      </c>
      <c r="H2864" s="1" t="s">
        <v>3073</v>
      </c>
      <c r="I2864" s="1" t="s">
        <v>3073</v>
      </c>
      <c r="J2864" t="str">
        <f t="shared" si="44"/>
        <v>http://www.badatelna.eu/reprodukce/?fondId=1073&amp;zaznamId=1108958&amp;reproId=3779920</v>
      </c>
      <c r="K2864">
        <f>IF(LEN(TRIM(E2864))=0,"",VLOOKUP(E2864,Sheet2!$B$1:$E$19,2,FALSE))</f>
        <v>1073</v>
      </c>
      <c r="L2864">
        <f>IF(LEN(TRIM(E2864))=0,"",VLOOKUP(E2864,Sheet2!$B$1:$E$19,3,FALSE))</f>
        <v>1108958</v>
      </c>
      <c r="M2864">
        <f>IF(LEN(TRIM(E2864))=0,"",VLOOKUP(E2864,Sheet2!$B$1:$E$19,4,FALSE))+(F2864-1)</f>
        <v>3779920</v>
      </c>
    </row>
    <row r="2865" spans="1:13" ht="15" customHeight="1" x14ac:dyDescent="0.25">
      <c r="A2865" s="28" t="s">
        <v>92</v>
      </c>
      <c r="B2865" s="28" t="s">
        <v>631</v>
      </c>
      <c r="C2865" s="1">
        <v>1857</v>
      </c>
      <c r="D2865" s="1" t="s">
        <v>2919</v>
      </c>
      <c r="E2865" s="1">
        <v>998</v>
      </c>
      <c r="F2865" s="28">
        <v>51</v>
      </c>
      <c r="G2865" s="1">
        <v>49</v>
      </c>
      <c r="H2865" s="1">
        <v>81</v>
      </c>
      <c r="I2865" s="1">
        <v>79</v>
      </c>
      <c r="J2865" t="str">
        <f t="shared" si="44"/>
        <v>http://www.badatelna.eu/reprodukce/?fondId=241&amp;zaznamId=1133738&amp;reproId=3885697</v>
      </c>
      <c r="K2865">
        <f>IF(LEN(TRIM(E2865))=0,"",VLOOKUP(E2865,Sheet2!$B$1:$E$19,2,FALSE))</f>
        <v>241</v>
      </c>
      <c r="L2865">
        <f>IF(LEN(TRIM(E2865))=0,"",VLOOKUP(E2865,Sheet2!$B$1:$E$19,3,FALSE))</f>
        <v>1133738</v>
      </c>
      <c r="M2865">
        <f>IF(LEN(TRIM(E2865))=0,"",VLOOKUP(E2865,Sheet2!$B$1:$E$19,4,FALSE))+(F2865-1)</f>
        <v>3885697</v>
      </c>
    </row>
    <row r="2866" spans="1:13" ht="15" customHeight="1" x14ac:dyDescent="0.25">
      <c r="A2866" s="28" t="s">
        <v>92</v>
      </c>
      <c r="B2866" s="28" t="s">
        <v>631</v>
      </c>
      <c r="C2866" s="1">
        <v>1862</v>
      </c>
      <c r="D2866" s="1" t="s">
        <v>2919</v>
      </c>
      <c r="E2866" s="1">
        <v>999</v>
      </c>
      <c r="F2866" s="28">
        <v>81</v>
      </c>
      <c r="G2866" s="1">
        <v>2</v>
      </c>
      <c r="H2866" s="1">
        <v>111</v>
      </c>
      <c r="I2866" s="1">
        <v>171</v>
      </c>
      <c r="J2866" t="str">
        <f t="shared" si="44"/>
        <v>http://www.badatelna.eu/reprodukce/?fondId=241&amp;zaznamId=1133739&amp;reproId=3885810</v>
      </c>
      <c r="K2866">
        <f>IF(LEN(TRIM(E2866))=0,"",VLOOKUP(E2866,Sheet2!$B$1:$E$19,2,FALSE))</f>
        <v>241</v>
      </c>
      <c r="L2866">
        <f>IF(LEN(TRIM(E2866))=0,"",VLOOKUP(E2866,Sheet2!$B$1:$E$19,3,FALSE))</f>
        <v>1133739</v>
      </c>
      <c r="M2866">
        <f>IF(LEN(TRIM(E2866))=0,"",VLOOKUP(E2866,Sheet2!$B$1:$E$19,4,FALSE))+(F2866-1)</f>
        <v>3885810</v>
      </c>
    </row>
    <row r="2867" spans="1:13" ht="15" customHeight="1" x14ac:dyDescent="0.25">
      <c r="A2867" s="28" t="s">
        <v>92</v>
      </c>
      <c r="B2867" s="28" t="s">
        <v>746</v>
      </c>
      <c r="C2867" s="6" t="s">
        <v>1631</v>
      </c>
      <c r="D2867" s="1" t="s">
        <v>454</v>
      </c>
      <c r="E2867" s="1">
        <v>2172</v>
      </c>
      <c r="F2867" s="28">
        <v>88</v>
      </c>
      <c r="G2867" s="9">
        <v>87</v>
      </c>
      <c r="H2867" s="1">
        <v>90</v>
      </c>
      <c r="I2867" s="1">
        <v>89</v>
      </c>
      <c r="J2867" t="str">
        <f t="shared" si="44"/>
        <v>http://www.badatelna.eu/reprodukce/?fondId=1073&amp;zaznamId=1108958&amp;reproId=3779829</v>
      </c>
      <c r="K2867">
        <f>IF(LEN(TRIM(E2867))=0,"",VLOOKUP(E2867,Sheet2!$B$1:$E$19,2,FALSE))</f>
        <v>1073</v>
      </c>
      <c r="L2867">
        <f>IF(LEN(TRIM(E2867))=0,"",VLOOKUP(E2867,Sheet2!$B$1:$E$19,3,FALSE))</f>
        <v>1108958</v>
      </c>
      <c r="M2867">
        <f>IF(LEN(TRIM(E2867))=0,"",VLOOKUP(E2867,Sheet2!$B$1:$E$19,4,FALSE))+(F2867-1)</f>
        <v>3779829</v>
      </c>
    </row>
    <row r="2868" spans="1:13" ht="15" customHeight="1" x14ac:dyDescent="0.25">
      <c r="A2868" s="28" t="s">
        <v>92</v>
      </c>
      <c r="B2868" s="28" t="s">
        <v>91</v>
      </c>
      <c r="C2868" s="6" t="s">
        <v>2287</v>
      </c>
      <c r="D2868" s="1" t="s">
        <v>454</v>
      </c>
      <c r="E2868" s="1">
        <v>2173</v>
      </c>
      <c r="F2868" s="28">
        <v>198</v>
      </c>
      <c r="G2868" s="9">
        <v>5</v>
      </c>
      <c r="H2868" s="1" t="s">
        <v>3073</v>
      </c>
      <c r="I2868" s="1" t="s">
        <v>3073</v>
      </c>
      <c r="J2868" t="str">
        <f t="shared" si="44"/>
        <v>http://www.badatelna.eu/reprodukce/?fondId=1073&amp;zaznamId=1108959&amp;reproId=3780191</v>
      </c>
      <c r="K2868">
        <f>IF(LEN(TRIM(E2868))=0,"",VLOOKUP(E2868,Sheet2!$B$1:$E$19,2,FALSE))</f>
        <v>1073</v>
      </c>
      <c r="L2868">
        <f>IF(LEN(TRIM(E2868))=0,"",VLOOKUP(E2868,Sheet2!$B$1:$E$19,3,FALSE))</f>
        <v>1108959</v>
      </c>
      <c r="M2868">
        <f>IF(LEN(TRIM(E2868))=0,"",VLOOKUP(E2868,Sheet2!$B$1:$E$19,4,FALSE))+(F2868-1)</f>
        <v>3780191</v>
      </c>
    </row>
    <row r="2869" spans="1:13" ht="15" customHeight="1" x14ac:dyDescent="0.25">
      <c r="A2869" s="28" t="s">
        <v>92</v>
      </c>
      <c r="B2869" s="28" t="s">
        <v>91</v>
      </c>
      <c r="C2869" s="6" t="s">
        <v>2869</v>
      </c>
      <c r="D2869" s="1" t="s">
        <v>454</v>
      </c>
      <c r="E2869" s="1">
        <v>2173</v>
      </c>
      <c r="F2869" s="28">
        <v>210</v>
      </c>
      <c r="G2869" s="9" t="s">
        <v>2863</v>
      </c>
      <c r="H2869" s="1" t="s">
        <v>3073</v>
      </c>
      <c r="I2869" s="1" t="s">
        <v>3073</v>
      </c>
      <c r="J2869" t="str">
        <f t="shared" si="44"/>
        <v>http://www.badatelna.eu/reprodukce/?fondId=1073&amp;zaznamId=1108959&amp;reproId=3780203</v>
      </c>
      <c r="K2869">
        <f>IF(LEN(TRIM(E2869))=0,"",VLOOKUP(E2869,Sheet2!$B$1:$E$19,2,FALSE))</f>
        <v>1073</v>
      </c>
      <c r="L2869">
        <f>IF(LEN(TRIM(E2869))=0,"",VLOOKUP(E2869,Sheet2!$B$1:$E$19,3,FALSE))</f>
        <v>1108959</v>
      </c>
      <c r="M2869">
        <f>IF(LEN(TRIM(E2869))=0,"",VLOOKUP(E2869,Sheet2!$B$1:$E$19,4,FALSE))+(F2869-1)</f>
        <v>3780203</v>
      </c>
    </row>
    <row r="2870" spans="1:13" ht="15" customHeight="1" x14ac:dyDescent="0.25">
      <c r="A2870" s="28" t="s">
        <v>92</v>
      </c>
      <c r="B2870" s="28" t="s">
        <v>91</v>
      </c>
      <c r="C2870" s="6" t="s">
        <v>2205</v>
      </c>
      <c r="D2870" s="1" t="s">
        <v>454</v>
      </c>
      <c r="E2870" s="1">
        <v>2173</v>
      </c>
      <c r="F2870" s="28">
        <v>180</v>
      </c>
      <c r="G2870" s="9">
        <v>7</v>
      </c>
      <c r="H2870" s="1">
        <v>194</v>
      </c>
      <c r="I2870" s="1">
        <v>431</v>
      </c>
      <c r="J2870" t="str">
        <f t="shared" si="44"/>
        <v>http://www.badatelna.eu/reprodukce/?fondId=1073&amp;zaznamId=1108959&amp;reproId=3780173</v>
      </c>
      <c r="K2870">
        <f>IF(LEN(TRIM(E2870))=0,"",VLOOKUP(E2870,Sheet2!$B$1:$E$19,2,FALSE))</f>
        <v>1073</v>
      </c>
      <c r="L2870">
        <f>IF(LEN(TRIM(E2870))=0,"",VLOOKUP(E2870,Sheet2!$B$1:$E$19,3,FALSE))</f>
        <v>1108959</v>
      </c>
      <c r="M2870">
        <f>IF(LEN(TRIM(E2870))=0,"",VLOOKUP(E2870,Sheet2!$B$1:$E$19,4,FALSE))+(F2870-1)</f>
        <v>3780173</v>
      </c>
    </row>
    <row r="2871" spans="1:13" ht="15" customHeight="1" x14ac:dyDescent="0.25">
      <c r="A2871" s="27" t="s">
        <v>92</v>
      </c>
      <c r="B2871" s="27" t="s">
        <v>652</v>
      </c>
      <c r="C2871" s="5" t="s">
        <v>1473</v>
      </c>
      <c r="D2871" s="3" t="s">
        <v>454</v>
      </c>
      <c r="E2871" s="3">
        <v>2170</v>
      </c>
      <c r="F2871" s="28">
        <v>40</v>
      </c>
      <c r="G2871" s="10">
        <v>36</v>
      </c>
      <c r="H2871" s="3">
        <v>73</v>
      </c>
      <c r="I2871" s="3">
        <v>69</v>
      </c>
      <c r="J2871" t="str">
        <f t="shared" si="44"/>
        <v>http://www.badatelna.eu/reprodukce/?fondId=1073&amp;zaznamId=1108956&amp;reproId=3779632</v>
      </c>
      <c r="K2871">
        <f>IF(LEN(TRIM(E2871))=0,"",VLOOKUP(E2871,Sheet2!$B$1:$E$19,2,FALSE))</f>
        <v>1073</v>
      </c>
      <c r="L2871">
        <f>IF(LEN(TRIM(E2871))=0,"",VLOOKUP(E2871,Sheet2!$B$1:$E$19,3,FALSE))</f>
        <v>1108956</v>
      </c>
      <c r="M2871">
        <f>IF(LEN(TRIM(E2871))=0,"",VLOOKUP(E2871,Sheet2!$B$1:$E$19,4,FALSE))+(F2871-1)</f>
        <v>3779632</v>
      </c>
    </row>
    <row r="2872" spans="1:13" ht="15" customHeight="1" x14ac:dyDescent="0.25">
      <c r="A2872" s="28" t="s">
        <v>92</v>
      </c>
      <c r="B2872" s="28" t="s">
        <v>82</v>
      </c>
      <c r="C2872" s="18" t="s">
        <v>2810</v>
      </c>
      <c r="D2872" s="1" t="s">
        <v>454</v>
      </c>
      <c r="E2872" s="1">
        <v>2173</v>
      </c>
      <c r="F2872" s="28">
        <v>200</v>
      </c>
      <c r="G2872" s="9">
        <v>10</v>
      </c>
      <c r="H2872" s="1" t="s">
        <v>3073</v>
      </c>
      <c r="I2872" s="1" t="s">
        <v>3073</v>
      </c>
      <c r="J2872" t="str">
        <f t="shared" si="44"/>
        <v>http://www.badatelna.eu/reprodukce/?fondId=1073&amp;zaznamId=1108959&amp;reproId=3780193</v>
      </c>
      <c r="K2872">
        <f>IF(LEN(TRIM(E2872))=0,"",VLOOKUP(E2872,Sheet2!$B$1:$E$19,2,FALSE))</f>
        <v>1073</v>
      </c>
      <c r="L2872">
        <f>IF(LEN(TRIM(E2872))=0,"",VLOOKUP(E2872,Sheet2!$B$1:$E$19,3,FALSE))</f>
        <v>1108959</v>
      </c>
      <c r="M2872">
        <f>IF(LEN(TRIM(E2872))=0,"",VLOOKUP(E2872,Sheet2!$B$1:$E$19,4,FALSE))+(F2872-1)</f>
        <v>3780193</v>
      </c>
    </row>
    <row r="2873" spans="1:13" ht="15" customHeight="1" x14ac:dyDescent="0.25">
      <c r="A2873" s="27" t="s">
        <v>653</v>
      </c>
      <c r="B2873" s="27" t="s">
        <v>575</v>
      </c>
      <c r="C2873" s="5" t="s">
        <v>1083</v>
      </c>
      <c r="D2873" s="3" t="s">
        <v>454</v>
      </c>
      <c r="E2873" s="3">
        <v>2170</v>
      </c>
      <c r="F2873" s="28">
        <v>20</v>
      </c>
      <c r="G2873" s="10">
        <v>16</v>
      </c>
      <c r="H2873" s="3">
        <v>73</v>
      </c>
      <c r="I2873" s="3">
        <v>69</v>
      </c>
      <c r="J2873" t="str">
        <f t="shared" si="44"/>
        <v>http://www.badatelna.eu/reprodukce/?fondId=1073&amp;zaznamId=1108956&amp;reproId=3779612</v>
      </c>
      <c r="K2873">
        <f>IF(LEN(TRIM(E2873))=0,"",VLOOKUP(E2873,Sheet2!$B$1:$E$19,2,FALSE))</f>
        <v>1073</v>
      </c>
      <c r="L2873">
        <f>IF(LEN(TRIM(E2873))=0,"",VLOOKUP(E2873,Sheet2!$B$1:$E$19,3,FALSE))</f>
        <v>1108956</v>
      </c>
      <c r="M2873">
        <f>IF(LEN(TRIM(E2873))=0,"",VLOOKUP(E2873,Sheet2!$B$1:$E$19,4,FALSE))+(F2873-1)</f>
        <v>3779612</v>
      </c>
    </row>
    <row r="2874" spans="1:13" ht="15" customHeight="1" x14ac:dyDescent="0.25">
      <c r="A2874" s="28" t="s">
        <v>94</v>
      </c>
      <c r="B2874" s="28" t="s">
        <v>33</v>
      </c>
      <c r="C2874" s="18" t="s">
        <v>2645</v>
      </c>
      <c r="D2874" s="1" t="s">
        <v>454</v>
      </c>
      <c r="E2874" s="1">
        <v>2173</v>
      </c>
      <c r="F2874" s="28">
        <v>221</v>
      </c>
      <c r="G2874" s="9">
        <v>49</v>
      </c>
      <c r="H2874" s="1" t="s">
        <v>3073</v>
      </c>
      <c r="I2874" s="1" t="s">
        <v>3073</v>
      </c>
      <c r="J2874" t="str">
        <f t="shared" si="44"/>
        <v>http://www.badatelna.eu/reprodukce/?fondId=1073&amp;zaznamId=1108959&amp;reproId=3780214</v>
      </c>
      <c r="K2874">
        <f>IF(LEN(TRIM(E2874))=0,"",VLOOKUP(E2874,Sheet2!$B$1:$E$19,2,FALSE))</f>
        <v>1073</v>
      </c>
      <c r="L2874">
        <f>IF(LEN(TRIM(E2874))=0,"",VLOOKUP(E2874,Sheet2!$B$1:$E$19,3,FALSE))</f>
        <v>1108959</v>
      </c>
      <c r="M2874">
        <f>IF(LEN(TRIM(E2874))=0,"",VLOOKUP(E2874,Sheet2!$B$1:$E$19,4,FALSE))+(F2874-1)</f>
        <v>3780214</v>
      </c>
    </row>
    <row r="2875" spans="1:13" ht="15" customHeight="1" x14ac:dyDescent="0.25">
      <c r="A2875" s="28" t="s">
        <v>94</v>
      </c>
      <c r="B2875" s="28" t="s">
        <v>33</v>
      </c>
      <c r="C2875" s="6" t="s">
        <v>2207</v>
      </c>
      <c r="D2875" s="1" t="s">
        <v>454</v>
      </c>
      <c r="E2875" s="1">
        <v>2173</v>
      </c>
      <c r="F2875" s="28">
        <v>180</v>
      </c>
      <c r="G2875" s="9">
        <v>7</v>
      </c>
      <c r="H2875" s="1">
        <v>194</v>
      </c>
      <c r="I2875" s="1">
        <v>431</v>
      </c>
      <c r="J2875" t="str">
        <f t="shared" si="44"/>
        <v>http://www.badatelna.eu/reprodukce/?fondId=1073&amp;zaznamId=1108959&amp;reproId=3780173</v>
      </c>
      <c r="K2875">
        <f>IF(LEN(TRIM(E2875))=0,"",VLOOKUP(E2875,Sheet2!$B$1:$E$19,2,FALSE))</f>
        <v>1073</v>
      </c>
      <c r="L2875">
        <f>IF(LEN(TRIM(E2875))=0,"",VLOOKUP(E2875,Sheet2!$B$1:$E$19,3,FALSE))</f>
        <v>1108959</v>
      </c>
      <c r="M2875">
        <f>IF(LEN(TRIM(E2875))=0,"",VLOOKUP(E2875,Sheet2!$B$1:$E$19,4,FALSE))+(F2875-1)</f>
        <v>3780173</v>
      </c>
    </row>
    <row r="2876" spans="1:13" ht="15" customHeight="1" x14ac:dyDescent="0.25">
      <c r="A2876" s="27" t="s">
        <v>94</v>
      </c>
      <c r="B2876" s="27" t="s">
        <v>613</v>
      </c>
      <c r="C2876" s="5" t="s">
        <v>1406</v>
      </c>
      <c r="D2876" s="3" t="s">
        <v>454</v>
      </c>
      <c r="E2876" s="3">
        <v>2170</v>
      </c>
      <c r="F2876" s="28">
        <v>52</v>
      </c>
      <c r="G2876" s="10">
        <v>48</v>
      </c>
      <c r="H2876" s="3">
        <v>73</v>
      </c>
      <c r="I2876" s="3">
        <v>69</v>
      </c>
      <c r="J2876" t="str">
        <f t="shared" si="44"/>
        <v>http://www.badatelna.eu/reprodukce/?fondId=1073&amp;zaznamId=1108956&amp;reproId=3779644</v>
      </c>
      <c r="K2876">
        <f>IF(LEN(TRIM(E2876))=0,"",VLOOKUP(E2876,Sheet2!$B$1:$E$19,2,FALSE))</f>
        <v>1073</v>
      </c>
      <c r="L2876">
        <f>IF(LEN(TRIM(E2876))=0,"",VLOOKUP(E2876,Sheet2!$B$1:$E$19,3,FALSE))</f>
        <v>1108956</v>
      </c>
      <c r="M2876">
        <f>IF(LEN(TRIM(E2876))=0,"",VLOOKUP(E2876,Sheet2!$B$1:$E$19,4,FALSE))+(F2876-1)</f>
        <v>3779644</v>
      </c>
    </row>
    <row r="2877" spans="1:13" ht="15" customHeight="1" x14ac:dyDescent="0.25">
      <c r="A2877" s="28" t="s">
        <v>94</v>
      </c>
      <c r="B2877" s="28" t="s">
        <v>40</v>
      </c>
      <c r="C2877" s="6" t="s">
        <v>2438</v>
      </c>
      <c r="D2877" s="1" t="s">
        <v>454</v>
      </c>
      <c r="E2877" s="1">
        <v>2173</v>
      </c>
      <c r="F2877" s="28">
        <v>203</v>
      </c>
      <c r="G2877" s="1">
        <v>16</v>
      </c>
      <c r="H2877" s="1" t="s">
        <v>3073</v>
      </c>
      <c r="I2877" s="1" t="s">
        <v>3073</v>
      </c>
      <c r="J2877" t="str">
        <f t="shared" si="44"/>
        <v>http://www.badatelna.eu/reprodukce/?fondId=1073&amp;zaznamId=1108959&amp;reproId=3780196</v>
      </c>
      <c r="K2877">
        <f>IF(LEN(TRIM(E2877))=0,"",VLOOKUP(E2877,Sheet2!$B$1:$E$19,2,FALSE))</f>
        <v>1073</v>
      </c>
      <c r="L2877">
        <f>IF(LEN(TRIM(E2877))=0,"",VLOOKUP(E2877,Sheet2!$B$1:$E$19,3,FALSE))</f>
        <v>1108959</v>
      </c>
      <c r="M2877">
        <f>IF(LEN(TRIM(E2877))=0,"",VLOOKUP(E2877,Sheet2!$B$1:$E$19,4,FALSE))+(F2877-1)</f>
        <v>3780196</v>
      </c>
    </row>
    <row r="2878" spans="1:13" ht="15" customHeight="1" x14ac:dyDescent="0.25">
      <c r="A2878" s="28" t="s">
        <v>94</v>
      </c>
      <c r="B2878" s="28" t="s">
        <v>106</v>
      </c>
      <c r="C2878" s="6" t="s">
        <v>2209</v>
      </c>
      <c r="D2878" s="1" t="s">
        <v>454</v>
      </c>
      <c r="E2878" s="1">
        <v>2173</v>
      </c>
      <c r="F2878" s="28">
        <v>211</v>
      </c>
      <c r="G2878" s="9" t="s">
        <v>2760</v>
      </c>
      <c r="H2878" s="1" t="s">
        <v>3073</v>
      </c>
      <c r="I2878" s="1" t="s">
        <v>3073</v>
      </c>
      <c r="J2878" t="str">
        <f t="shared" si="44"/>
        <v>http://www.badatelna.eu/reprodukce/?fondId=1073&amp;zaznamId=1108959&amp;reproId=3780204</v>
      </c>
      <c r="K2878">
        <f>IF(LEN(TRIM(E2878))=0,"",VLOOKUP(E2878,Sheet2!$B$1:$E$19,2,FALSE))</f>
        <v>1073</v>
      </c>
      <c r="L2878">
        <f>IF(LEN(TRIM(E2878))=0,"",VLOOKUP(E2878,Sheet2!$B$1:$E$19,3,FALSE))</f>
        <v>1108959</v>
      </c>
      <c r="M2878">
        <f>IF(LEN(TRIM(E2878))=0,"",VLOOKUP(E2878,Sheet2!$B$1:$E$19,4,FALSE))+(F2878-1)</f>
        <v>3780204</v>
      </c>
    </row>
    <row r="2879" spans="1:13" ht="15" customHeight="1" x14ac:dyDescent="0.25">
      <c r="A2879" s="28" t="s">
        <v>94</v>
      </c>
      <c r="B2879" s="28" t="s">
        <v>106</v>
      </c>
      <c r="C2879" s="6" t="s">
        <v>2208</v>
      </c>
      <c r="D2879" s="1" t="s">
        <v>454</v>
      </c>
      <c r="E2879" s="1">
        <v>2173</v>
      </c>
      <c r="F2879" s="28">
        <v>182</v>
      </c>
      <c r="G2879" s="9">
        <v>10</v>
      </c>
      <c r="H2879" s="1">
        <v>194</v>
      </c>
      <c r="I2879" s="1">
        <v>431</v>
      </c>
      <c r="J2879" t="str">
        <f t="shared" si="44"/>
        <v>http://www.badatelna.eu/reprodukce/?fondId=1073&amp;zaznamId=1108959&amp;reproId=3780175</v>
      </c>
      <c r="K2879">
        <f>IF(LEN(TRIM(E2879))=0,"",VLOOKUP(E2879,Sheet2!$B$1:$E$19,2,FALSE))</f>
        <v>1073</v>
      </c>
      <c r="L2879">
        <f>IF(LEN(TRIM(E2879))=0,"",VLOOKUP(E2879,Sheet2!$B$1:$E$19,3,FALSE))</f>
        <v>1108959</v>
      </c>
      <c r="M2879">
        <f>IF(LEN(TRIM(E2879))=0,"",VLOOKUP(E2879,Sheet2!$B$1:$E$19,4,FALSE))+(F2879-1)</f>
        <v>3780175</v>
      </c>
    </row>
    <row r="2880" spans="1:13" ht="15" customHeight="1" x14ac:dyDescent="0.25">
      <c r="A2880" s="28" t="s">
        <v>94</v>
      </c>
      <c r="B2880" s="28" t="s">
        <v>135</v>
      </c>
      <c r="C2880" s="1">
        <v>1891</v>
      </c>
      <c r="D2880" s="1" t="s">
        <v>454</v>
      </c>
      <c r="E2880" s="1">
        <v>2172</v>
      </c>
      <c r="F2880" s="28">
        <v>81</v>
      </c>
      <c r="G2880" s="9">
        <v>80</v>
      </c>
      <c r="H2880" s="1">
        <v>84</v>
      </c>
      <c r="I2880" s="1">
        <v>83</v>
      </c>
      <c r="J2880" t="str">
        <f t="shared" si="44"/>
        <v>http://www.badatelna.eu/reprodukce/?fondId=1073&amp;zaznamId=1108958&amp;reproId=3779822</v>
      </c>
      <c r="K2880">
        <f>IF(LEN(TRIM(E2880))=0,"",VLOOKUP(E2880,Sheet2!$B$1:$E$19,2,FALSE))</f>
        <v>1073</v>
      </c>
      <c r="L2880">
        <f>IF(LEN(TRIM(E2880))=0,"",VLOOKUP(E2880,Sheet2!$B$1:$E$19,3,FALSE))</f>
        <v>1108958</v>
      </c>
      <c r="M2880">
        <f>IF(LEN(TRIM(E2880))=0,"",VLOOKUP(E2880,Sheet2!$B$1:$E$19,4,FALSE))+(F2880-1)</f>
        <v>3779822</v>
      </c>
    </row>
    <row r="2881" spans="1:13" ht="15" customHeight="1" x14ac:dyDescent="0.25">
      <c r="A2881" s="27" t="s">
        <v>94</v>
      </c>
      <c r="B2881" s="27" t="s">
        <v>343</v>
      </c>
      <c r="C2881" s="5" t="s">
        <v>1438</v>
      </c>
      <c r="D2881" s="3" t="s">
        <v>454</v>
      </c>
      <c r="E2881" s="3">
        <v>2170</v>
      </c>
      <c r="F2881" s="28">
        <v>39</v>
      </c>
      <c r="G2881" s="10">
        <v>35</v>
      </c>
      <c r="H2881" s="3">
        <v>73</v>
      </c>
      <c r="I2881" s="3">
        <v>69</v>
      </c>
      <c r="J2881" t="str">
        <f t="shared" si="44"/>
        <v>http://www.badatelna.eu/reprodukce/?fondId=1073&amp;zaznamId=1108956&amp;reproId=3779631</v>
      </c>
      <c r="K2881">
        <f>IF(LEN(TRIM(E2881))=0,"",VLOOKUP(E2881,Sheet2!$B$1:$E$19,2,FALSE))</f>
        <v>1073</v>
      </c>
      <c r="L2881">
        <f>IF(LEN(TRIM(E2881))=0,"",VLOOKUP(E2881,Sheet2!$B$1:$E$19,3,FALSE))</f>
        <v>1108956</v>
      </c>
      <c r="M2881">
        <f>IF(LEN(TRIM(E2881))=0,"",VLOOKUP(E2881,Sheet2!$B$1:$E$19,4,FALSE))+(F2881-1)</f>
        <v>3779631</v>
      </c>
    </row>
    <row r="2882" spans="1:13" ht="15" customHeight="1" x14ac:dyDescent="0.25">
      <c r="A2882" s="28" t="s">
        <v>94</v>
      </c>
      <c r="B2882" s="28" t="s">
        <v>65</v>
      </c>
      <c r="C2882" s="6" t="s">
        <v>2305</v>
      </c>
      <c r="D2882" s="1" t="s">
        <v>454</v>
      </c>
      <c r="E2882" s="1">
        <v>2173</v>
      </c>
      <c r="F2882" s="28">
        <v>198</v>
      </c>
      <c r="G2882" s="9">
        <v>5</v>
      </c>
      <c r="H2882" s="1" t="s">
        <v>3073</v>
      </c>
      <c r="I2882" s="1" t="s">
        <v>3073</v>
      </c>
      <c r="J2882" t="str">
        <f t="shared" si="44"/>
        <v>http://www.badatelna.eu/reprodukce/?fondId=1073&amp;zaznamId=1108959&amp;reproId=3780191</v>
      </c>
      <c r="K2882">
        <f>IF(LEN(TRIM(E2882))=0,"",VLOOKUP(E2882,Sheet2!$B$1:$E$19,2,FALSE))</f>
        <v>1073</v>
      </c>
      <c r="L2882">
        <f>IF(LEN(TRIM(E2882))=0,"",VLOOKUP(E2882,Sheet2!$B$1:$E$19,3,FALSE))</f>
        <v>1108959</v>
      </c>
      <c r="M2882">
        <f>IF(LEN(TRIM(E2882))=0,"",VLOOKUP(E2882,Sheet2!$B$1:$E$19,4,FALSE))+(F2882-1)</f>
        <v>3780191</v>
      </c>
    </row>
    <row r="2883" spans="1:13" ht="15" customHeight="1" x14ac:dyDescent="0.25">
      <c r="A2883" s="28" t="s">
        <v>94</v>
      </c>
      <c r="B2883" s="28" t="s">
        <v>65</v>
      </c>
      <c r="C2883" s="6" t="s">
        <v>2683</v>
      </c>
      <c r="D2883" s="1" t="s">
        <v>454</v>
      </c>
      <c r="E2883" s="1">
        <v>2173</v>
      </c>
      <c r="F2883" s="28">
        <v>223</v>
      </c>
      <c r="G2883" s="9">
        <v>52</v>
      </c>
      <c r="H2883" s="1" t="s">
        <v>3073</v>
      </c>
      <c r="I2883" s="1" t="s">
        <v>3073</v>
      </c>
      <c r="J2883" t="str">
        <f t="shared" ref="J2883:J2946" si="45">IF(LEN(TRIM(E2883))=0,"","http://www.badatelna.eu/reprodukce/?fondId="&amp;K2883&amp;"&amp;zaznamId="&amp;L2883&amp;"&amp;reproId="&amp;M2883)</f>
        <v>http://www.badatelna.eu/reprodukce/?fondId=1073&amp;zaznamId=1108959&amp;reproId=3780216</v>
      </c>
      <c r="K2883">
        <f>IF(LEN(TRIM(E2883))=0,"",VLOOKUP(E2883,Sheet2!$B$1:$E$19,2,FALSE))</f>
        <v>1073</v>
      </c>
      <c r="L2883">
        <f>IF(LEN(TRIM(E2883))=0,"",VLOOKUP(E2883,Sheet2!$B$1:$E$19,3,FALSE))</f>
        <v>1108959</v>
      </c>
      <c r="M2883">
        <f>IF(LEN(TRIM(E2883))=0,"",VLOOKUP(E2883,Sheet2!$B$1:$E$19,4,FALSE))+(F2883-1)</f>
        <v>3780216</v>
      </c>
    </row>
    <row r="2884" spans="1:13" ht="15" customHeight="1" x14ac:dyDescent="0.25">
      <c r="A2884" s="28"/>
      <c r="B2884" s="28"/>
      <c r="C2884" s="38" t="s">
        <v>3141</v>
      </c>
      <c r="D2884" s="1"/>
      <c r="E2884" s="1"/>
      <c r="F2884" s="28"/>
      <c r="G2884" s="9"/>
      <c r="H2884" s="1"/>
      <c r="I2884" s="1"/>
      <c r="J2884" t="str">
        <f t="shared" si="45"/>
        <v/>
      </c>
      <c r="K2884" t="str">
        <f>IF(LEN(TRIM(E2884))=0,"",VLOOKUP(E2884,Sheet2!$B$1:$E$19,2,FALSE))</f>
        <v/>
      </c>
      <c r="L2884" t="str">
        <f>IF(LEN(TRIM(E2884))=0,"",VLOOKUP(E2884,Sheet2!$B$1:$E$19,3,FALSE))</f>
        <v/>
      </c>
      <c r="M2884" t="e">
        <f>IF(LEN(TRIM(E2884))=0,"",VLOOKUP(E2884,Sheet2!$B$1:$E$19,4,FALSE))+(F2884-1)</f>
        <v>#VALUE!</v>
      </c>
    </row>
    <row r="2885" spans="1:13" ht="15" customHeight="1" x14ac:dyDescent="0.25">
      <c r="A2885" s="28" t="s">
        <v>748</v>
      </c>
      <c r="B2885" s="28" t="s">
        <v>498</v>
      </c>
      <c r="C2885" s="6" t="s">
        <v>1706</v>
      </c>
      <c r="D2885" s="1" t="s">
        <v>454</v>
      </c>
      <c r="E2885" s="1">
        <v>2172</v>
      </c>
      <c r="F2885" s="28">
        <v>113</v>
      </c>
      <c r="G2885" s="9" t="s">
        <v>2769</v>
      </c>
      <c r="H2885" s="1">
        <v>117</v>
      </c>
      <c r="I2885" s="1">
        <v>116</v>
      </c>
      <c r="J2885" t="str">
        <f t="shared" si="45"/>
        <v>http://www.badatelna.eu/reprodukce/?fondId=1073&amp;zaznamId=1108958&amp;reproId=3779854</v>
      </c>
      <c r="K2885">
        <f>IF(LEN(TRIM(E2885))=0,"",VLOOKUP(E2885,Sheet2!$B$1:$E$19,2,FALSE))</f>
        <v>1073</v>
      </c>
      <c r="L2885">
        <f>IF(LEN(TRIM(E2885))=0,"",VLOOKUP(E2885,Sheet2!$B$1:$E$19,3,FALSE))</f>
        <v>1108958</v>
      </c>
      <c r="M2885">
        <f>IF(LEN(TRIM(E2885))=0,"",VLOOKUP(E2885,Sheet2!$B$1:$E$19,4,FALSE))+(F2885-1)</f>
        <v>3779854</v>
      </c>
    </row>
    <row r="2886" spans="1:13" ht="15" customHeight="1" x14ac:dyDescent="0.25">
      <c r="A2886" s="28" t="s">
        <v>748</v>
      </c>
      <c r="B2886" s="28" t="s">
        <v>632</v>
      </c>
      <c r="C2886" s="6" t="s">
        <v>1668</v>
      </c>
      <c r="D2886" s="1" t="s">
        <v>454</v>
      </c>
      <c r="E2886" s="1">
        <v>2172</v>
      </c>
      <c r="F2886" s="28">
        <v>100</v>
      </c>
      <c r="G2886" s="9">
        <v>99</v>
      </c>
      <c r="H2886" s="1">
        <v>104</v>
      </c>
      <c r="I2886" s="1">
        <v>103</v>
      </c>
      <c r="J2886" t="str">
        <f t="shared" si="45"/>
        <v>http://www.badatelna.eu/reprodukce/?fondId=1073&amp;zaznamId=1108958&amp;reproId=3779841</v>
      </c>
      <c r="K2886">
        <f>IF(LEN(TRIM(E2886))=0,"",VLOOKUP(E2886,Sheet2!$B$1:$E$19,2,FALSE))</f>
        <v>1073</v>
      </c>
      <c r="L2886">
        <f>IF(LEN(TRIM(E2886))=0,"",VLOOKUP(E2886,Sheet2!$B$1:$E$19,3,FALSE))</f>
        <v>1108958</v>
      </c>
      <c r="M2886">
        <f>IF(LEN(TRIM(E2886))=0,"",VLOOKUP(E2886,Sheet2!$B$1:$E$19,4,FALSE))+(F2886-1)</f>
        <v>3779841</v>
      </c>
    </row>
    <row r="2887" spans="1:13" ht="15" customHeight="1" x14ac:dyDescent="0.25">
      <c r="A2887" s="28" t="s">
        <v>748</v>
      </c>
      <c r="B2887" s="28" t="s">
        <v>749</v>
      </c>
      <c r="C2887" s="6" t="s">
        <v>1851</v>
      </c>
      <c r="D2887" s="1" t="s">
        <v>454</v>
      </c>
      <c r="E2887" s="1">
        <v>2172</v>
      </c>
      <c r="F2887" s="28">
        <v>179</v>
      </c>
      <c r="G2887" s="9">
        <v>172</v>
      </c>
      <c r="H2887" s="1" t="s">
        <v>3073</v>
      </c>
      <c r="I2887" s="1" t="s">
        <v>3073</v>
      </c>
      <c r="J2887" t="str">
        <f t="shared" si="45"/>
        <v>http://www.badatelna.eu/reprodukce/?fondId=1073&amp;zaznamId=1108958&amp;reproId=3779920</v>
      </c>
      <c r="K2887">
        <f>IF(LEN(TRIM(E2887))=0,"",VLOOKUP(E2887,Sheet2!$B$1:$E$19,2,FALSE))</f>
        <v>1073</v>
      </c>
      <c r="L2887">
        <f>IF(LEN(TRIM(E2887))=0,"",VLOOKUP(E2887,Sheet2!$B$1:$E$19,3,FALSE))</f>
        <v>1108958</v>
      </c>
      <c r="M2887">
        <f>IF(LEN(TRIM(E2887))=0,"",VLOOKUP(E2887,Sheet2!$B$1:$E$19,4,FALSE))+(F2887-1)</f>
        <v>3779920</v>
      </c>
    </row>
    <row r="2888" spans="1:13" ht="15" customHeight="1" x14ac:dyDescent="0.25">
      <c r="A2888" s="28" t="s">
        <v>750</v>
      </c>
      <c r="B2888" s="28" t="s">
        <v>528</v>
      </c>
      <c r="C2888" s="15">
        <v>3810</v>
      </c>
      <c r="D2888" s="1" t="s">
        <v>454</v>
      </c>
      <c r="E2888" s="1">
        <v>2172</v>
      </c>
      <c r="F2888" s="28">
        <v>176</v>
      </c>
      <c r="G2888" s="9">
        <v>169</v>
      </c>
      <c r="H2888" s="1" t="s">
        <v>3073</v>
      </c>
      <c r="I2888" s="1" t="s">
        <v>3073</v>
      </c>
      <c r="J2888" t="str">
        <f t="shared" si="45"/>
        <v>http://www.badatelna.eu/reprodukce/?fondId=1073&amp;zaznamId=1108958&amp;reproId=3779917</v>
      </c>
      <c r="K2888">
        <f>IF(LEN(TRIM(E2888))=0,"",VLOOKUP(E2888,Sheet2!$B$1:$E$19,2,FALSE))</f>
        <v>1073</v>
      </c>
      <c r="L2888">
        <f>IF(LEN(TRIM(E2888))=0,"",VLOOKUP(E2888,Sheet2!$B$1:$E$19,3,FALSE))</f>
        <v>1108958</v>
      </c>
      <c r="M2888">
        <f>IF(LEN(TRIM(E2888))=0,"",VLOOKUP(E2888,Sheet2!$B$1:$E$19,4,FALSE))+(F2888-1)</f>
        <v>3779917</v>
      </c>
    </row>
    <row r="2889" spans="1:13" ht="15" customHeight="1" x14ac:dyDescent="0.25">
      <c r="A2889" s="29" t="s">
        <v>3022</v>
      </c>
      <c r="B2889" s="29" t="s">
        <v>3023</v>
      </c>
      <c r="C2889" s="1">
        <v>1852</v>
      </c>
      <c r="D2889" s="1" t="s">
        <v>2919</v>
      </c>
      <c r="E2889" s="1">
        <v>998</v>
      </c>
      <c r="F2889" s="28">
        <v>35</v>
      </c>
      <c r="G2889" s="1">
        <v>33</v>
      </c>
      <c r="H2889" s="1">
        <v>81</v>
      </c>
      <c r="I2889" s="1">
        <v>79</v>
      </c>
      <c r="J2889" t="str">
        <f t="shared" si="45"/>
        <v>http://www.badatelna.eu/reprodukce/?fondId=241&amp;zaznamId=1133738&amp;reproId=3885681</v>
      </c>
      <c r="K2889">
        <f>IF(LEN(TRIM(E2889))=0,"",VLOOKUP(E2889,Sheet2!$B$1:$E$19,2,FALSE))</f>
        <v>241</v>
      </c>
      <c r="L2889">
        <f>IF(LEN(TRIM(E2889))=0,"",VLOOKUP(E2889,Sheet2!$B$1:$E$19,3,FALSE))</f>
        <v>1133738</v>
      </c>
      <c r="M2889">
        <f>IF(LEN(TRIM(E2889))=0,"",VLOOKUP(E2889,Sheet2!$B$1:$E$19,4,FALSE))+(F2889-1)</f>
        <v>3885681</v>
      </c>
    </row>
    <row r="2890" spans="1:13" ht="15" customHeight="1" x14ac:dyDescent="0.25">
      <c r="A2890" s="28" t="s">
        <v>384</v>
      </c>
      <c r="B2890" s="28" t="s">
        <v>385</v>
      </c>
      <c r="C2890" s="6" t="s">
        <v>2209</v>
      </c>
      <c r="D2890" s="1" t="s">
        <v>454</v>
      </c>
      <c r="E2890" s="1">
        <v>2173</v>
      </c>
      <c r="F2890" s="28">
        <v>182</v>
      </c>
      <c r="G2890" s="9">
        <v>10</v>
      </c>
      <c r="H2890" s="1">
        <v>194</v>
      </c>
      <c r="I2890" s="1">
        <v>431</v>
      </c>
      <c r="J2890" t="str">
        <f t="shared" si="45"/>
        <v>http://www.badatelna.eu/reprodukce/?fondId=1073&amp;zaznamId=1108959&amp;reproId=3780175</v>
      </c>
      <c r="K2890">
        <f>IF(LEN(TRIM(E2890))=0,"",VLOOKUP(E2890,Sheet2!$B$1:$E$19,2,FALSE))</f>
        <v>1073</v>
      </c>
      <c r="L2890">
        <f>IF(LEN(TRIM(E2890))=0,"",VLOOKUP(E2890,Sheet2!$B$1:$E$19,3,FALSE))</f>
        <v>1108959</v>
      </c>
      <c r="M2890">
        <f>IF(LEN(TRIM(E2890))=0,"",VLOOKUP(E2890,Sheet2!$B$1:$E$19,4,FALSE))+(F2890-1)</f>
        <v>3780175</v>
      </c>
    </row>
    <row r="2891" spans="1:13" ht="15" customHeight="1" x14ac:dyDescent="0.25">
      <c r="A2891" s="28" t="s">
        <v>245</v>
      </c>
      <c r="B2891" s="28" t="s">
        <v>465</v>
      </c>
      <c r="C2891" s="6" t="s">
        <v>1729</v>
      </c>
      <c r="D2891" s="1" t="s">
        <v>454</v>
      </c>
      <c r="E2891" s="1">
        <v>2172</v>
      </c>
      <c r="F2891" s="28">
        <v>122</v>
      </c>
      <c r="G2891" s="9">
        <v>121</v>
      </c>
      <c r="H2891" s="1">
        <v>124</v>
      </c>
      <c r="I2891" s="1">
        <v>123</v>
      </c>
      <c r="J2891" t="str">
        <f t="shared" si="45"/>
        <v>http://www.badatelna.eu/reprodukce/?fondId=1073&amp;zaznamId=1108958&amp;reproId=3779863</v>
      </c>
      <c r="K2891">
        <f>IF(LEN(TRIM(E2891))=0,"",VLOOKUP(E2891,Sheet2!$B$1:$E$19,2,FALSE))</f>
        <v>1073</v>
      </c>
      <c r="L2891">
        <f>IF(LEN(TRIM(E2891))=0,"",VLOOKUP(E2891,Sheet2!$B$1:$E$19,3,FALSE))</f>
        <v>1108958</v>
      </c>
      <c r="M2891">
        <f>IF(LEN(TRIM(E2891))=0,"",VLOOKUP(E2891,Sheet2!$B$1:$E$19,4,FALSE))+(F2891-1)</f>
        <v>3779863</v>
      </c>
    </row>
    <row r="2892" spans="1:13" s="1" customFormat="1" ht="15" customHeight="1" x14ac:dyDescent="0.25">
      <c r="A2892" s="28" t="s">
        <v>245</v>
      </c>
      <c r="B2892" s="28" t="s">
        <v>493</v>
      </c>
      <c r="C2892" s="1">
        <v>1865</v>
      </c>
      <c r="D2892" s="1" t="s">
        <v>2919</v>
      </c>
      <c r="E2892" s="1">
        <v>999</v>
      </c>
      <c r="F2892" s="28">
        <v>87</v>
      </c>
      <c r="G2892" s="1">
        <v>8</v>
      </c>
      <c r="H2892" s="1">
        <v>111</v>
      </c>
      <c r="I2892" s="1">
        <v>171</v>
      </c>
      <c r="J2892" t="str">
        <f t="shared" si="45"/>
        <v>http://www.badatelna.eu/reprodukce/?fondId=241&amp;zaznamId=1133739&amp;reproId=3885816</v>
      </c>
      <c r="K2892">
        <f>IF(LEN(TRIM(E2892))=0,"",VLOOKUP(E2892,Sheet2!$B$1:$E$19,2,FALSE))</f>
        <v>241</v>
      </c>
      <c r="L2892">
        <f>IF(LEN(TRIM(E2892))=0,"",VLOOKUP(E2892,Sheet2!$B$1:$E$19,3,FALSE))</f>
        <v>1133739</v>
      </c>
      <c r="M2892">
        <f>IF(LEN(TRIM(E2892))=0,"",VLOOKUP(E2892,Sheet2!$B$1:$E$19,4,FALSE))+(F2892-1)</f>
        <v>3885816</v>
      </c>
    </row>
    <row r="2893" spans="1:13" ht="15" customHeight="1" x14ac:dyDescent="0.25">
      <c r="A2893" s="27" t="s">
        <v>245</v>
      </c>
      <c r="B2893" s="27" t="s">
        <v>493</v>
      </c>
      <c r="C2893" s="5" t="s">
        <v>1455</v>
      </c>
      <c r="D2893" s="3" t="s">
        <v>454</v>
      </c>
      <c r="E2893" s="3">
        <v>2170</v>
      </c>
      <c r="F2893" s="28">
        <v>13</v>
      </c>
      <c r="G2893" s="10">
        <v>9</v>
      </c>
      <c r="H2893" s="3">
        <v>73</v>
      </c>
      <c r="I2893" s="3">
        <v>69</v>
      </c>
      <c r="J2893" t="str">
        <f t="shared" si="45"/>
        <v>http://www.badatelna.eu/reprodukce/?fondId=1073&amp;zaznamId=1108956&amp;reproId=3779605</v>
      </c>
      <c r="K2893">
        <f>IF(LEN(TRIM(E2893))=0,"",VLOOKUP(E2893,Sheet2!$B$1:$E$19,2,FALSE))</f>
        <v>1073</v>
      </c>
      <c r="L2893">
        <f>IF(LEN(TRIM(E2893))=0,"",VLOOKUP(E2893,Sheet2!$B$1:$E$19,3,FALSE))</f>
        <v>1108956</v>
      </c>
      <c r="M2893">
        <f>IF(LEN(TRIM(E2893))=0,"",VLOOKUP(E2893,Sheet2!$B$1:$E$19,4,FALSE))+(F2893-1)</f>
        <v>3779605</v>
      </c>
    </row>
    <row r="2894" spans="1:13" ht="15" customHeight="1" x14ac:dyDescent="0.25">
      <c r="A2894" s="28" t="s">
        <v>245</v>
      </c>
      <c r="B2894" s="28" t="s">
        <v>365</v>
      </c>
      <c r="C2894" s="6" t="s">
        <v>2210</v>
      </c>
      <c r="D2894" s="1" t="s">
        <v>454</v>
      </c>
      <c r="E2894" s="1">
        <v>2173</v>
      </c>
      <c r="F2894" s="28">
        <v>181</v>
      </c>
      <c r="G2894" s="9">
        <v>9</v>
      </c>
      <c r="H2894" s="1">
        <v>194</v>
      </c>
      <c r="I2894" s="1">
        <v>431</v>
      </c>
      <c r="J2894" t="str">
        <f t="shared" si="45"/>
        <v>http://www.badatelna.eu/reprodukce/?fondId=1073&amp;zaznamId=1108959&amp;reproId=3780174</v>
      </c>
      <c r="K2894">
        <f>IF(LEN(TRIM(E2894))=0,"",VLOOKUP(E2894,Sheet2!$B$1:$E$19,2,FALSE))</f>
        <v>1073</v>
      </c>
      <c r="L2894">
        <f>IF(LEN(TRIM(E2894))=0,"",VLOOKUP(E2894,Sheet2!$B$1:$E$19,3,FALSE))</f>
        <v>1108959</v>
      </c>
      <c r="M2894">
        <f>IF(LEN(TRIM(E2894))=0,"",VLOOKUP(E2894,Sheet2!$B$1:$E$19,4,FALSE))+(F2894-1)</f>
        <v>3780174</v>
      </c>
    </row>
    <row r="2895" spans="1:13" ht="15" customHeight="1" x14ac:dyDescent="0.25">
      <c r="A2895" s="28" t="s">
        <v>245</v>
      </c>
      <c r="B2895" s="28" t="s">
        <v>198</v>
      </c>
      <c r="C2895" s="1">
        <v>1857</v>
      </c>
      <c r="D2895" s="1" t="s">
        <v>2919</v>
      </c>
      <c r="E2895" s="1">
        <v>998</v>
      </c>
      <c r="F2895" s="28">
        <v>52</v>
      </c>
      <c r="G2895" s="1">
        <v>50</v>
      </c>
      <c r="H2895" s="1">
        <v>81</v>
      </c>
      <c r="I2895" s="1">
        <v>79</v>
      </c>
      <c r="J2895" t="str">
        <f t="shared" si="45"/>
        <v>http://www.badatelna.eu/reprodukce/?fondId=241&amp;zaznamId=1133738&amp;reproId=3885698</v>
      </c>
      <c r="K2895">
        <f>IF(LEN(TRIM(E2895))=0,"",VLOOKUP(E2895,Sheet2!$B$1:$E$19,2,FALSE))</f>
        <v>241</v>
      </c>
      <c r="L2895">
        <f>IF(LEN(TRIM(E2895))=0,"",VLOOKUP(E2895,Sheet2!$B$1:$E$19,3,FALSE))</f>
        <v>1133738</v>
      </c>
      <c r="M2895">
        <f>IF(LEN(TRIM(E2895))=0,"",VLOOKUP(E2895,Sheet2!$B$1:$E$19,4,FALSE))+(F2895-1)</f>
        <v>3885698</v>
      </c>
    </row>
    <row r="2896" spans="1:13" ht="15" customHeight="1" x14ac:dyDescent="0.25">
      <c r="A2896" s="28" t="s">
        <v>245</v>
      </c>
      <c r="B2896" s="28" t="s">
        <v>198</v>
      </c>
      <c r="C2896" s="6" t="s">
        <v>1669</v>
      </c>
      <c r="D2896" s="1" t="s">
        <v>454</v>
      </c>
      <c r="E2896" s="1">
        <v>2172</v>
      </c>
      <c r="F2896" s="28">
        <v>100</v>
      </c>
      <c r="G2896" s="9">
        <v>99</v>
      </c>
      <c r="H2896" s="1">
        <v>104</v>
      </c>
      <c r="I2896" s="1">
        <v>103</v>
      </c>
      <c r="J2896" t="str">
        <f t="shared" si="45"/>
        <v>http://www.badatelna.eu/reprodukce/?fondId=1073&amp;zaznamId=1108958&amp;reproId=3779841</v>
      </c>
      <c r="K2896">
        <f>IF(LEN(TRIM(E2896))=0,"",VLOOKUP(E2896,Sheet2!$B$1:$E$19,2,FALSE))</f>
        <v>1073</v>
      </c>
      <c r="L2896">
        <f>IF(LEN(TRIM(E2896))=0,"",VLOOKUP(E2896,Sheet2!$B$1:$E$19,3,FALSE))</f>
        <v>1108958</v>
      </c>
      <c r="M2896">
        <f>IF(LEN(TRIM(E2896))=0,"",VLOOKUP(E2896,Sheet2!$B$1:$E$19,4,FALSE))+(F2896-1)</f>
        <v>3779841</v>
      </c>
    </row>
    <row r="2897" spans="1:13" ht="15" customHeight="1" x14ac:dyDescent="0.25">
      <c r="A2897" s="28" t="s">
        <v>245</v>
      </c>
      <c r="B2897" s="28" t="s">
        <v>16</v>
      </c>
      <c r="C2897" s="6" t="s">
        <v>2569</v>
      </c>
      <c r="D2897" s="1" t="s">
        <v>454</v>
      </c>
      <c r="E2897" s="1">
        <v>2173</v>
      </c>
      <c r="F2897" s="28">
        <v>208</v>
      </c>
      <c r="G2897" s="1">
        <v>26</v>
      </c>
      <c r="H2897" s="1" t="s">
        <v>3073</v>
      </c>
      <c r="I2897" s="1" t="s">
        <v>3073</v>
      </c>
      <c r="J2897" t="str">
        <f t="shared" si="45"/>
        <v>http://www.badatelna.eu/reprodukce/?fondId=1073&amp;zaznamId=1108959&amp;reproId=3780201</v>
      </c>
      <c r="K2897">
        <f>IF(LEN(TRIM(E2897))=0,"",VLOOKUP(E2897,Sheet2!$B$1:$E$19,2,FALSE))</f>
        <v>1073</v>
      </c>
      <c r="L2897">
        <f>IF(LEN(TRIM(E2897))=0,"",VLOOKUP(E2897,Sheet2!$B$1:$E$19,3,FALSE))</f>
        <v>1108959</v>
      </c>
      <c r="M2897">
        <f>IF(LEN(TRIM(E2897))=0,"",VLOOKUP(E2897,Sheet2!$B$1:$E$19,4,FALSE))+(F2897-1)</f>
        <v>3780201</v>
      </c>
    </row>
    <row r="2898" spans="1:13" ht="15" customHeight="1" x14ac:dyDescent="0.25">
      <c r="A2898" s="28" t="s">
        <v>245</v>
      </c>
      <c r="B2898" s="28" t="s">
        <v>471</v>
      </c>
      <c r="C2898" s="1">
        <v>1866</v>
      </c>
      <c r="D2898" s="1" t="s">
        <v>2919</v>
      </c>
      <c r="E2898" s="1">
        <v>999</v>
      </c>
      <c r="F2898" s="28">
        <v>93</v>
      </c>
      <c r="G2898" s="1">
        <v>14</v>
      </c>
      <c r="H2898" s="1">
        <v>111</v>
      </c>
      <c r="I2898" s="1">
        <v>171</v>
      </c>
      <c r="J2898" t="str">
        <f t="shared" si="45"/>
        <v>http://www.badatelna.eu/reprodukce/?fondId=241&amp;zaznamId=1133739&amp;reproId=3885822</v>
      </c>
      <c r="K2898">
        <f>IF(LEN(TRIM(E2898))=0,"",VLOOKUP(E2898,Sheet2!$B$1:$E$19,2,FALSE))</f>
        <v>241</v>
      </c>
      <c r="L2898">
        <f>IF(LEN(TRIM(E2898))=0,"",VLOOKUP(E2898,Sheet2!$B$1:$E$19,3,FALSE))</f>
        <v>1133739</v>
      </c>
      <c r="M2898">
        <f>IF(LEN(TRIM(E2898))=0,"",VLOOKUP(E2898,Sheet2!$B$1:$E$19,4,FALSE))+(F2898-1)</f>
        <v>3885822</v>
      </c>
    </row>
    <row r="2899" spans="1:13" ht="15" customHeight="1" x14ac:dyDescent="0.25">
      <c r="A2899" s="27" t="s">
        <v>245</v>
      </c>
      <c r="B2899" s="27" t="s">
        <v>359</v>
      </c>
      <c r="C2899" s="5" t="s">
        <v>1477</v>
      </c>
      <c r="D2899" s="3" t="s">
        <v>454</v>
      </c>
      <c r="E2899" s="3">
        <v>2170</v>
      </c>
      <c r="F2899" s="37">
        <v>21</v>
      </c>
      <c r="G2899" s="10">
        <v>17</v>
      </c>
      <c r="H2899" s="3">
        <v>73</v>
      </c>
      <c r="I2899" s="3">
        <v>69</v>
      </c>
      <c r="J2899" t="str">
        <f t="shared" si="45"/>
        <v>http://www.badatelna.eu/reprodukce/?fondId=1073&amp;zaznamId=1108956&amp;reproId=3779613</v>
      </c>
      <c r="K2899">
        <f>IF(LEN(TRIM(E2899))=0,"",VLOOKUP(E2899,Sheet2!$B$1:$E$19,2,FALSE))</f>
        <v>1073</v>
      </c>
      <c r="L2899">
        <f>IF(LEN(TRIM(E2899))=0,"",VLOOKUP(E2899,Sheet2!$B$1:$E$19,3,FALSE))</f>
        <v>1108956</v>
      </c>
      <c r="M2899">
        <f>IF(LEN(TRIM(E2899))=0,"",VLOOKUP(E2899,Sheet2!$B$1:$E$19,4,FALSE))+(F2899-1)</f>
        <v>3779613</v>
      </c>
    </row>
    <row r="2900" spans="1:13" ht="15" customHeight="1" x14ac:dyDescent="0.25">
      <c r="A2900" s="27" t="s">
        <v>245</v>
      </c>
      <c r="B2900" s="27" t="s">
        <v>654</v>
      </c>
      <c r="C2900" s="5" t="s">
        <v>1475</v>
      </c>
      <c r="D2900" s="3" t="s">
        <v>454</v>
      </c>
      <c r="E2900" s="3">
        <v>2170</v>
      </c>
      <c r="F2900" s="31">
        <v>38</v>
      </c>
      <c r="G2900" s="10">
        <v>34</v>
      </c>
      <c r="H2900" s="3">
        <v>73</v>
      </c>
      <c r="I2900" s="3">
        <v>69</v>
      </c>
      <c r="J2900" t="str">
        <f t="shared" si="45"/>
        <v>http://www.badatelna.eu/reprodukce/?fondId=1073&amp;zaznamId=1108956&amp;reproId=3779630</v>
      </c>
      <c r="K2900">
        <f>IF(LEN(TRIM(E2900))=0,"",VLOOKUP(E2900,Sheet2!$B$1:$E$19,2,FALSE))</f>
        <v>1073</v>
      </c>
      <c r="L2900">
        <f>IF(LEN(TRIM(E2900))=0,"",VLOOKUP(E2900,Sheet2!$B$1:$E$19,3,FALSE))</f>
        <v>1108956</v>
      </c>
      <c r="M2900">
        <f>IF(LEN(TRIM(E2900))=0,"",VLOOKUP(E2900,Sheet2!$B$1:$E$19,4,FALSE))+(F2900-1)</f>
        <v>3779630</v>
      </c>
    </row>
    <row r="2901" spans="1:13" ht="15" customHeight="1" x14ac:dyDescent="0.25">
      <c r="A2901" s="28" t="s">
        <v>245</v>
      </c>
      <c r="B2901" s="28" t="s">
        <v>483</v>
      </c>
      <c r="C2901" s="1">
        <v>1864</v>
      </c>
      <c r="D2901" s="1" t="s">
        <v>2919</v>
      </c>
      <c r="E2901" s="1">
        <v>999</v>
      </c>
      <c r="F2901" s="28">
        <v>86</v>
      </c>
      <c r="G2901" s="1">
        <v>7</v>
      </c>
      <c r="H2901" s="1">
        <v>111</v>
      </c>
      <c r="I2901" s="1">
        <v>171</v>
      </c>
      <c r="J2901" t="str">
        <f t="shared" si="45"/>
        <v>http://www.badatelna.eu/reprodukce/?fondId=241&amp;zaznamId=1133739&amp;reproId=3885815</v>
      </c>
      <c r="K2901">
        <f>IF(LEN(TRIM(E2901))=0,"",VLOOKUP(E2901,Sheet2!$B$1:$E$19,2,FALSE))</f>
        <v>241</v>
      </c>
      <c r="L2901">
        <f>IF(LEN(TRIM(E2901))=0,"",VLOOKUP(E2901,Sheet2!$B$1:$E$19,3,FALSE))</f>
        <v>1133739</v>
      </c>
      <c r="M2901">
        <f>IF(LEN(TRIM(E2901))=0,"",VLOOKUP(E2901,Sheet2!$B$1:$E$19,4,FALSE))+(F2901-1)</f>
        <v>3885815</v>
      </c>
    </row>
    <row r="2902" spans="1:13" ht="15" customHeight="1" x14ac:dyDescent="0.25">
      <c r="A2902" s="27" t="s">
        <v>245</v>
      </c>
      <c r="B2902" s="27" t="s">
        <v>483</v>
      </c>
      <c r="C2902" s="5" t="s">
        <v>1200</v>
      </c>
      <c r="D2902" s="3" t="s">
        <v>454</v>
      </c>
      <c r="E2902" s="3">
        <v>2170</v>
      </c>
      <c r="F2902" s="28">
        <v>12</v>
      </c>
      <c r="G2902" s="10">
        <v>8</v>
      </c>
      <c r="H2902" s="3">
        <v>73</v>
      </c>
      <c r="I2902" s="3">
        <v>69</v>
      </c>
      <c r="J2902" t="str">
        <f t="shared" si="45"/>
        <v>http://www.badatelna.eu/reprodukce/?fondId=1073&amp;zaznamId=1108956&amp;reproId=3779604</v>
      </c>
      <c r="K2902">
        <f>IF(LEN(TRIM(E2902))=0,"",VLOOKUP(E2902,Sheet2!$B$1:$E$19,2,FALSE))</f>
        <v>1073</v>
      </c>
      <c r="L2902">
        <f>IF(LEN(TRIM(E2902))=0,"",VLOOKUP(E2902,Sheet2!$B$1:$E$19,3,FALSE))</f>
        <v>1108956</v>
      </c>
      <c r="M2902">
        <f>IF(LEN(TRIM(E2902))=0,"",VLOOKUP(E2902,Sheet2!$B$1:$E$19,4,FALSE))+(F2902-1)</f>
        <v>3779604</v>
      </c>
    </row>
    <row r="2903" spans="1:13" ht="15" customHeight="1" x14ac:dyDescent="0.25">
      <c r="A2903" s="27" t="s">
        <v>245</v>
      </c>
      <c r="B2903" s="27" t="s">
        <v>483</v>
      </c>
      <c r="C2903" s="5" t="s">
        <v>1478</v>
      </c>
      <c r="D2903" s="3" t="s">
        <v>454</v>
      </c>
      <c r="E2903" s="3">
        <v>2170</v>
      </c>
      <c r="F2903" s="28">
        <v>40</v>
      </c>
      <c r="G2903" s="10">
        <v>36</v>
      </c>
      <c r="H2903" s="3">
        <v>73</v>
      </c>
      <c r="I2903" s="3">
        <v>69</v>
      </c>
      <c r="J2903" t="str">
        <f t="shared" si="45"/>
        <v>http://www.badatelna.eu/reprodukce/?fondId=1073&amp;zaznamId=1108956&amp;reproId=3779632</v>
      </c>
      <c r="K2903">
        <f>IF(LEN(TRIM(E2903))=0,"",VLOOKUP(E2903,Sheet2!$B$1:$E$19,2,FALSE))</f>
        <v>1073</v>
      </c>
      <c r="L2903">
        <f>IF(LEN(TRIM(E2903))=0,"",VLOOKUP(E2903,Sheet2!$B$1:$E$19,3,FALSE))</f>
        <v>1108956</v>
      </c>
      <c r="M2903">
        <f>IF(LEN(TRIM(E2903))=0,"",VLOOKUP(E2903,Sheet2!$B$1:$E$19,4,FALSE))+(F2903-1)</f>
        <v>3779632</v>
      </c>
    </row>
    <row r="2904" spans="1:13" ht="15" customHeight="1" x14ac:dyDescent="0.25">
      <c r="A2904" s="27" t="s">
        <v>245</v>
      </c>
      <c r="B2904" s="27" t="s">
        <v>259</v>
      </c>
      <c r="C2904" s="5" t="s">
        <v>1326</v>
      </c>
      <c r="D2904" s="3" t="s">
        <v>454</v>
      </c>
      <c r="E2904" s="3">
        <v>2170</v>
      </c>
      <c r="F2904" s="28">
        <v>48</v>
      </c>
      <c r="G2904" s="10">
        <v>44</v>
      </c>
      <c r="H2904" s="3">
        <v>73</v>
      </c>
      <c r="I2904" s="3">
        <v>69</v>
      </c>
      <c r="J2904" t="str">
        <f t="shared" si="45"/>
        <v>http://www.badatelna.eu/reprodukce/?fondId=1073&amp;zaznamId=1108956&amp;reproId=3779640</v>
      </c>
      <c r="K2904">
        <f>IF(LEN(TRIM(E2904))=0,"",VLOOKUP(E2904,Sheet2!$B$1:$E$19,2,FALSE))</f>
        <v>1073</v>
      </c>
      <c r="L2904">
        <f>IF(LEN(TRIM(E2904))=0,"",VLOOKUP(E2904,Sheet2!$B$1:$E$19,3,FALSE))</f>
        <v>1108956</v>
      </c>
      <c r="M2904">
        <f>IF(LEN(TRIM(E2904))=0,"",VLOOKUP(E2904,Sheet2!$B$1:$E$19,4,FALSE))+(F2904-1)</f>
        <v>3779640</v>
      </c>
    </row>
    <row r="2905" spans="1:13" ht="15" customHeight="1" x14ac:dyDescent="0.25">
      <c r="A2905" s="30" t="s">
        <v>245</v>
      </c>
      <c r="B2905" s="30" t="s">
        <v>259</v>
      </c>
      <c r="C2905" s="5" t="s">
        <v>1326</v>
      </c>
      <c r="D2905" s="3" t="s">
        <v>454</v>
      </c>
      <c r="E2905" s="3">
        <v>2170</v>
      </c>
      <c r="F2905" s="28">
        <v>49</v>
      </c>
      <c r="G2905" s="10">
        <v>45</v>
      </c>
      <c r="H2905" s="3">
        <v>69</v>
      </c>
      <c r="I2905" s="3">
        <v>65</v>
      </c>
      <c r="J2905" t="str">
        <f t="shared" si="45"/>
        <v>http://www.badatelna.eu/reprodukce/?fondId=1073&amp;zaznamId=1108956&amp;reproId=3779641</v>
      </c>
      <c r="K2905">
        <f>IF(LEN(TRIM(E2905))=0,"",VLOOKUP(E2905,Sheet2!$B$1:$E$19,2,FALSE))</f>
        <v>1073</v>
      </c>
      <c r="L2905">
        <f>IF(LEN(TRIM(E2905))=0,"",VLOOKUP(E2905,Sheet2!$B$1:$E$19,3,FALSE))</f>
        <v>1108956</v>
      </c>
      <c r="M2905">
        <f>IF(LEN(TRIM(E2905))=0,"",VLOOKUP(E2905,Sheet2!$B$1:$E$19,4,FALSE))+(F2905-1)</f>
        <v>3779641</v>
      </c>
    </row>
    <row r="2906" spans="1:13" ht="15" customHeight="1" x14ac:dyDescent="0.25">
      <c r="A2906" s="28" t="s">
        <v>245</v>
      </c>
      <c r="B2906" s="28" t="s">
        <v>751</v>
      </c>
      <c r="C2906" s="6" t="s">
        <v>1760</v>
      </c>
      <c r="D2906" s="1" t="s">
        <v>454</v>
      </c>
      <c r="E2906" s="1">
        <v>2172</v>
      </c>
      <c r="F2906" s="28">
        <v>136</v>
      </c>
      <c r="G2906" s="9" t="s">
        <v>3085</v>
      </c>
      <c r="H2906" s="1">
        <v>138</v>
      </c>
      <c r="I2906" s="1">
        <v>136</v>
      </c>
      <c r="J2906" t="str">
        <f t="shared" si="45"/>
        <v>http://www.badatelna.eu/reprodukce/?fondId=1073&amp;zaznamId=1108958&amp;reproId=3779877</v>
      </c>
      <c r="K2906">
        <f>IF(LEN(TRIM(E2906))=0,"",VLOOKUP(E2906,Sheet2!$B$1:$E$19,2,FALSE))</f>
        <v>1073</v>
      </c>
      <c r="L2906">
        <f>IF(LEN(TRIM(E2906))=0,"",VLOOKUP(E2906,Sheet2!$B$1:$E$19,3,FALSE))</f>
        <v>1108958</v>
      </c>
      <c r="M2906">
        <f>IF(LEN(TRIM(E2906))=0,"",VLOOKUP(E2906,Sheet2!$B$1:$E$19,4,FALSE))+(F2906-1)</f>
        <v>3779877</v>
      </c>
    </row>
    <row r="2907" spans="1:13" ht="15" customHeight="1" x14ac:dyDescent="0.25">
      <c r="A2907" s="28" t="s">
        <v>245</v>
      </c>
      <c r="B2907" s="28" t="s">
        <v>387</v>
      </c>
      <c r="C2907" s="6" t="s">
        <v>2211</v>
      </c>
      <c r="D2907" s="1" t="s">
        <v>454</v>
      </c>
      <c r="E2907" s="1">
        <v>2173</v>
      </c>
      <c r="F2907" s="28">
        <v>182</v>
      </c>
      <c r="G2907" s="9">
        <v>10</v>
      </c>
      <c r="H2907" s="1">
        <v>194</v>
      </c>
      <c r="I2907" s="1">
        <v>431</v>
      </c>
      <c r="J2907" t="str">
        <f t="shared" si="45"/>
        <v>http://www.badatelna.eu/reprodukce/?fondId=1073&amp;zaznamId=1108959&amp;reproId=3780175</v>
      </c>
      <c r="K2907">
        <f>IF(LEN(TRIM(E2907))=0,"",VLOOKUP(E2907,Sheet2!$B$1:$E$19,2,FALSE))</f>
        <v>1073</v>
      </c>
      <c r="L2907">
        <f>IF(LEN(TRIM(E2907))=0,"",VLOOKUP(E2907,Sheet2!$B$1:$E$19,3,FALSE))</f>
        <v>1108959</v>
      </c>
      <c r="M2907">
        <f>IF(LEN(TRIM(E2907))=0,"",VLOOKUP(E2907,Sheet2!$B$1:$E$19,4,FALSE))+(F2907-1)</f>
        <v>3780175</v>
      </c>
    </row>
    <row r="2908" spans="1:13" ht="15" customHeight="1" x14ac:dyDescent="0.25">
      <c r="A2908" s="27" t="s">
        <v>245</v>
      </c>
      <c r="B2908" s="27" t="s">
        <v>407</v>
      </c>
      <c r="C2908" s="5" t="s">
        <v>1476</v>
      </c>
      <c r="D2908" s="3" t="s">
        <v>454</v>
      </c>
      <c r="E2908" s="3">
        <v>2170</v>
      </c>
      <c r="F2908" s="31">
        <v>38</v>
      </c>
      <c r="G2908" s="10">
        <v>34</v>
      </c>
      <c r="H2908" s="3">
        <v>73</v>
      </c>
      <c r="I2908" s="3">
        <v>69</v>
      </c>
      <c r="J2908" t="str">
        <f t="shared" si="45"/>
        <v>http://www.badatelna.eu/reprodukce/?fondId=1073&amp;zaznamId=1108956&amp;reproId=3779630</v>
      </c>
      <c r="K2908">
        <f>IF(LEN(TRIM(E2908))=0,"",VLOOKUP(E2908,Sheet2!$B$1:$E$19,2,FALSE))</f>
        <v>1073</v>
      </c>
      <c r="L2908">
        <f>IF(LEN(TRIM(E2908))=0,"",VLOOKUP(E2908,Sheet2!$B$1:$E$19,3,FALSE))</f>
        <v>1108956</v>
      </c>
      <c r="M2908">
        <f>IF(LEN(TRIM(E2908))=0,"",VLOOKUP(E2908,Sheet2!$B$1:$E$19,4,FALSE))+(F2908-1)</f>
        <v>3779630</v>
      </c>
    </row>
    <row r="2909" spans="1:13" ht="15" customHeight="1" x14ac:dyDescent="0.25">
      <c r="A2909" s="28" t="s">
        <v>245</v>
      </c>
      <c r="B2909" s="28" t="s">
        <v>752</v>
      </c>
      <c r="C2909" s="15">
        <v>4202</v>
      </c>
      <c r="D2909" s="1" t="s">
        <v>454</v>
      </c>
      <c r="E2909" s="1">
        <v>2172</v>
      </c>
      <c r="F2909" s="28">
        <v>179</v>
      </c>
      <c r="G2909" s="9">
        <v>172</v>
      </c>
      <c r="H2909" s="1" t="s">
        <v>3073</v>
      </c>
      <c r="I2909" s="1" t="s">
        <v>3073</v>
      </c>
      <c r="J2909" t="str">
        <f t="shared" si="45"/>
        <v>http://www.badatelna.eu/reprodukce/?fondId=1073&amp;zaznamId=1108958&amp;reproId=3779920</v>
      </c>
      <c r="K2909">
        <f>IF(LEN(TRIM(E2909))=0,"",VLOOKUP(E2909,Sheet2!$B$1:$E$19,2,FALSE))</f>
        <v>1073</v>
      </c>
      <c r="L2909">
        <f>IF(LEN(TRIM(E2909))=0,"",VLOOKUP(E2909,Sheet2!$B$1:$E$19,3,FALSE))</f>
        <v>1108958</v>
      </c>
      <c r="M2909">
        <f>IF(LEN(TRIM(E2909))=0,"",VLOOKUP(E2909,Sheet2!$B$1:$E$19,4,FALSE))+(F2909-1)</f>
        <v>3779920</v>
      </c>
    </row>
    <row r="2910" spans="1:13" ht="15" customHeight="1" x14ac:dyDescent="0.25">
      <c r="A2910" s="28" t="s">
        <v>141</v>
      </c>
      <c r="B2910" s="28" t="s">
        <v>49</v>
      </c>
      <c r="C2910" s="6" t="s">
        <v>2389</v>
      </c>
      <c r="D2910" s="1" t="s">
        <v>454</v>
      </c>
      <c r="E2910" s="1">
        <v>2173</v>
      </c>
      <c r="F2910" s="28">
        <v>201</v>
      </c>
      <c r="G2910" s="9">
        <v>11</v>
      </c>
      <c r="H2910" s="1" t="s">
        <v>3073</v>
      </c>
      <c r="I2910" s="1" t="s">
        <v>3073</v>
      </c>
      <c r="J2910" t="str">
        <f t="shared" si="45"/>
        <v>http://www.badatelna.eu/reprodukce/?fondId=1073&amp;zaznamId=1108959&amp;reproId=3780194</v>
      </c>
      <c r="K2910">
        <f>IF(LEN(TRIM(E2910))=0,"",VLOOKUP(E2910,Sheet2!$B$1:$E$19,2,FALSE))</f>
        <v>1073</v>
      </c>
      <c r="L2910">
        <f>IF(LEN(TRIM(E2910))=0,"",VLOOKUP(E2910,Sheet2!$B$1:$E$19,3,FALSE))</f>
        <v>1108959</v>
      </c>
      <c r="M2910">
        <f>IF(LEN(TRIM(E2910))=0,"",VLOOKUP(E2910,Sheet2!$B$1:$E$19,4,FALSE))+(F2910-1)</f>
        <v>3780194</v>
      </c>
    </row>
    <row r="2911" spans="1:13" ht="15" customHeight="1" x14ac:dyDescent="0.25">
      <c r="A2911" s="28" t="s">
        <v>1033</v>
      </c>
      <c r="B2911" s="28" t="s">
        <v>19</v>
      </c>
      <c r="C2911" s="6" t="s">
        <v>2226</v>
      </c>
      <c r="D2911" s="1" t="s">
        <v>454</v>
      </c>
      <c r="E2911" s="1">
        <v>2173</v>
      </c>
      <c r="F2911" s="28">
        <v>196</v>
      </c>
      <c r="G2911" s="9">
        <v>1</v>
      </c>
      <c r="H2911" s="1" t="s">
        <v>3073</v>
      </c>
      <c r="I2911" s="1" t="s">
        <v>3073</v>
      </c>
      <c r="J2911" t="str">
        <f t="shared" si="45"/>
        <v>http://www.badatelna.eu/reprodukce/?fondId=1073&amp;zaznamId=1108959&amp;reproId=3780189</v>
      </c>
      <c r="K2911">
        <f>IF(LEN(TRIM(E2911))=0,"",VLOOKUP(E2911,Sheet2!$B$1:$E$19,2,FALSE))</f>
        <v>1073</v>
      </c>
      <c r="L2911">
        <f>IF(LEN(TRIM(E2911))=0,"",VLOOKUP(E2911,Sheet2!$B$1:$E$19,3,FALSE))</f>
        <v>1108959</v>
      </c>
      <c r="M2911">
        <f>IF(LEN(TRIM(E2911))=0,"",VLOOKUP(E2911,Sheet2!$B$1:$E$19,4,FALSE))+(F2911-1)</f>
        <v>3780189</v>
      </c>
    </row>
    <row r="2912" spans="1:13" ht="15" customHeight="1" x14ac:dyDescent="0.25">
      <c r="A2912" s="28" t="s">
        <v>1033</v>
      </c>
      <c r="B2912" s="28" t="s">
        <v>39</v>
      </c>
      <c r="C2912" s="6" t="s">
        <v>2470</v>
      </c>
      <c r="D2912" s="1" t="s">
        <v>454</v>
      </c>
      <c r="E2912" s="1">
        <v>2173</v>
      </c>
      <c r="F2912" s="28">
        <v>204</v>
      </c>
      <c r="G2912" s="1">
        <v>18</v>
      </c>
      <c r="H2912" s="1" t="s">
        <v>3073</v>
      </c>
      <c r="I2912" s="1" t="s">
        <v>3073</v>
      </c>
      <c r="J2912" t="str">
        <f t="shared" si="45"/>
        <v>http://www.badatelna.eu/reprodukce/?fondId=1073&amp;zaznamId=1108959&amp;reproId=3780197</v>
      </c>
      <c r="K2912">
        <f>IF(LEN(TRIM(E2912))=0,"",VLOOKUP(E2912,Sheet2!$B$1:$E$19,2,FALSE))</f>
        <v>1073</v>
      </c>
      <c r="L2912">
        <f>IF(LEN(TRIM(E2912))=0,"",VLOOKUP(E2912,Sheet2!$B$1:$E$19,3,FALSE))</f>
        <v>1108959</v>
      </c>
      <c r="M2912">
        <f>IF(LEN(TRIM(E2912))=0,"",VLOOKUP(E2912,Sheet2!$B$1:$E$19,4,FALSE))+(F2912-1)</f>
        <v>3780197</v>
      </c>
    </row>
    <row r="2913" spans="1:13" ht="15" customHeight="1" x14ac:dyDescent="0.25">
      <c r="A2913" s="28" t="s">
        <v>1034</v>
      </c>
      <c r="B2913" s="28" t="s">
        <v>19</v>
      </c>
      <c r="C2913" s="6" t="s">
        <v>2471</v>
      </c>
      <c r="D2913" s="1" t="s">
        <v>454</v>
      </c>
      <c r="E2913" s="1">
        <v>2173</v>
      </c>
      <c r="F2913" s="28">
        <v>204</v>
      </c>
      <c r="G2913" s="1">
        <v>18</v>
      </c>
      <c r="H2913" s="1" t="s">
        <v>3073</v>
      </c>
      <c r="I2913" s="1" t="s">
        <v>3073</v>
      </c>
      <c r="J2913" t="str">
        <f t="shared" si="45"/>
        <v>http://www.badatelna.eu/reprodukce/?fondId=1073&amp;zaznamId=1108959&amp;reproId=3780197</v>
      </c>
      <c r="K2913">
        <f>IF(LEN(TRIM(E2913))=0,"",VLOOKUP(E2913,Sheet2!$B$1:$E$19,2,FALSE))</f>
        <v>1073</v>
      </c>
      <c r="L2913">
        <f>IF(LEN(TRIM(E2913))=0,"",VLOOKUP(E2913,Sheet2!$B$1:$E$19,3,FALSE))</f>
        <v>1108959</v>
      </c>
      <c r="M2913">
        <f>IF(LEN(TRIM(E2913))=0,"",VLOOKUP(E2913,Sheet2!$B$1:$E$19,4,FALSE))+(F2913-1)</f>
        <v>3780197</v>
      </c>
    </row>
    <row r="2914" spans="1:13" ht="15" customHeight="1" x14ac:dyDescent="0.25">
      <c r="A2914" s="28" t="s">
        <v>1034</v>
      </c>
      <c r="B2914" s="28" t="s">
        <v>25</v>
      </c>
      <c r="C2914" s="6" t="s">
        <v>2306</v>
      </c>
      <c r="D2914" s="1" t="s">
        <v>454</v>
      </c>
      <c r="E2914" s="1">
        <v>2173</v>
      </c>
      <c r="F2914" s="28">
        <v>198</v>
      </c>
      <c r="G2914" s="9">
        <v>6</v>
      </c>
      <c r="H2914" s="1" t="s">
        <v>3073</v>
      </c>
      <c r="I2914" s="1" t="s">
        <v>3073</v>
      </c>
      <c r="J2914" t="str">
        <f t="shared" si="45"/>
        <v>http://www.badatelna.eu/reprodukce/?fondId=1073&amp;zaznamId=1108959&amp;reproId=3780191</v>
      </c>
      <c r="K2914">
        <f>IF(LEN(TRIM(E2914))=0,"",VLOOKUP(E2914,Sheet2!$B$1:$E$19,2,FALSE))</f>
        <v>1073</v>
      </c>
      <c r="L2914">
        <f>IF(LEN(TRIM(E2914))=0,"",VLOOKUP(E2914,Sheet2!$B$1:$E$19,3,FALSE))</f>
        <v>1108959</v>
      </c>
      <c r="M2914">
        <f>IF(LEN(TRIM(E2914))=0,"",VLOOKUP(E2914,Sheet2!$B$1:$E$19,4,FALSE))+(F2914-1)</f>
        <v>3780191</v>
      </c>
    </row>
    <row r="2915" spans="1:13" ht="15" customHeight="1" x14ac:dyDescent="0.25">
      <c r="A2915" s="28" t="s">
        <v>3061</v>
      </c>
      <c r="B2915" s="28" t="s">
        <v>332</v>
      </c>
      <c r="C2915" s="1">
        <v>1866</v>
      </c>
      <c r="D2915" s="1" t="s">
        <v>2919</v>
      </c>
      <c r="E2915" s="1">
        <v>999</v>
      </c>
      <c r="F2915" s="28">
        <v>92</v>
      </c>
      <c r="G2915" s="1">
        <v>13</v>
      </c>
      <c r="H2915" s="1">
        <v>111</v>
      </c>
      <c r="I2915" s="1">
        <v>171</v>
      </c>
      <c r="J2915" t="str">
        <f t="shared" si="45"/>
        <v>http://www.badatelna.eu/reprodukce/?fondId=241&amp;zaznamId=1133739&amp;reproId=3885821</v>
      </c>
      <c r="K2915">
        <f>IF(LEN(TRIM(E2915))=0,"",VLOOKUP(E2915,Sheet2!$B$1:$E$19,2,FALSE))</f>
        <v>241</v>
      </c>
      <c r="L2915">
        <f>IF(LEN(TRIM(E2915))=0,"",VLOOKUP(E2915,Sheet2!$B$1:$E$19,3,FALSE))</f>
        <v>1133739</v>
      </c>
      <c r="M2915">
        <f>IF(LEN(TRIM(E2915))=0,"",VLOOKUP(E2915,Sheet2!$B$1:$E$19,4,FALSE))+(F2915-1)</f>
        <v>3885821</v>
      </c>
    </row>
    <row r="2916" spans="1:13" ht="15" customHeight="1" x14ac:dyDescent="0.25">
      <c r="A2916" s="28" t="s">
        <v>753</v>
      </c>
      <c r="B2916" s="28" t="s">
        <v>340</v>
      </c>
      <c r="C2916" s="15">
        <v>3086</v>
      </c>
      <c r="D2916" s="1" t="s">
        <v>454</v>
      </c>
      <c r="E2916" s="1">
        <v>2172</v>
      </c>
      <c r="F2916" s="28">
        <v>173</v>
      </c>
      <c r="G2916" s="9" t="s">
        <v>3094</v>
      </c>
      <c r="H2916" s="1" t="s">
        <v>3073</v>
      </c>
      <c r="I2916" s="1" t="s">
        <v>3073</v>
      </c>
      <c r="J2916" t="str">
        <f t="shared" si="45"/>
        <v>http://www.badatelna.eu/reprodukce/?fondId=1073&amp;zaznamId=1108958&amp;reproId=3779914</v>
      </c>
      <c r="K2916">
        <f>IF(LEN(TRIM(E2916))=0,"",VLOOKUP(E2916,Sheet2!$B$1:$E$19,2,FALSE))</f>
        <v>1073</v>
      </c>
      <c r="L2916">
        <f>IF(LEN(TRIM(E2916))=0,"",VLOOKUP(E2916,Sheet2!$B$1:$E$19,3,FALSE))</f>
        <v>1108958</v>
      </c>
      <c r="M2916">
        <f>IF(LEN(TRIM(E2916))=0,"",VLOOKUP(E2916,Sheet2!$B$1:$E$19,4,FALSE))+(F2916-1)</f>
        <v>3779914</v>
      </c>
    </row>
    <row r="2917" spans="1:13" ht="15" customHeight="1" x14ac:dyDescent="0.25">
      <c r="A2917" s="28" t="s">
        <v>754</v>
      </c>
      <c r="B2917" s="28" t="s">
        <v>424</v>
      </c>
      <c r="C2917" s="6" t="s">
        <v>1626</v>
      </c>
      <c r="D2917" s="1" t="s">
        <v>454</v>
      </c>
      <c r="E2917" s="1">
        <v>2172</v>
      </c>
      <c r="F2917" s="28">
        <v>88</v>
      </c>
      <c r="G2917" s="9">
        <v>87</v>
      </c>
      <c r="H2917" s="1">
        <v>90</v>
      </c>
      <c r="I2917" s="1">
        <v>89</v>
      </c>
      <c r="J2917" t="str">
        <f t="shared" si="45"/>
        <v>http://www.badatelna.eu/reprodukce/?fondId=1073&amp;zaznamId=1108958&amp;reproId=3779829</v>
      </c>
      <c r="K2917">
        <f>IF(LEN(TRIM(E2917))=0,"",VLOOKUP(E2917,Sheet2!$B$1:$E$19,2,FALSE))</f>
        <v>1073</v>
      </c>
      <c r="L2917">
        <f>IF(LEN(TRIM(E2917))=0,"",VLOOKUP(E2917,Sheet2!$B$1:$E$19,3,FALSE))</f>
        <v>1108958</v>
      </c>
      <c r="M2917">
        <f>IF(LEN(TRIM(E2917))=0,"",VLOOKUP(E2917,Sheet2!$B$1:$E$19,4,FALSE))+(F2917-1)</f>
        <v>3779829</v>
      </c>
    </row>
    <row r="2918" spans="1:13" ht="15" customHeight="1" x14ac:dyDescent="0.25">
      <c r="A2918" s="29" t="s">
        <v>2858</v>
      </c>
      <c r="B2918" s="28" t="s">
        <v>82</v>
      </c>
      <c r="C2918" s="6" t="s">
        <v>2413</v>
      </c>
      <c r="D2918" s="1" t="s">
        <v>454</v>
      </c>
      <c r="E2918" s="1">
        <v>2173</v>
      </c>
      <c r="F2918" s="28">
        <v>202</v>
      </c>
      <c r="G2918" s="9">
        <v>14</v>
      </c>
      <c r="H2918" s="1" t="s">
        <v>3073</v>
      </c>
      <c r="I2918" s="1" t="s">
        <v>3073</v>
      </c>
      <c r="J2918" t="str">
        <f t="shared" si="45"/>
        <v>http://www.badatelna.eu/reprodukce/?fondId=1073&amp;zaznamId=1108959&amp;reproId=3780195</v>
      </c>
      <c r="K2918">
        <f>IF(LEN(TRIM(E2918))=0,"",VLOOKUP(E2918,Sheet2!$B$1:$E$19,2,FALSE))</f>
        <v>1073</v>
      </c>
      <c r="L2918">
        <f>IF(LEN(TRIM(E2918))=0,"",VLOOKUP(E2918,Sheet2!$B$1:$E$19,3,FALSE))</f>
        <v>1108959</v>
      </c>
      <c r="M2918">
        <f>IF(LEN(TRIM(E2918))=0,"",VLOOKUP(E2918,Sheet2!$B$1:$E$19,4,FALSE))+(F2918-1)</f>
        <v>3780195</v>
      </c>
    </row>
    <row r="2919" spans="1:13" ht="15" customHeight="1" x14ac:dyDescent="0.25">
      <c r="A2919" s="28" t="s">
        <v>755</v>
      </c>
      <c r="B2919" s="28" t="s">
        <v>756</v>
      </c>
      <c r="C2919" s="15">
        <v>6306</v>
      </c>
      <c r="D2919" s="1" t="s">
        <v>454</v>
      </c>
      <c r="E2919" s="1">
        <v>2172</v>
      </c>
      <c r="F2919" s="28">
        <v>193</v>
      </c>
      <c r="G2919" s="9">
        <v>183</v>
      </c>
      <c r="H2919" s="1" t="s">
        <v>3073</v>
      </c>
      <c r="I2919" s="1" t="s">
        <v>3073</v>
      </c>
      <c r="J2919" t="str">
        <f t="shared" si="45"/>
        <v>http://www.badatelna.eu/reprodukce/?fondId=1073&amp;zaznamId=1108958&amp;reproId=3779934</v>
      </c>
      <c r="K2919">
        <f>IF(LEN(TRIM(E2919))=0,"",VLOOKUP(E2919,Sheet2!$B$1:$E$19,2,FALSE))</f>
        <v>1073</v>
      </c>
      <c r="L2919">
        <f>IF(LEN(TRIM(E2919))=0,"",VLOOKUP(E2919,Sheet2!$B$1:$E$19,3,FALSE))</f>
        <v>1108958</v>
      </c>
      <c r="M2919">
        <f>IF(LEN(TRIM(E2919))=0,"",VLOOKUP(E2919,Sheet2!$B$1:$E$19,4,FALSE))+(F2919-1)</f>
        <v>3779934</v>
      </c>
    </row>
    <row r="2920" spans="1:13" ht="15" customHeight="1" x14ac:dyDescent="0.25">
      <c r="A2920" s="28" t="s">
        <v>3024</v>
      </c>
      <c r="B2920" s="29" t="s">
        <v>289</v>
      </c>
      <c r="C2920" s="1">
        <v>1852</v>
      </c>
      <c r="D2920" s="1" t="s">
        <v>2919</v>
      </c>
      <c r="E2920" s="1">
        <v>998</v>
      </c>
      <c r="F2920" s="28">
        <v>34</v>
      </c>
      <c r="G2920" s="1">
        <v>32</v>
      </c>
      <c r="H2920" s="1">
        <v>81</v>
      </c>
      <c r="I2920" s="1">
        <v>79</v>
      </c>
      <c r="J2920" t="str">
        <f t="shared" si="45"/>
        <v>http://www.badatelna.eu/reprodukce/?fondId=241&amp;zaznamId=1133738&amp;reproId=3885680</v>
      </c>
      <c r="K2920">
        <f>IF(LEN(TRIM(E2920))=0,"",VLOOKUP(E2920,Sheet2!$B$1:$E$19,2,FALSE))</f>
        <v>241</v>
      </c>
      <c r="L2920">
        <f>IF(LEN(TRIM(E2920))=0,"",VLOOKUP(E2920,Sheet2!$B$1:$E$19,3,FALSE))</f>
        <v>1133738</v>
      </c>
      <c r="M2920">
        <f>IF(LEN(TRIM(E2920))=0,"",VLOOKUP(E2920,Sheet2!$B$1:$E$19,4,FALSE))+(F2920-1)</f>
        <v>3885680</v>
      </c>
    </row>
    <row r="2921" spans="1:13" ht="15" customHeight="1" x14ac:dyDescent="0.25">
      <c r="A2921" s="28" t="s">
        <v>159</v>
      </c>
      <c r="B2921" s="28" t="s">
        <v>383</v>
      </c>
      <c r="C2921" s="6" t="s">
        <v>2216</v>
      </c>
      <c r="D2921" s="1" t="s">
        <v>454</v>
      </c>
      <c r="E2921" s="1">
        <v>2173</v>
      </c>
      <c r="F2921" s="28">
        <v>181</v>
      </c>
      <c r="G2921" s="9">
        <v>9</v>
      </c>
      <c r="H2921" s="1">
        <v>194</v>
      </c>
      <c r="I2921" s="1">
        <v>431</v>
      </c>
      <c r="J2921" t="str">
        <f t="shared" si="45"/>
        <v>http://www.badatelna.eu/reprodukce/?fondId=1073&amp;zaznamId=1108959&amp;reproId=3780174</v>
      </c>
      <c r="K2921">
        <f>IF(LEN(TRIM(E2921))=0,"",VLOOKUP(E2921,Sheet2!$B$1:$E$19,2,FALSE))</f>
        <v>1073</v>
      </c>
      <c r="L2921">
        <f>IF(LEN(TRIM(E2921))=0,"",VLOOKUP(E2921,Sheet2!$B$1:$E$19,3,FALSE))</f>
        <v>1108959</v>
      </c>
      <c r="M2921">
        <f>IF(LEN(TRIM(E2921))=0,"",VLOOKUP(E2921,Sheet2!$B$1:$E$19,4,FALSE))+(F2921-1)</f>
        <v>3780174</v>
      </c>
    </row>
    <row r="2922" spans="1:13" ht="15" customHeight="1" x14ac:dyDescent="0.25">
      <c r="A2922" s="28" t="s">
        <v>159</v>
      </c>
      <c r="B2922" s="28" t="s">
        <v>466</v>
      </c>
      <c r="C2922" s="1">
        <v>1860</v>
      </c>
      <c r="D2922" s="1" t="s">
        <v>2919</v>
      </c>
      <c r="E2922" s="1">
        <v>998</v>
      </c>
      <c r="F2922" s="28">
        <v>57</v>
      </c>
      <c r="G2922" s="1">
        <v>54</v>
      </c>
      <c r="H2922" s="1">
        <v>81</v>
      </c>
      <c r="I2922" s="1">
        <v>79</v>
      </c>
      <c r="J2922" t="str">
        <f t="shared" si="45"/>
        <v>http://www.badatelna.eu/reprodukce/?fondId=241&amp;zaznamId=1133738&amp;reproId=3885703</v>
      </c>
      <c r="K2922">
        <f>IF(LEN(TRIM(E2922))=0,"",VLOOKUP(E2922,Sheet2!$B$1:$E$19,2,FALSE))</f>
        <v>241</v>
      </c>
      <c r="L2922">
        <f>IF(LEN(TRIM(E2922))=0,"",VLOOKUP(E2922,Sheet2!$B$1:$E$19,3,FALSE))</f>
        <v>1133738</v>
      </c>
      <c r="M2922">
        <f>IF(LEN(TRIM(E2922))=0,"",VLOOKUP(E2922,Sheet2!$B$1:$E$19,4,FALSE))+(F2922-1)</f>
        <v>3885703</v>
      </c>
    </row>
    <row r="2923" spans="1:13" ht="15" customHeight="1" x14ac:dyDescent="0.25">
      <c r="A2923" s="28" t="s">
        <v>159</v>
      </c>
      <c r="B2923" s="28" t="s">
        <v>40</v>
      </c>
      <c r="C2923" s="1">
        <v>1864</v>
      </c>
      <c r="D2923" s="1" t="s">
        <v>2919</v>
      </c>
      <c r="E2923" s="1">
        <v>999</v>
      </c>
      <c r="F2923" s="28">
        <v>86</v>
      </c>
      <c r="G2923" s="1">
        <v>7</v>
      </c>
      <c r="H2923" s="1">
        <v>111</v>
      </c>
      <c r="I2923" s="1">
        <v>171</v>
      </c>
      <c r="J2923" t="str">
        <f t="shared" si="45"/>
        <v>http://www.badatelna.eu/reprodukce/?fondId=241&amp;zaznamId=1133739&amp;reproId=3885815</v>
      </c>
      <c r="K2923">
        <f>IF(LEN(TRIM(E2923))=0,"",VLOOKUP(E2923,Sheet2!$B$1:$E$19,2,FALSE))</f>
        <v>241</v>
      </c>
      <c r="L2923">
        <f>IF(LEN(TRIM(E2923))=0,"",VLOOKUP(E2923,Sheet2!$B$1:$E$19,3,FALSE))</f>
        <v>1133739</v>
      </c>
      <c r="M2923">
        <f>IF(LEN(TRIM(E2923))=0,"",VLOOKUP(E2923,Sheet2!$B$1:$E$19,4,FALSE))+(F2923-1)</f>
        <v>3885815</v>
      </c>
    </row>
    <row r="2924" spans="1:13" ht="15" customHeight="1" x14ac:dyDescent="0.25">
      <c r="A2924" s="28" t="s">
        <v>159</v>
      </c>
      <c r="B2924" s="28" t="s">
        <v>40</v>
      </c>
      <c r="C2924" s="6" t="s">
        <v>2876</v>
      </c>
      <c r="D2924" s="1" t="s">
        <v>454</v>
      </c>
      <c r="E2924" s="1">
        <v>2173</v>
      </c>
      <c r="F2924" s="28">
        <v>210</v>
      </c>
      <c r="G2924" s="9" t="s">
        <v>2874</v>
      </c>
      <c r="H2924" s="1" t="s">
        <v>3073</v>
      </c>
      <c r="I2924" s="1" t="s">
        <v>3073</v>
      </c>
      <c r="J2924" t="str">
        <f t="shared" si="45"/>
        <v>http://www.badatelna.eu/reprodukce/?fondId=1073&amp;zaznamId=1108959&amp;reproId=3780203</v>
      </c>
      <c r="K2924">
        <f>IF(LEN(TRIM(E2924))=0,"",VLOOKUP(E2924,Sheet2!$B$1:$E$19,2,FALSE))</f>
        <v>1073</v>
      </c>
      <c r="L2924">
        <f>IF(LEN(TRIM(E2924))=0,"",VLOOKUP(E2924,Sheet2!$B$1:$E$19,3,FALSE))</f>
        <v>1108959</v>
      </c>
      <c r="M2924">
        <f>IF(LEN(TRIM(E2924))=0,"",VLOOKUP(E2924,Sheet2!$B$1:$E$19,4,FALSE))+(F2924-1)</f>
        <v>3780203</v>
      </c>
    </row>
    <row r="2925" spans="1:13" ht="15" customHeight="1" x14ac:dyDescent="0.25">
      <c r="A2925" s="28" t="s">
        <v>159</v>
      </c>
      <c r="B2925" s="28" t="s">
        <v>40</v>
      </c>
      <c r="C2925" s="6" t="s">
        <v>2213</v>
      </c>
      <c r="D2925" s="1" t="s">
        <v>454</v>
      </c>
      <c r="E2925" s="1">
        <v>2173</v>
      </c>
      <c r="F2925" s="28">
        <v>181</v>
      </c>
      <c r="G2925" s="9">
        <v>8</v>
      </c>
      <c r="H2925" s="1">
        <v>194</v>
      </c>
      <c r="I2925" s="1">
        <v>431</v>
      </c>
      <c r="J2925" t="str">
        <f t="shared" si="45"/>
        <v>http://www.badatelna.eu/reprodukce/?fondId=1073&amp;zaznamId=1108959&amp;reproId=3780174</v>
      </c>
      <c r="K2925">
        <f>IF(LEN(TRIM(E2925))=0,"",VLOOKUP(E2925,Sheet2!$B$1:$E$19,2,FALSE))</f>
        <v>1073</v>
      </c>
      <c r="L2925">
        <f>IF(LEN(TRIM(E2925))=0,"",VLOOKUP(E2925,Sheet2!$B$1:$E$19,3,FALSE))</f>
        <v>1108959</v>
      </c>
      <c r="M2925">
        <f>IF(LEN(TRIM(E2925))=0,"",VLOOKUP(E2925,Sheet2!$B$1:$E$19,4,FALSE))+(F2925-1)</f>
        <v>3780174</v>
      </c>
    </row>
    <row r="2926" spans="1:13" ht="15" customHeight="1" x14ac:dyDescent="0.25">
      <c r="A2926" s="27" t="s">
        <v>159</v>
      </c>
      <c r="B2926" s="27" t="s">
        <v>40</v>
      </c>
      <c r="C2926" s="5" t="s">
        <v>1480</v>
      </c>
      <c r="D2926" s="3" t="s">
        <v>454</v>
      </c>
      <c r="E2926" s="3">
        <v>2170</v>
      </c>
      <c r="F2926" s="28">
        <v>10</v>
      </c>
      <c r="G2926" s="10">
        <v>6</v>
      </c>
      <c r="H2926" s="3">
        <v>73</v>
      </c>
      <c r="I2926" s="3">
        <v>69</v>
      </c>
      <c r="J2926" t="str">
        <f t="shared" si="45"/>
        <v>http://www.badatelna.eu/reprodukce/?fondId=1073&amp;zaznamId=1108956&amp;reproId=3779602</v>
      </c>
      <c r="K2926">
        <f>IF(LEN(TRIM(E2926))=0,"",VLOOKUP(E2926,Sheet2!$B$1:$E$19,2,FALSE))</f>
        <v>1073</v>
      </c>
      <c r="L2926">
        <f>IF(LEN(TRIM(E2926))=0,"",VLOOKUP(E2926,Sheet2!$B$1:$E$19,3,FALSE))</f>
        <v>1108956</v>
      </c>
      <c r="M2926">
        <f>IF(LEN(TRIM(E2926))=0,"",VLOOKUP(E2926,Sheet2!$B$1:$E$19,4,FALSE))+(F2926-1)</f>
        <v>3779602</v>
      </c>
    </row>
    <row r="2927" spans="1:13" ht="15" customHeight="1" x14ac:dyDescent="0.25">
      <c r="A2927" s="28" t="s">
        <v>159</v>
      </c>
      <c r="B2927" s="28" t="s">
        <v>87</v>
      </c>
      <c r="C2927" s="6" t="s">
        <v>2684</v>
      </c>
      <c r="D2927" s="1" t="s">
        <v>454</v>
      </c>
      <c r="E2927" s="1">
        <v>2173</v>
      </c>
      <c r="F2927" s="28">
        <v>223</v>
      </c>
      <c r="G2927" s="9">
        <v>51</v>
      </c>
      <c r="H2927" s="1" t="s">
        <v>3073</v>
      </c>
      <c r="I2927" s="1" t="s">
        <v>3073</v>
      </c>
      <c r="J2927" t="str">
        <f t="shared" si="45"/>
        <v>http://www.badatelna.eu/reprodukce/?fondId=1073&amp;zaznamId=1108959&amp;reproId=3780216</v>
      </c>
      <c r="K2927">
        <f>IF(LEN(TRIM(E2927))=0,"",VLOOKUP(E2927,Sheet2!$B$1:$E$19,2,FALSE))</f>
        <v>1073</v>
      </c>
      <c r="L2927">
        <f>IF(LEN(TRIM(E2927))=0,"",VLOOKUP(E2927,Sheet2!$B$1:$E$19,3,FALSE))</f>
        <v>1108959</v>
      </c>
      <c r="M2927">
        <f>IF(LEN(TRIM(E2927))=0,"",VLOOKUP(E2927,Sheet2!$B$1:$E$19,4,FALSE))+(F2927-1)</f>
        <v>3780216</v>
      </c>
    </row>
    <row r="2928" spans="1:13" ht="15" customHeight="1" x14ac:dyDescent="0.25">
      <c r="A2928" s="28" t="s">
        <v>159</v>
      </c>
      <c r="B2928" s="28" t="s">
        <v>202</v>
      </c>
      <c r="C2928" s="6" t="s">
        <v>2448</v>
      </c>
      <c r="D2928" s="1" t="s">
        <v>454</v>
      </c>
      <c r="E2928" s="1">
        <v>2173</v>
      </c>
      <c r="F2928" s="28">
        <v>204</v>
      </c>
      <c r="G2928" s="1">
        <v>18</v>
      </c>
      <c r="H2928" s="1" t="s">
        <v>3073</v>
      </c>
      <c r="I2928" s="1" t="s">
        <v>3073</v>
      </c>
      <c r="J2928" t="str">
        <f t="shared" si="45"/>
        <v>http://www.badatelna.eu/reprodukce/?fondId=1073&amp;zaznamId=1108959&amp;reproId=3780197</v>
      </c>
      <c r="K2928">
        <f>IF(LEN(TRIM(E2928))=0,"",VLOOKUP(E2928,Sheet2!$B$1:$E$19,2,FALSE))</f>
        <v>1073</v>
      </c>
      <c r="L2928">
        <f>IF(LEN(TRIM(E2928))=0,"",VLOOKUP(E2928,Sheet2!$B$1:$E$19,3,FALSE))</f>
        <v>1108959</v>
      </c>
      <c r="M2928">
        <f>IF(LEN(TRIM(E2928))=0,"",VLOOKUP(E2928,Sheet2!$B$1:$E$19,4,FALSE))+(F2928-1)</f>
        <v>3780197</v>
      </c>
    </row>
    <row r="2929" spans="1:13" ht="15" customHeight="1" x14ac:dyDescent="0.25">
      <c r="A2929" s="28" t="s">
        <v>159</v>
      </c>
      <c r="B2929" s="28" t="s">
        <v>280</v>
      </c>
      <c r="C2929" s="1">
        <v>1847</v>
      </c>
      <c r="D2929" s="1" t="s">
        <v>2919</v>
      </c>
      <c r="E2929" s="1">
        <v>998</v>
      </c>
      <c r="F2929" s="28">
        <v>4</v>
      </c>
      <c r="G2929" s="1">
        <v>2</v>
      </c>
      <c r="H2929" s="1">
        <v>81</v>
      </c>
      <c r="I2929" s="1">
        <v>79</v>
      </c>
      <c r="J2929" t="str">
        <f t="shared" si="45"/>
        <v>http://www.badatelna.eu/reprodukce/?fondId=241&amp;zaznamId=1133738&amp;reproId=3885650</v>
      </c>
      <c r="K2929">
        <f>IF(LEN(TRIM(E2929))=0,"",VLOOKUP(E2929,Sheet2!$B$1:$E$19,2,FALSE))</f>
        <v>241</v>
      </c>
      <c r="L2929">
        <f>IF(LEN(TRIM(E2929))=0,"",VLOOKUP(E2929,Sheet2!$B$1:$E$19,3,FALSE))</f>
        <v>1133738</v>
      </c>
      <c r="M2929">
        <f>IF(LEN(TRIM(E2929))=0,"",VLOOKUP(E2929,Sheet2!$B$1:$E$19,4,FALSE))+(F2929-1)</f>
        <v>3885650</v>
      </c>
    </row>
    <row r="2930" spans="1:13" ht="15" customHeight="1" x14ac:dyDescent="0.25">
      <c r="A2930" s="28" t="s">
        <v>159</v>
      </c>
      <c r="B2930" s="28" t="s">
        <v>2832</v>
      </c>
      <c r="C2930" s="6" t="s">
        <v>2570</v>
      </c>
      <c r="D2930" s="1" t="s">
        <v>454</v>
      </c>
      <c r="E2930" s="1">
        <v>2173</v>
      </c>
      <c r="F2930" s="28">
        <v>208</v>
      </c>
      <c r="G2930" s="1">
        <v>26</v>
      </c>
      <c r="H2930" s="1" t="s">
        <v>3073</v>
      </c>
      <c r="I2930" s="1" t="s">
        <v>3073</v>
      </c>
      <c r="J2930" t="str">
        <f t="shared" si="45"/>
        <v>http://www.badatelna.eu/reprodukce/?fondId=1073&amp;zaznamId=1108959&amp;reproId=3780201</v>
      </c>
      <c r="K2930">
        <f>IF(LEN(TRIM(E2930))=0,"",VLOOKUP(E2930,Sheet2!$B$1:$E$19,2,FALSE))</f>
        <v>1073</v>
      </c>
      <c r="L2930">
        <f>IF(LEN(TRIM(E2930))=0,"",VLOOKUP(E2930,Sheet2!$B$1:$E$19,3,FALSE))</f>
        <v>1108959</v>
      </c>
      <c r="M2930">
        <f>IF(LEN(TRIM(E2930))=0,"",VLOOKUP(E2930,Sheet2!$B$1:$E$19,4,FALSE))+(F2930-1)</f>
        <v>3780201</v>
      </c>
    </row>
    <row r="2931" spans="1:13" ht="15" customHeight="1" x14ac:dyDescent="0.25">
      <c r="A2931" s="28" t="s">
        <v>159</v>
      </c>
      <c r="B2931" s="28" t="s">
        <v>498</v>
      </c>
      <c r="C2931" s="1">
        <v>1882</v>
      </c>
      <c r="D2931" s="1" t="s">
        <v>454</v>
      </c>
      <c r="E2931" s="1">
        <v>2172</v>
      </c>
      <c r="F2931" s="29">
        <v>27</v>
      </c>
      <c r="G2931" s="20" t="s">
        <v>2759</v>
      </c>
      <c r="H2931" s="1">
        <v>31</v>
      </c>
      <c r="I2931" s="1">
        <v>30</v>
      </c>
      <c r="J2931" t="str">
        <f t="shared" si="45"/>
        <v>http://www.badatelna.eu/reprodukce/?fondId=1073&amp;zaznamId=1108958&amp;reproId=3779768</v>
      </c>
      <c r="K2931">
        <f>IF(LEN(TRIM(E2931))=0,"",VLOOKUP(E2931,Sheet2!$B$1:$E$19,2,FALSE))</f>
        <v>1073</v>
      </c>
      <c r="L2931">
        <f>IF(LEN(TRIM(E2931))=0,"",VLOOKUP(E2931,Sheet2!$B$1:$E$19,3,FALSE))</f>
        <v>1108958</v>
      </c>
      <c r="M2931">
        <f>IF(LEN(TRIM(E2931))=0,"",VLOOKUP(E2931,Sheet2!$B$1:$E$19,4,FALSE))+(F2931-1)</f>
        <v>3779768</v>
      </c>
    </row>
    <row r="2932" spans="1:13" ht="15" customHeight="1" x14ac:dyDescent="0.25">
      <c r="A2932" s="28" t="s">
        <v>159</v>
      </c>
      <c r="B2932" s="28" t="s">
        <v>2933</v>
      </c>
      <c r="C2932" s="1">
        <v>1850</v>
      </c>
      <c r="D2932" s="1" t="s">
        <v>2919</v>
      </c>
      <c r="E2932" s="1">
        <v>998</v>
      </c>
      <c r="F2932" s="28">
        <v>30</v>
      </c>
      <c r="G2932" s="1">
        <v>28</v>
      </c>
      <c r="H2932" s="1">
        <v>81</v>
      </c>
      <c r="I2932" s="1">
        <v>79</v>
      </c>
      <c r="J2932" t="str">
        <f t="shared" si="45"/>
        <v>http://www.badatelna.eu/reprodukce/?fondId=241&amp;zaznamId=1133738&amp;reproId=3885676</v>
      </c>
      <c r="K2932">
        <f>IF(LEN(TRIM(E2932))=0,"",VLOOKUP(E2932,Sheet2!$B$1:$E$19,2,FALSE))</f>
        <v>241</v>
      </c>
      <c r="L2932">
        <f>IF(LEN(TRIM(E2932))=0,"",VLOOKUP(E2932,Sheet2!$B$1:$E$19,3,FALSE))</f>
        <v>1133738</v>
      </c>
      <c r="M2932">
        <f>IF(LEN(TRIM(E2932))=0,"",VLOOKUP(E2932,Sheet2!$B$1:$E$19,4,FALSE))+(F2932-1)</f>
        <v>3885676</v>
      </c>
    </row>
    <row r="2933" spans="1:13" ht="15" customHeight="1" x14ac:dyDescent="0.25">
      <c r="A2933" s="28" t="s">
        <v>159</v>
      </c>
      <c r="B2933" s="28" t="s">
        <v>3033</v>
      </c>
      <c r="C2933" s="1">
        <v>1859</v>
      </c>
      <c r="D2933" s="1" t="s">
        <v>2919</v>
      </c>
      <c r="E2933" s="1">
        <v>998</v>
      </c>
      <c r="F2933" s="28">
        <v>57</v>
      </c>
      <c r="G2933" s="1">
        <v>54</v>
      </c>
      <c r="H2933" s="1">
        <v>81</v>
      </c>
      <c r="I2933" s="1">
        <v>79</v>
      </c>
      <c r="J2933" t="str">
        <f t="shared" si="45"/>
        <v>http://www.badatelna.eu/reprodukce/?fondId=241&amp;zaznamId=1133738&amp;reproId=3885703</v>
      </c>
      <c r="K2933">
        <f>IF(LEN(TRIM(E2933))=0,"",VLOOKUP(E2933,Sheet2!$B$1:$E$19,2,FALSE))</f>
        <v>241</v>
      </c>
      <c r="L2933">
        <f>IF(LEN(TRIM(E2933))=0,"",VLOOKUP(E2933,Sheet2!$B$1:$E$19,3,FALSE))</f>
        <v>1133738</v>
      </c>
      <c r="M2933">
        <f>IF(LEN(TRIM(E2933))=0,"",VLOOKUP(E2933,Sheet2!$B$1:$E$19,4,FALSE))+(F2933-1)</f>
        <v>3885703</v>
      </c>
    </row>
    <row r="2934" spans="1:13" ht="15" customHeight="1" x14ac:dyDescent="0.25">
      <c r="A2934" s="28" t="s">
        <v>159</v>
      </c>
      <c r="B2934" s="29" t="s">
        <v>496</v>
      </c>
      <c r="C2934" s="1">
        <v>1854</v>
      </c>
      <c r="D2934" s="1" t="s">
        <v>2919</v>
      </c>
      <c r="E2934" s="1">
        <v>998</v>
      </c>
      <c r="F2934" s="28">
        <v>43</v>
      </c>
      <c r="G2934" s="1">
        <v>41</v>
      </c>
      <c r="H2934" s="1">
        <v>81</v>
      </c>
      <c r="I2934" s="1">
        <v>79</v>
      </c>
      <c r="J2934" t="str">
        <f t="shared" si="45"/>
        <v>http://www.badatelna.eu/reprodukce/?fondId=241&amp;zaznamId=1133738&amp;reproId=3885689</v>
      </c>
      <c r="K2934">
        <f>IF(LEN(TRIM(E2934))=0,"",VLOOKUP(E2934,Sheet2!$B$1:$E$19,2,FALSE))</f>
        <v>241</v>
      </c>
      <c r="L2934">
        <f>IF(LEN(TRIM(E2934))=0,"",VLOOKUP(E2934,Sheet2!$B$1:$E$19,3,FALSE))</f>
        <v>1133738</v>
      </c>
      <c r="M2934">
        <f>IF(LEN(TRIM(E2934))=0,"",VLOOKUP(E2934,Sheet2!$B$1:$E$19,4,FALSE))+(F2934-1)</f>
        <v>3885689</v>
      </c>
    </row>
    <row r="2935" spans="1:13" ht="15" customHeight="1" x14ac:dyDescent="0.25">
      <c r="A2935" s="28" t="s">
        <v>159</v>
      </c>
      <c r="B2935" s="28" t="s">
        <v>49</v>
      </c>
      <c r="C2935" s="6" t="s">
        <v>2212</v>
      </c>
      <c r="D2935" s="1" t="s">
        <v>454</v>
      </c>
      <c r="E2935" s="1">
        <v>2173</v>
      </c>
      <c r="F2935" s="28">
        <v>177</v>
      </c>
      <c r="G2935" s="9">
        <v>1</v>
      </c>
      <c r="H2935" s="1">
        <v>194</v>
      </c>
      <c r="I2935" s="1">
        <v>431</v>
      </c>
      <c r="J2935" t="str">
        <f t="shared" si="45"/>
        <v>http://www.badatelna.eu/reprodukce/?fondId=1073&amp;zaznamId=1108959&amp;reproId=3780170</v>
      </c>
      <c r="K2935">
        <f>IF(LEN(TRIM(E2935))=0,"",VLOOKUP(E2935,Sheet2!$B$1:$E$19,2,FALSE))</f>
        <v>1073</v>
      </c>
      <c r="L2935">
        <f>IF(LEN(TRIM(E2935))=0,"",VLOOKUP(E2935,Sheet2!$B$1:$E$19,3,FALSE))</f>
        <v>1108959</v>
      </c>
      <c r="M2935">
        <f>IF(LEN(TRIM(E2935))=0,"",VLOOKUP(E2935,Sheet2!$B$1:$E$19,4,FALSE))+(F2935-1)</f>
        <v>3780170</v>
      </c>
    </row>
    <row r="2936" spans="1:13" ht="15" customHeight="1" x14ac:dyDescent="0.25">
      <c r="A2936" s="28" t="s">
        <v>159</v>
      </c>
      <c r="B2936" s="28" t="s">
        <v>490</v>
      </c>
      <c r="C2936" s="1">
        <v>1859</v>
      </c>
      <c r="D2936" s="1" t="s">
        <v>2919</v>
      </c>
      <c r="E2936" s="1">
        <v>998</v>
      </c>
      <c r="F2936" s="28">
        <v>57</v>
      </c>
      <c r="G2936" s="1">
        <v>54</v>
      </c>
      <c r="H2936" s="1">
        <v>81</v>
      </c>
      <c r="I2936" s="1">
        <v>79</v>
      </c>
      <c r="J2936" t="str">
        <f t="shared" si="45"/>
        <v>http://www.badatelna.eu/reprodukce/?fondId=241&amp;zaznamId=1133738&amp;reproId=3885703</v>
      </c>
      <c r="K2936">
        <f>IF(LEN(TRIM(E2936))=0,"",VLOOKUP(E2936,Sheet2!$B$1:$E$19,2,FALSE))</f>
        <v>241</v>
      </c>
      <c r="L2936">
        <f>IF(LEN(TRIM(E2936))=0,"",VLOOKUP(E2936,Sheet2!$B$1:$E$19,3,FALSE))</f>
        <v>1133738</v>
      </c>
      <c r="M2936">
        <f>IF(LEN(TRIM(E2936))=0,"",VLOOKUP(E2936,Sheet2!$B$1:$E$19,4,FALSE))+(F2936-1)</f>
        <v>3885703</v>
      </c>
    </row>
    <row r="2937" spans="1:13" ht="15" customHeight="1" x14ac:dyDescent="0.25">
      <c r="A2937" s="27" t="s">
        <v>159</v>
      </c>
      <c r="B2937" s="27" t="s">
        <v>314</v>
      </c>
      <c r="C2937" s="5" t="s">
        <v>1479</v>
      </c>
      <c r="D2937" s="3" t="s">
        <v>454</v>
      </c>
      <c r="E2937" s="3">
        <v>2170</v>
      </c>
      <c r="F2937" s="28">
        <v>22</v>
      </c>
      <c r="G2937" s="10">
        <v>18</v>
      </c>
      <c r="H2937" s="3">
        <v>73</v>
      </c>
      <c r="I2937" s="3">
        <v>69</v>
      </c>
      <c r="J2937" t="str">
        <f t="shared" si="45"/>
        <v>http://www.badatelna.eu/reprodukce/?fondId=1073&amp;zaznamId=1108956&amp;reproId=3779614</v>
      </c>
      <c r="K2937">
        <f>IF(LEN(TRIM(E2937))=0,"",VLOOKUP(E2937,Sheet2!$B$1:$E$19,2,FALSE))</f>
        <v>1073</v>
      </c>
      <c r="L2937">
        <f>IF(LEN(TRIM(E2937))=0,"",VLOOKUP(E2937,Sheet2!$B$1:$E$19,3,FALSE))</f>
        <v>1108956</v>
      </c>
      <c r="M2937">
        <f>IF(LEN(TRIM(E2937))=0,"",VLOOKUP(E2937,Sheet2!$B$1:$E$19,4,FALSE))+(F2937-1)</f>
        <v>3779614</v>
      </c>
    </row>
    <row r="2938" spans="1:13" ht="15" customHeight="1" x14ac:dyDescent="0.25">
      <c r="A2938" s="28" t="s">
        <v>159</v>
      </c>
      <c r="B2938" s="28" t="s">
        <v>39</v>
      </c>
      <c r="C2938" s="6" t="s">
        <v>2215</v>
      </c>
      <c r="D2938" s="1" t="s">
        <v>454</v>
      </c>
      <c r="E2938" s="1">
        <v>2173</v>
      </c>
      <c r="F2938" s="28">
        <v>182</v>
      </c>
      <c r="G2938" s="9">
        <v>11</v>
      </c>
      <c r="H2938" s="1">
        <v>194</v>
      </c>
      <c r="I2938" s="1">
        <v>431</v>
      </c>
      <c r="J2938" t="str">
        <f t="shared" si="45"/>
        <v>http://www.badatelna.eu/reprodukce/?fondId=1073&amp;zaznamId=1108959&amp;reproId=3780175</v>
      </c>
      <c r="K2938">
        <f>IF(LEN(TRIM(E2938))=0,"",VLOOKUP(E2938,Sheet2!$B$1:$E$19,2,FALSE))</f>
        <v>1073</v>
      </c>
      <c r="L2938">
        <f>IF(LEN(TRIM(E2938))=0,"",VLOOKUP(E2938,Sheet2!$B$1:$E$19,3,FALSE))</f>
        <v>1108959</v>
      </c>
      <c r="M2938">
        <f>IF(LEN(TRIM(E2938))=0,"",VLOOKUP(E2938,Sheet2!$B$1:$E$19,4,FALSE))+(F2938-1)</f>
        <v>3780175</v>
      </c>
    </row>
    <row r="2939" spans="1:13" ht="15" customHeight="1" x14ac:dyDescent="0.25">
      <c r="A2939" s="28" t="s">
        <v>159</v>
      </c>
      <c r="B2939" s="28" t="s">
        <v>177</v>
      </c>
      <c r="C2939" s="6" t="s">
        <v>2439</v>
      </c>
      <c r="D2939" s="1" t="s">
        <v>454</v>
      </c>
      <c r="E2939" s="1">
        <v>2173</v>
      </c>
      <c r="F2939" s="28">
        <v>203</v>
      </c>
      <c r="G2939" s="1">
        <v>15</v>
      </c>
      <c r="H2939" s="1" t="s">
        <v>3073</v>
      </c>
      <c r="I2939" s="1" t="s">
        <v>3073</v>
      </c>
      <c r="J2939" t="str">
        <f t="shared" si="45"/>
        <v>http://www.badatelna.eu/reprodukce/?fondId=1073&amp;zaznamId=1108959&amp;reproId=3780196</v>
      </c>
      <c r="K2939">
        <f>IF(LEN(TRIM(E2939))=0,"",VLOOKUP(E2939,Sheet2!$B$1:$E$19,2,FALSE))</f>
        <v>1073</v>
      </c>
      <c r="L2939">
        <f>IF(LEN(TRIM(E2939))=0,"",VLOOKUP(E2939,Sheet2!$B$1:$E$19,3,FALSE))</f>
        <v>1108959</v>
      </c>
      <c r="M2939">
        <f>IF(LEN(TRIM(E2939))=0,"",VLOOKUP(E2939,Sheet2!$B$1:$E$19,4,FALSE))+(F2939-1)</f>
        <v>3780196</v>
      </c>
    </row>
    <row r="2940" spans="1:13" ht="15" customHeight="1" x14ac:dyDescent="0.25">
      <c r="A2940" s="28" t="s">
        <v>159</v>
      </c>
      <c r="B2940" s="28" t="s">
        <v>143</v>
      </c>
      <c r="C2940" s="6" t="s">
        <v>2414</v>
      </c>
      <c r="D2940" s="1" t="s">
        <v>454</v>
      </c>
      <c r="E2940" s="1">
        <v>2173</v>
      </c>
      <c r="F2940" s="28">
        <v>202</v>
      </c>
      <c r="G2940" s="9">
        <v>13</v>
      </c>
      <c r="H2940" s="1" t="s">
        <v>3073</v>
      </c>
      <c r="I2940" s="1" t="s">
        <v>3073</v>
      </c>
      <c r="J2940" t="str">
        <f t="shared" si="45"/>
        <v>http://www.badatelna.eu/reprodukce/?fondId=1073&amp;zaznamId=1108959&amp;reproId=3780195</v>
      </c>
      <c r="K2940">
        <f>IF(LEN(TRIM(E2940))=0,"",VLOOKUP(E2940,Sheet2!$B$1:$E$19,2,FALSE))</f>
        <v>1073</v>
      </c>
      <c r="L2940">
        <f>IF(LEN(TRIM(E2940))=0,"",VLOOKUP(E2940,Sheet2!$B$1:$E$19,3,FALSE))</f>
        <v>1108959</v>
      </c>
      <c r="M2940">
        <f>IF(LEN(TRIM(E2940))=0,"",VLOOKUP(E2940,Sheet2!$B$1:$E$19,4,FALSE))+(F2940-1)</f>
        <v>3780195</v>
      </c>
    </row>
    <row r="2941" spans="1:13" ht="15" customHeight="1" x14ac:dyDescent="0.25">
      <c r="A2941" s="28" t="s">
        <v>159</v>
      </c>
      <c r="B2941" s="28" t="s">
        <v>143</v>
      </c>
      <c r="C2941" s="6" t="s">
        <v>2897</v>
      </c>
      <c r="D2941" s="1" t="s">
        <v>454</v>
      </c>
      <c r="E2941" s="1">
        <v>2173</v>
      </c>
      <c r="F2941" s="28">
        <v>211</v>
      </c>
      <c r="G2941" s="9" t="s">
        <v>2760</v>
      </c>
      <c r="H2941" s="1" t="s">
        <v>3073</v>
      </c>
      <c r="I2941" s="1" t="s">
        <v>3073</v>
      </c>
      <c r="J2941" t="str">
        <f t="shared" si="45"/>
        <v>http://www.badatelna.eu/reprodukce/?fondId=1073&amp;zaznamId=1108959&amp;reproId=3780204</v>
      </c>
      <c r="K2941">
        <f>IF(LEN(TRIM(E2941))=0,"",VLOOKUP(E2941,Sheet2!$B$1:$E$19,2,FALSE))</f>
        <v>1073</v>
      </c>
      <c r="L2941">
        <f>IF(LEN(TRIM(E2941))=0,"",VLOOKUP(E2941,Sheet2!$B$1:$E$19,3,FALSE))</f>
        <v>1108959</v>
      </c>
      <c r="M2941">
        <f>IF(LEN(TRIM(E2941))=0,"",VLOOKUP(E2941,Sheet2!$B$1:$E$19,4,FALSE))+(F2941-1)</f>
        <v>3780204</v>
      </c>
    </row>
    <row r="2942" spans="1:13" ht="15" customHeight="1" x14ac:dyDescent="0.25">
      <c r="A2942" s="28" t="s">
        <v>159</v>
      </c>
      <c r="B2942" s="28" t="s">
        <v>407</v>
      </c>
      <c r="C2942" s="1">
        <v>1853</v>
      </c>
      <c r="D2942" s="1" t="s">
        <v>2919</v>
      </c>
      <c r="E2942" s="1">
        <v>998</v>
      </c>
      <c r="F2942" s="28">
        <v>37</v>
      </c>
      <c r="G2942" s="1">
        <v>35</v>
      </c>
      <c r="H2942" s="1">
        <v>81</v>
      </c>
      <c r="I2942" s="1">
        <v>79</v>
      </c>
      <c r="J2942" t="str">
        <f t="shared" si="45"/>
        <v>http://www.badatelna.eu/reprodukce/?fondId=241&amp;zaznamId=1133738&amp;reproId=3885683</v>
      </c>
      <c r="K2942">
        <f>IF(LEN(TRIM(E2942))=0,"",VLOOKUP(E2942,Sheet2!$B$1:$E$19,2,FALSE))</f>
        <v>241</v>
      </c>
      <c r="L2942">
        <f>IF(LEN(TRIM(E2942))=0,"",VLOOKUP(E2942,Sheet2!$B$1:$E$19,3,FALSE))</f>
        <v>1133738</v>
      </c>
      <c r="M2942">
        <f>IF(LEN(TRIM(E2942))=0,"",VLOOKUP(E2942,Sheet2!$B$1:$E$19,4,FALSE))+(F2942-1)</f>
        <v>3885683</v>
      </c>
    </row>
    <row r="2943" spans="1:13" ht="15" customHeight="1" x14ac:dyDescent="0.25">
      <c r="A2943" s="28" t="s">
        <v>159</v>
      </c>
      <c r="B2943" s="28" t="s">
        <v>386</v>
      </c>
      <c r="C2943" s="6" t="s">
        <v>2214</v>
      </c>
      <c r="D2943" s="1" t="s">
        <v>454</v>
      </c>
      <c r="E2943" s="1">
        <v>2173</v>
      </c>
      <c r="F2943" s="28">
        <v>182</v>
      </c>
      <c r="G2943" s="9">
        <v>11</v>
      </c>
      <c r="H2943" s="1">
        <v>194</v>
      </c>
      <c r="I2943" s="1">
        <v>431</v>
      </c>
      <c r="J2943" t="str">
        <f t="shared" si="45"/>
        <v>http://www.badatelna.eu/reprodukce/?fondId=1073&amp;zaznamId=1108959&amp;reproId=3780175</v>
      </c>
      <c r="K2943">
        <f>IF(LEN(TRIM(E2943))=0,"",VLOOKUP(E2943,Sheet2!$B$1:$E$19,2,FALSE))</f>
        <v>1073</v>
      </c>
      <c r="L2943">
        <f>IF(LEN(TRIM(E2943))=0,"",VLOOKUP(E2943,Sheet2!$B$1:$E$19,3,FALSE))</f>
        <v>1108959</v>
      </c>
      <c r="M2943">
        <f>IF(LEN(TRIM(E2943))=0,"",VLOOKUP(E2943,Sheet2!$B$1:$E$19,4,FALSE))+(F2943-1)</f>
        <v>3780175</v>
      </c>
    </row>
    <row r="2944" spans="1:13" ht="15" customHeight="1" x14ac:dyDescent="0.25">
      <c r="A2944" s="28" t="s">
        <v>159</v>
      </c>
      <c r="B2944" s="28" t="s">
        <v>311</v>
      </c>
      <c r="C2944" s="1">
        <v>1855</v>
      </c>
      <c r="D2944" s="1" t="s">
        <v>2919</v>
      </c>
      <c r="E2944" s="1">
        <v>998</v>
      </c>
      <c r="F2944" s="28">
        <v>44</v>
      </c>
      <c r="G2944" s="1">
        <v>42</v>
      </c>
      <c r="H2944" s="1">
        <v>81</v>
      </c>
      <c r="I2944" s="1">
        <v>79</v>
      </c>
      <c r="J2944" t="str">
        <f t="shared" si="45"/>
        <v>http://www.badatelna.eu/reprodukce/?fondId=241&amp;zaznamId=1133738&amp;reproId=3885690</v>
      </c>
      <c r="K2944">
        <f>IF(LEN(TRIM(E2944))=0,"",VLOOKUP(E2944,Sheet2!$B$1:$E$19,2,FALSE))</f>
        <v>241</v>
      </c>
      <c r="L2944">
        <f>IF(LEN(TRIM(E2944))=0,"",VLOOKUP(E2944,Sheet2!$B$1:$E$19,3,FALSE))</f>
        <v>1133738</v>
      </c>
      <c r="M2944">
        <f>IF(LEN(TRIM(E2944))=0,"",VLOOKUP(E2944,Sheet2!$B$1:$E$19,4,FALSE))+(F2944-1)</f>
        <v>3885690</v>
      </c>
    </row>
    <row r="2945" spans="1:13" ht="15" customHeight="1" x14ac:dyDescent="0.25">
      <c r="A2945" s="28" t="s">
        <v>159</v>
      </c>
      <c r="B2945" s="28" t="s">
        <v>311</v>
      </c>
      <c r="C2945" s="6" t="s">
        <v>2739</v>
      </c>
      <c r="D2945" s="1" t="s">
        <v>454</v>
      </c>
      <c r="E2945" s="1">
        <v>2173</v>
      </c>
      <c r="F2945" s="28">
        <v>227</v>
      </c>
      <c r="G2945" s="9">
        <v>59</v>
      </c>
      <c r="H2945" s="1" t="s">
        <v>3073</v>
      </c>
      <c r="I2945" s="1" t="s">
        <v>3073</v>
      </c>
      <c r="J2945" t="str">
        <f t="shared" si="45"/>
        <v>http://www.badatelna.eu/reprodukce/?fondId=1073&amp;zaznamId=1108959&amp;reproId=3780220</v>
      </c>
      <c r="K2945">
        <f>IF(LEN(TRIM(E2945))=0,"",VLOOKUP(E2945,Sheet2!$B$1:$E$19,2,FALSE))</f>
        <v>1073</v>
      </c>
      <c r="L2945">
        <f>IF(LEN(TRIM(E2945))=0,"",VLOOKUP(E2945,Sheet2!$B$1:$E$19,3,FALSE))</f>
        <v>1108959</v>
      </c>
      <c r="M2945">
        <f>IF(LEN(TRIM(E2945))=0,"",VLOOKUP(E2945,Sheet2!$B$1:$E$19,4,FALSE))+(F2945-1)</f>
        <v>3780220</v>
      </c>
    </row>
    <row r="2946" spans="1:13" ht="15" customHeight="1" x14ac:dyDescent="0.25">
      <c r="A2946" s="29" t="s">
        <v>2813</v>
      </c>
      <c r="B2946" s="28" t="s">
        <v>21</v>
      </c>
      <c r="C2946" s="6" t="s">
        <v>2362</v>
      </c>
      <c r="D2946" s="1" t="s">
        <v>454</v>
      </c>
      <c r="E2946" s="1">
        <v>2173</v>
      </c>
      <c r="F2946" s="28">
        <v>201</v>
      </c>
      <c r="G2946" s="9">
        <v>11</v>
      </c>
      <c r="H2946" s="1" t="s">
        <v>3073</v>
      </c>
      <c r="I2946" s="1" t="s">
        <v>3073</v>
      </c>
      <c r="J2946" t="str">
        <f t="shared" si="45"/>
        <v>http://www.badatelna.eu/reprodukce/?fondId=1073&amp;zaznamId=1108959&amp;reproId=3780194</v>
      </c>
      <c r="K2946">
        <f>IF(LEN(TRIM(E2946))=0,"",VLOOKUP(E2946,Sheet2!$B$1:$E$19,2,FALSE))</f>
        <v>1073</v>
      </c>
      <c r="L2946">
        <f>IF(LEN(TRIM(E2946))=0,"",VLOOKUP(E2946,Sheet2!$B$1:$E$19,3,FALSE))</f>
        <v>1108959</v>
      </c>
      <c r="M2946">
        <f>IF(LEN(TRIM(E2946))=0,"",VLOOKUP(E2946,Sheet2!$B$1:$E$19,4,FALSE))+(F2946-1)</f>
        <v>3780194</v>
      </c>
    </row>
    <row r="2947" spans="1:13" ht="15" customHeight="1" x14ac:dyDescent="0.25">
      <c r="A2947" s="28" t="s">
        <v>82</v>
      </c>
      <c r="B2947" s="28" t="s">
        <v>126</v>
      </c>
      <c r="C2947" s="1">
        <v>1884</v>
      </c>
      <c r="D2947" s="1" t="s">
        <v>454</v>
      </c>
      <c r="E2947" s="1">
        <v>2172</v>
      </c>
      <c r="F2947" s="28">
        <v>39</v>
      </c>
      <c r="G2947" s="9" t="s">
        <v>3080</v>
      </c>
      <c r="H2947" s="1">
        <v>43</v>
      </c>
      <c r="I2947" s="1">
        <v>42</v>
      </c>
      <c r="J2947" t="str">
        <f t="shared" ref="J2947:J2975" si="46">IF(LEN(TRIM(E2947))=0,"","http://www.badatelna.eu/reprodukce/?fondId="&amp;K2947&amp;"&amp;zaznamId="&amp;L2947&amp;"&amp;reproId="&amp;M2947)</f>
        <v>http://www.badatelna.eu/reprodukce/?fondId=1073&amp;zaznamId=1108958&amp;reproId=3779780</v>
      </c>
      <c r="K2947">
        <f>IF(LEN(TRIM(E2947))=0,"",VLOOKUP(E2947,Sheet2!$B$1:$E$19,2,FALSE))</f>
        <v>1073</v>
      </c>
      <c r="L2947">
        <f>IF(LEN(TRIM(E2947))=0,"",VLOOKUP(E2947,Sheet2!$B$1:$E$19,3,FALSE))</f>
        <v>1108958</v>
      </c>
      <c r="M2947">
        <f>IF(LEN(TRIM(E2947))=0,"",VLOOKUP(E2947,Sheet2!$B$1:$E$19,4,FALSE))+(F2947-1)</f>
        <v>3779780</v>
      </c>
    </row>
    <row r="2948" spans="1:13" ht="15" customHeight="1" x14ac:dyDescent="0.25">
      <c r="A2948" s="28" t="s">
        <v>82</v>
      </c>
      <c r="B2948" s="28" t="s">
        <v>126</v>
      </c>
      <c r="C2948" s="6" t="s">
        <v>2851</v>
      </c>
      <c r="D2948" s="1" t="s">
        <v>454</v>
      </c>
      <c r="E2948" s="1">
        <v>2173</v>
      </c>
      <c r="F2948" s="28">
        <v>209</v>
      </c>
      <c r="G2948" s="9" t="s">
        <v>2758</v>
      </c>
      <c r="H2948" s="1" t="s">
        <v>3073</v>
      </c>
      <c r="I2948" s="1" t="s">
        <v>3073</v>
      </c>
      <c r="J2948" t="str">
        <f t="shared" si="46"/>
        <v>http://www.badatelna.eu/reprodukce/?fondId=1073&amp;zaznamId=1108959&amp;reproId=3780202</v>
      </c>
      <c r="K2948">
        <f>IF(LEN(TRIM(E2948))=0,"",VLOOKUP(E2948,Sheet2!$B$1:$E$19,2,FALSE))</f>
        <v>1073</v>
      </c>
      <c r="L2948">
        <f>IF(LEN(TRIM(E2948))=0,"",VLOOKUP(E2948,Sheet2!$B$1:$E$19,3,FALSE))</f>
        <v>1108959</v>
      </c>
      <c r="M2948">
        <f>IF(LEN(TRIM(E2948))=0,"",VLOOKUP(E2948,Sheet2!$B$1:$E$19,4,FALSE))+(F2948-1)</f>
        <v>3780202</v>
      </c>
    </row>
    <row r="2949" spans="1:13" ht="15" customHeight="1" x14ac:dyDescent="0.25">
      <c r="A2949" s="28" t="s">
        <v>82</v>
      </c>
      <c r="B2949" s="28" t="s">
        <v>172</v>
      </c>
      <c r="C2949" s="6" t="s">
        <v>1621</v>
      </c>
      <c r="D2949" s="1" t="s">
        <v>454</v>
      </c>
      <c r="E2949" s="1">
        <v>2172</v>
      </c>
      <c r="F2949" s="28">
        <v>75</v>
      </c>
      <c r="G2949" s="9">
        <v>74</v>
      </c>
      <c r="H2949" s="1">
        <v>77</v>
      </c>
      <c r="I2949" s="1">
        <v>76</v>
      </c>
      <c r="J2949" t="str">
        <f t="shared" si="46"/>
        <v>http://www.badatelna.eu/reprodukce/?fondId=1073&amp;zaznamId=1108958&amp;reproId=3779816</v>
      </c>
      <c r="K2949">
        <f>IF(LEN(TRIM(E2949))=0,"",VLOOKUP(E2949,Sheet2!$B$1:$E$19,2,FALSE))</f>
        <v>1073</v>
      </c>
      <c r="L2949">
        <f>IF(LEN(TRIM(E2949))=0,"",VLOOKUP(E2949,Sheet2!$B$1:$E$19,3,FALSE))</f>
        <v>1108958</v>
      </c>
      <c r="M2949">
        <f>IF(LEN(TRIM(E2949))=0,"",VLOOKUP(E2949,Sheet2!$B$1:$E$19,4,FALSE))+(F2949-1)</f>
        <v>3779816</v>
      </c>
    </row>
    <row r="2950" spans="1:13" ht="15" customHeight="1" x14ac:dyDescent="0.25">
      <c r="A2950" s="28" t="s">
        <v>82</v>
      </c>
      <c r="B2950" s="28" t="s">
        <v>25</v>
      </c>
      <c r="C2950" s="6" t="s">
        <v>2281</v>
      </c>
      <c r="D2950" s="1" t="s">
        <v>454</v>
      </c>
      <c r="E2950" s="1">
        <v>2173</v>
      </c>
      <c r="F2950" s="31">
        <v>197</v>
      </c>
      <c r="G2950" s="12">
        <v>4</v>
      </c>
      <c r="H2950" s="1" t="s">
        <v>3073</v>
      </c>
      <c r="I2950" s="1" t="s">
        <v>3073</v>
      </c>
      <c r="J2950" t="str">
        <f t="shared" si="46"/>
        <v>http://www.badatelna.eu/reprodukce/?fondId=1073&amp;zaznamId=1108959&amp;reproId=3780190</v>
      </c>
      <c r="K2950">
        <f>IF(LEN(TRIM(E2950))=0,"",VLOOKUP(E2950,Sheet2!$B$1:$E$19,2,FALSE))</f>
        <v>1073</v>
      </c>
      <c r="L2950">
        <f>IF(LEN(TRIM(E2950))=0,"",VLOOKUP(E2950,Sheet2!$B$1:$E$19,3,FALSE))</f>
        <v>1108959</v>
      </c>
      <c r="M2950">
        <f>IF(LEN(TRIM(E2950))=0,"",VLOOKUP(E2950,Sheet2!$B$1:$E$19,4,FALSE))+(F2950-1)</f>
        <v>3780190</v>
      </c>
    </row>
    <row r="2951" spans="1:13" ht="15" customHeight="1" x14ac:dyDescent="0.25">
      <c r="A2951" s="28" t="s">
        <v>82</v>
      </c>
      <c r="B2951" s="28" t="s">
        <v>25</v>
      </c>
      <c r="C2951" s="6" t="s">
        <v>2611</v>
      </c>
      <c r="D2951" s="1" t="s">
        <v>454</v>
      </c>
      <c r="E2951" s="1">
        <v>2173</v>
      </c>
      <c r="F2951" s="28">
        <v>218</v>
      </c>
      <c r="G2951" s="9">
        <v>45</v>
      </c>
      <c r="H2951" s="1" t="s">
        <v>3073</v>
      </c>
      <c r="I2951" s="1" t="s">
        <v>3073</v>
      </c>
      <c r="J2951" t="str">
        <f t="shared" si="46"/>
        <v>http://www.badatelna.eu/reprodukce/?fondId=1073&amp;zaznamId=1108959&amp;reproId=3780211</v>
      </c>
      <c r="K2951">
        <f>IF(LEN(TRIM(E2951))=0,"",VLOOKUP(E2951,Sheet2!$B$1:$E$19,2,FALSE))</f>
        <v>1073</v>
      </c>
      <c r="L2951">
        <f>IF(LEN(TRIM(E2951))=0,"",VLOOKUP(E2951,Sheet2!$B$1:$E$19,3,FALSE))</f>
        <v>1108959</v>
      </c>
      <c r="M2951">
        <f>IF(LEN(TRIM(E2951))=0,"",VLOOKUP(E2951,Sheet2!$B$1:$E$19,4,FALSE))+(F2951-1)</f>
        <v>3780211</v>
      </c>
    </row>
    <row r="2952" spans="1:13" ht="15" customHeight="1" x14ac:dyDescent="0.25">
      <c r="A2952" s="29" t="s">
        <v>82</v>
      </c>
      <c r="B2952" s="28" t="s">
        <v>101</v>
      </c>
      <c r="C2952" s="6" t="s">
        <v>2361</v>
      </c>
      <c r="D2952" s="1" t="s">
        <v>454</v>
      </c>
      <c r="E2952" s="1">
        <v>2173</v>
      </c>
      <c r="F2952" s="28">
        <v>201</v>
      </c>
      <c r="G2952" s="9">
        <v>12</v>
      </c>
      <c r="H2952" s="1" t="s">
        <v>3073</v>
      </c>
      <c r="I2952" s="1" t="s">
        <v>3073</v>
      </c>
      <c r="J2952" t="str">
        <f t="shared" si="46"/>
        <v>http://www.badatelna.eu/reprodukce/?fondId=1073&amp;zaznamId=1108959&amp;reproId=3780194</v>
      </c>
      <c r="K2952">
        <f>IF(LEN(TRIM(E2952))=0,"",VLOOKUP(E2952,Sheet2!$B$1:$E$19,2,FALSE))</f>
        <v>1073</v>
      </c>
      <c r="L2952">
        <f>IF(LEN(TRIM(E2952))=0,"",VLOOKUP(E2952,Sheet2!$B$1:$E$19,3,FALSE))</f>
        <v>1108959</v>
      </c>
      <c r="M2952">
        <f>IF(LEN(TRIM(E2952))=0,"",VLOOKUP(E2952,Sheet2!$B$1:$E$19,4,FALSE))+(F2952-1)</f>
        <v>3780194</v>
      </c>
    </row>
    <row r="2953" spans="1:13" ht="15" customHeight="1" x14ac:dyDescent="0.25">
      <c r="A2953" s="28" t="s">
        <v>82</v>
      </c>
      <c r="B2953" s="28" t="s">
        <v>380</v>
      </c>
      <c r="C2953" s="6" t="s">
        <v>2217</v>
      </c>
      <c r="D2953" s="1" t="s">
        <v>454</v>
      </c>
      <c r="E2953" s="1">
        <v>2173</v>
      </c>
      <c r="F2953" s="28">
        <v>180</v>
      </c>
      <c r="G2953" s="9">
        <v>6</v>
      </c>
      <c r="H2953" s="1">
        <v>194</v>
      </c>
      <c r="I2953" s="1">
        <v>431</v>
      </c>
      <c r="J2953" t="str">
        <f t="shared" si="46"/>
        <v>http://www.badatelna.eu/reprodukce/?fondId=1073&amp;zaznamId=1108959&amp;reproId=3780173</v>
      </c>
      <c r="K2953">
        <f>IF(LEN(TRIM(E2953))=0,"",VLOOKUP(E2953,Sheet2!$B$1:$E$19,2,FALSE))</f>
        <v>1073</v>
      </c>
      <c r="L2953">
        <f>IF(LEN(TRIM(E2953))=0,"",VLOOKUP(E2953,Sheet2!$B$1:$E$19,3,FALSE))</f>
        <v>1108959</v>
      </c>
      <c r="M2953">
        <f>IF(LEN(TRIM(E2953))=0,"",VLOOKUP(E2953,Sheet2!$B$1:$E$19,4,FALSE))+(F2953-1)</f>
        <v>3780173</v>
      </c>
    </row>
    <row r="2954" spans="1:13" ht="15" customHeight="1" x14ac:dyDescent="0.25">
      <c r="A2954" s="29" t="s">
        <v>2834</v>
      </c>
      <c r="B2954" s="28" t="s">
        <v>48</v>
      </c>
      <c r="C2954" s="6" t="s">
        <v>2568</v>
      </c>
      <c r="D2954" s="1" t="s">
        <v>454</v>
      </c>
      <c r="E2954" s="1">
        <v>2173</v>
      </c>
      <c r="F2954" s="28">
        <v>208</v>
      </c>
      <c r="G2954" s="1">
        <v>25</v>
      </c>
      <c r="H2954" s="1" t="s">
        <v>3073</v>
      </c>
      <c r="I2954" s="1" t="s">
        <v>3073</v>
      </c>
      <c r="J2954" t="str">
        <f t="shared" si="46"/>
        <v>http://www.badatelna.eu/reprodukce/?fondId=1073&amp;zaznamId=1108959&amp;reproId=3780201</v>
      </c>
      <c r="K2954">
        <f>IF(LEN(TRIM(E2954))=0,"",VLOOKUP(E2954,Sheet2!$B$1:$E$19,2,FALSE))</f>
        <v>1073</v>
      </c>
      <c r="L2954">
        <f>IF(LEN(TRIM(E2954))=0,"",VLOOKUP(E2954,Sheet2!$B$1:$E$19,3,FALSE))</f>
        <v>1108959</v>
      </c>
      <c r="M2954">
        <f>IF(LEN(TRIM(E2954))=0,"",VLOOKUP(E2954,Sheet2!$B$1:$E$19,4,FALSE))+(F2954-1)</f>
        <v>3780201</v>
      </c>
    </row>
    <row r="2955" spans="1:13" ht="15" customHeight="1" x14ac:dyDescent="0.2">
      <c r="A2955" s="31" t="s">
        <v>59</v>
      </c>
      <c r="B2955" s="31" t="s">
        <v>60</v>
      </c>
      <c r="C2955" s="7" t="s">
        <v>2282</v>
      </c>
      <c r="D2955" s="1" t="s">
        <v>454</v>
      </c>
      <c r="E2955" s="1">
        <v>2173</v>
      </c>
      <c r="F2955" s="31">
        <v>197</v>
      </c>
      <c r="G2955" s="12">
        <v>3</v>
      </c>
      <c r="H2955" s="1" t="s">
        <v>3073</v>
      </c>
      <c r="I2955" s="1" t="s">
        <v>3073</v>
      </c>
      <c r="J2955" t="str">
        <f t="shared" si="46"/>
        <v>http://www.badatelna.eu/reprodukce/?fondId=1073&amp;zaznamId=1108959&amp;reproId=3780190</v>
      </c>
      <c r="K2955">
        <f>IF(LEN(TRIM(E2955))=0,"",VLOOKUP(E2955,Sheet2!$B$1:$E$19,2,FALSE))</f>
        <v>1073</v>
      </c>
      <c r="L2955">
        <f>IF(LEN(TRIM(E2955))=0,"",VLOOKUP(E2955,Sheet2!$B$1:$E$19,3,FALSE))</f>
        <v>1108959</v>
      </c>
      <c r="M2955">
        <f>IF(LEN(TRIM(E2955))=0,"",VLOOKUP(E2955,Sheet2!$B$1:$E$19,4,FALSE))+(F2955-1)</f>
        <v>3780190</v>
      </c>
    </row>
    <row r="2956" spans="1:13" ht="15" customHeight="1" x14ac:dyDescent="0.25">
      <c r="A2956" s="28" t="s">
        <v>655</v>
      </c>
      <c r="B2956" s="28" t="s">
        <v>40</v>
      </c>
      <c r="C2956" s="6" t="s">
        <v>1843</v>
      </c>
      <c r="D2956" s="1" t="s">
        <v>454</v>
      </c>
      <c r="E2956" s="1">
        <v>2172</v>
      </c>
      <c r="F2956" s="28">
        <v>177</v>
      </c>
      <c r="G2956" s="9">
        <v>170</v>
      </c>
      <c r="H2956" s="1" t="s">
        <v>3073</v>
      </c>
      <c r="I2956" s="1" t="s">
        <v>3073</v>
      </c>
      <c r="J2956" t="str">
        <f t="shared" si="46"/>
        <v>http://www.badatelna.eu/reprodukce/?fondId=1073&amp;zaznamId=1108958&amp;reproId=3779918</v>
      </c>
      <c r="K2956">
        <f>IF(LEN(TRIM(E2956))=0,"",VLOOKUP(E2956,Sheet2!$B$1:$E$19,2,FALSE))</f>
        <v>1073</v>
      </c>
      <c r="L2956">
        <f>IF(LEN(TRIM(E2956))=0,"",VLOOKUP(E2956,Sheet2!$B$1:$E$19,3,FALSE))</f>
        <v>1108958</v>
      </c>
      <c r="M2956">
        <f>IF(LEN(TRIM(E2956))=0,"",VLOOKUP(E2956,Sheet2!$B$1:$E$19,4,FALSE))+(F2956-1)</f>
        <v>3779918</v>
      </c>
    </row>
    <row r="2957" spans="1:13" ht="15" customHeight="1" x14ac:dyDescent="0.25">
      <c r="A2957" s="28" t="s">
        <v>655</v>
      </c>
      <c r="B2957" s="28" t="s">
        <v>552</v>
      </c>
      <c r="C2957" s="1">
        <v>1883</v>
      </c>
      <c r="D2957" s="1" t="s">
        <v>454</v>
      </c>
      <c r="E2957" s="1">
        <v>2172</v>
      </c>
      <c r="F2957" s="28">
        <v>33</v>
      </c>
      <c r="G2957" s="9" t="s">
        <v>2760</v>
      </c>
      <c r="H2957" s="1">
        <v>37</v>
      </c>
      <c r="I2957" s="1">
        <v>36</v>
      </c>
      <c r="J2957" t="str">
        <f t="shared" si="46"/>
        <v>http://www.badatelna.eu/reprodukce/?fondId=1073&amp;zaznamId=1108958&amp;reproId=3779774</v>
      </c>
      <c r="K2957">
        <f>IF(LEN(TRIM(E2957))=0,"",VLOOKUP(E2957,Sheet2!$B$1:$E$19,2,FALSE))</f>
        <v>1073</v>
      </c>
      <c r="L2957">
        <f>IF(LEN(TRIM(E2957))=0,"",VLOOKUP(E2957,Sheet2!$B$1:$E$19,3,FALSE))</f>
        <v>1108958</v>
      </c>
      <c r="M2957">
        <f>IF(LEN(TRIM(E2957))=0,"",VLOOKUP(E2957,Sheet2!$B$1:$E$19,4,FALSE))+(F2957-1)</f>
        <v>3779774</v>
      </c>
    </row>
    <row r="2958" spans="1:13" ht="15" customHeight="1" x14ac:dyDescent="0.25">
      <c r="A2958" s="28" t="s">
        <v>186</v>
      </c>
      <c r="B2958" s="28" t="s">
        <v>3035</v>
      </c>
      <c r="C2958" s="1">
        <v>1849</v>
      </c>
      <c r="D2958" s="1" t="s">
        <v>2919</v>
      </c>
      <c r="E2958" s="1">
        <v>998</v>
      </c>
      <c r="F2958" s="28">
        <v>28</v>
      </c>
      <c r="G2958" s="1">
        <v>26</v>
      </c>
      <c r="H2958" s="1">
        <v>82</v>
      </c>
      <c r="I2958" s="1">
        <v>82</v>
      </c>
      <c r="J2958" t="str">
        <f t="shared" si="46"/>
        <v>http://www.badatelna.eu/reprodukce/?fondId=241&amp;zaznamId=1133738&amp;reproId=3885674</v>
      </c>
      <c r="K2958">
        <f>IF(LEN(TRIM(E2958))=0,"",VLOOKUP(E2958,Sheet2!$B$1:$E$19,2,FALSE))</f>
        <v>241</v>
      </c>
      <c r="L2958">
        <f>IF(LEN(TRIM(E2958))=0,"",VLOOKUP(E2958,Sheet2!$B$1:$E$19,3,FALSE))</f>
        <v>1133738</v>
      </c>
      <c r="M2958">
        <f>IF(LEN(TRIM(E2958))=0,"",VLOOKUP(E2958,Sheet2!$B$1:$E$19,4,FALSE))+(F2958-1)</f>
        <v>3885674</v>
      </c>
    </row>
    <row r="2959" spans="1:13" ht="15" customHeight="1" x14ac:dyDescent="0.25">
      <c r="A2959" s="28" t="s">
        <v>186</v>
      </c>
      <c r="B2959" s="28" t="s">
        <v>2856</v>
      </c>
      <c r="C2959" s="6" t="s">
        <v>2855</v>
      </c>
      <c r="D2959" s="1" t="s">
        <v>454</v>
      </c>
      <c r="E2959" s="1">
        <v>2173</v>
      </c>
      <c r="F2959" s="28">
        <v>209</v>
      </c>
      <c r="G2959" s="9" t="s">
        <v>2758</v>
      </c>
      <c r="H2959" s="1" t="s">
        <v>3073</v>
      </c>
      <c r="I2959" s="1" t="s">
        <v>3073</v>
      </c>
      <c r="J2959" t="str">
        <f t="shared" si="46"/>
        <v>http://www.badatelna.eu/reprodukce/?fondId=1073&amp;zaznamId=1108959&amp;reproId=3780202</v>
      </c>
      <c r="K2959">
        <f>IF(LEN(TRIM(E2959))=0,"",VLOOKUP(E2959,Sheet2!$B$1:$E$19,2,FALSE))</f>
        <v>1073</v>
      </c>
      <c r="L2959">
        <f>IF(LEN(TRIM(E2959))=0,"",VLOOKUP(E2959,Sheet2!$B$1:$E$19,3,FALSE))</f>
        <v>1108959</v>
      </c>
      <c r="M2959">
        <f>IF(LEN(TRIM(E2959))=0,"",VLOOKUP(E2959,Sheet2!$B$1:$E$19,4,FALSE))+(F2959-1)</f>
        <v>3780202</v>
      </c>
    </row>
    <row r="2960" spans="1:13" ht="15" customHeight="1" x14ac:dyDescent="0.25">
      <c r="A2960" s="28" t="s">
        <v>186</v>
      </c>
      <c r="B2960" s="28" t="s">
        <v>39</v>
      </c>
      <c r="C2960" s="6" t="s">
        <v>2440</v>
      </c>
      <c r="D2960" s="1" t="s">
        <v>454</v>
      </c>
      <c r="E2960" s="1">
        <v>2173</v>
      </c>
      <c r="F2960" s="28">
        <v>203</v>
      </c>
      <c r="G2960" s="1">
        <v>16</v>
      </c>
      <c r="H2960" s="1" t="s">
        <v>3073</v>
      </c>
      <c r="I2960" s="1" t="s">
        <v>3073</v>
      </c>
      <c r="J2960" t="str">
        <f t="shared" si="46"/>
        <v>http://www.badatelna.eu/reprodukce/?fondId=1073&amp;zaznamId=1108959&amp;reproId=3780196</v>
      </c>
      <c r="K2960">
        <f>IF(LEN(TRIM(E2960))=0,"",VLOOKUP(E2960,Sheet2!$B$1:$E$19,2,FALSE))</f>
        <v>1073</v>
      </c>
      <c r="L2960">
        <f>IF(LEN(TRIM(E2960))=0,"",VLOOKUP(E2960,Sheet2!$B$1:$E$19,3,FALSE))</f>
        <v>1108959</v>
      </c>
      <c r="M2960">
        <f>IF(LEN(TRIM(E2960))=0,"",VLOOKUP(E2960,Sheet2!$B$1:$E$19,4,FALSE))+(F2960-1)</f>
        <v>3780196</v>
      </c>
    </row>
    <row r="2961" spans="1:13" ht="15" customHeight="1" x14ac:dyDescent="0.25">
      <c r="A2961" s="28" t="s">
        <v>97</v>
      </c>
      <c r="B2961" s="28" t="s">
        <v>29</v>
      </c>
      <c r="C2961" s="6" t="s">
        <v>2527</v>
      </c>
      <c r="D2961" s="1" t="s">
        <v>454</v>
      </c>
      <c r="E2961" s="1">
        <v>2173</v>
      </c>
      <c r="F2961" s="28">
        <v>206</v>
      </c>
      <c r="G2961" s="1">
        <v>21</v>
      </c>
      <c r="H2961" s="1" t="s">
        <v>3073</v>
      </c>
      <c r="I2961" s="1" t="s">
        <v>3073</v>
      </c>
      <c r="J2961" t="str">
        <f t="shared" si="46"/>
        <v>http://www.badatelna.eu/reprodukce/?fondId=1073&amp;zaznamId=1108959&amp;reproId=3780199</v>
      </c>
      <c r="K2961">
        <f>IF(LEN(TRIM(E2961))=0,"",VLOOKUP(E2961,Sheet2!$B$1:$E$19,2,FALSE))</f>
        <v>1073</v>
      </c>
      <c r="L2961">
        <f>IF(LEN(TRIM(E2961))=0,"",VLOOKUP(E2961,Sheet2!$B$1:$E$19,3,FALSE))</f>
        <v>1108959</v>
      </c>
      <c r="M2961">
        <f>IF(LEN(TRIM(E2961))=0,"",VLOOKUP(E2961,Sheet2!$B$1:$E$19,4,FALSE))+(F2961-1)</f>
        <v>3780199</v>
      </c>
    </row>
    <row r="2962" spans="1:13" ht="15" customHeight="1" x14ac:dyDescent="0.25">
      <c r="A2962" s="28" t="s">
        <v>97</v>
      </c>
      <c r="B2962" s="28" t="s">
        <v>707</v>
      </c>
      <c r="C2962" s="1">
        <v>1847</v>
      </c>
      <c r="D2962" s="1" t="s">
        <v>2919</v>
      </c>
      <c r="E2962" s="1">
        <v>998</v>
      </c>
      <c r="F2962" s="28">
        <v>6</v>
      </c>
      <c r="G2962" s="1">
        <v>4</v>
      </c>
      <c r="H2962" s="1">
        <v>82</v>
      </c>
      <c r="I2962" s="1">
        <v>82</v>
      </c>
      <c r="J2962" t="str">
        <f t="shared" si="46"/>
        <v>http://www.badatelna.eu/reprodukce/?fondId=241&amp;zaznamId=1133738&amp;reproId=3885652</v>
      </c>
      <c r="K2962">
        <f>IF(LEN(TRIM(E2962))=0,"",VLOOKUP(E2962,Sheet2!$B$1:$E$19,2,FALSE))</f>
        <v>241</v>
      </c>
      <c r="L2962">
        <f>IF(LEN(TRIM(E2962))=0,"",VLOOKUP(E2962,Sheet2!$B$1:$E$19,3,FALSE))</f>
        <v>1133738</v>
      </c>
      <c r="M2962">
        <f>IF(LEN(TRIM(E2962))=0,"",VLOOKUP(E2962,Sheet2!$B$1:$E$19,4,FALSE))+(F2962-1)</f>
        <v>3885652</v>
      </c>
    </row>
    <row r="2963" spans="1:13" ht="15" customHeight="1" x14ac:dyDescent="0.25">
      <c r="A2963" s="28" t="s">
        <v>97</v>
      </c>
      <c r="B2963" s="28" t="s">
        <v>2909</v>
      </c>
      <c r="C2963" s="6" t="s">
        <v>2910</v>
      </c>
      <c r="D2963" s="1" t="s">
        <v>454</v>
      </c>
      <c r="E2963" s="1">
        <v>2173</v>
      </c>
      <c r="F2963" s="28">
        <v>212</v>
      </c>
      <c r="G2963" s="9" t="s">
        <v>2761</v>
      </c>
      <c r="H2963" s="1" t="s">
        <v>3073</v>
      </c>
      <c r="I2963" s="1" t="s">
        <v>3073</v>
      </c>
      <c r="J2963" t="str">
        <f t="shared" si="46"/>
        <v>http://www.badatelna.eu/reprodukce/?fondId=1073&amp;zaznamId=1108959&amp;reproId=3780205</v>
      </c>
      <c r="K2963">
        <f>IF(LEN(TRIM(E2963))=0,"",VLOOKUP(E2963,Sheet2!$B$1:$E$19,2,FALSE))</f>
        <v>1073</v>
      </c>
      <c r="L2963">
        <f>IF(LEN(TRIM(E2963))=0,"",VLOOKUP(E2963,Sheet2!$B$1:$E$19,3,FALSE))</f>
        <v>1108959</v>
      </c>
      <c r="M2963">
        <f>IF(LEN(TRIM(E2963))=0,"",VLOOKUP(E2963,Sheet2!$B$1:$E$19,4,FALSE))+(F2963-1)</f>
        <v>3780205</v>
      </c>
    </row>
    <row r="2964" spans="1:13" ht="15" customHeight="1" x14ac:dyDescent="0.25">
      <c r="A2964" s="28" t="s">
        <v>97</v>
      </c>
      <c r="B2964" s="28" t="s">
        <v>16</v>
      </c>
      <c r="C2964" s="6" t="s">
        <v>2129</v>
      </c>
      <c r="D2964" s="1" t="s">
        <v>454</v>
      </c>
      <c r="E2964" s="1">
        <v>2173</v>
      </c>
      <c r="F2964" s="28">
        <v>208</v>
      </c>
      <c r="G2964" s="1">
        <v>25</v>
      </c>
      <c r="H2964" s="1" t="s">
        <v>3073</v>
      </c>
      <c r="I2964" s="1" t="s">
        <v>3073</v>
      </c>
      <c r="J2964" t="str">
        <f t="shared" si="46"/>
        <v>http://www.badatelna.eu/reprodukce/?fondId=1073&amp;zaznamId=1108959&amp;reproId=3780201</v>
      </c>
      <c r="K2964">
        <f>IF(LEN(TRIM(E2964))=0,"",VLOOKUP(E2964,Sheet2!$B$1:$E$19,2,FALSE))</f>
        <v>1073</v>
      </c>
      <c r="L2964">
        <f>IF(LEN(TRIM(E2964))=0,"",VLOOKUP(E2964,Sheet2!$B$1:$E$19,3,FALSE))</f>
        <v>1108959</v>
      </c>
      <c r="M2964">
        <f>IF(LEN(TRIM(E2964))=0,"",VLOOKUP(E2964,Sheet2!$B$1:$E$19,4,FALSE))+(F2964-1)</f>
        <v>3780201</v>
      </c>
    </row>
    <row r="2965" spans="1:13" ht="15" customHeight="1" x14ac:dyDescent="0.25">
      <c r="A2965" s="28" t="s">
        <v>97</v>
      </c>
      <c r="B2965" s="28" t="s">
        <v>74</v>
      </c>
      <c r="C2965" s="6" t="s">
        <v>2220</v>
      </c>
      <c r="D2965" s="1" t="s">
        <v>454</v>
      </c>
      <c r="E2965" s="1">
        <v>2173</v>
      </c>
      <c r="F2965" s="28">
        <v>177</v>
      </c>
      <c r="G2965" s="9">
        <v>1</v>
      </c>
      <c r="H2965" s="1">
        <v>195</v>
      </c>
      <c r="I2965" s="1">
        <v>433</v>
      </c>
      <c r="J2965" t="str">
        <f t="shared" si="46"/>
        <v>http://www.badatelna.eu/reprodukce/?fondId=1073&amp;zaznamId=1108959&amp;reproId=3780170</v>
      </c>
      <c r="K2965">
        <f>IF(LEN(TRIM(E2965))=0,"",VLOOKUP(E2965,Sheet2!$B$1:$E$19,2,FALSE))</f>
        <v>1073</v>
      </c>
      <c r="L2965">
        <f>IF(LEN(TRIM(E2965))=0,"",VLOOKUP(E2965,Sheet2!$B$1:$E$19,3,FALSE))</f>
        <v>1108959</v>
      </c>
      <c r="M2965">
        <f>IF(LEN(TRIM(E2965))=0,"",VLOOKUP(E2965,Sheet2!$B$1:$E$19,4,FALSE))+(F2965-1)</f>
        <v>3780170</v>
      </c>
    </row>
    <row r="2966" spans="1:13" ht="15" customHeight="1" x14ac:dyDescent="0.25">
      <c r="A2966" s="28" t="s">
        <v>97</v>
      </c>
      <c r="B2966" s="28" t="s">
        <v>389</v>
      </c>
      <c r="C2966" s="6" t="s">
        <v>2218</v>
      </c>
      <c r="D2966" s="1" t="s">
        <v>454</v>
      </c>
      <c r="E2966" s="1">
        <v>2173</v>
      </c>
      <c r="F2966" s="28">
        <v>182</v>
      </c>
      <c r="G2966" s="9">
        <v>11</v>
      </c>
      <c r="H2966" s="1">
        <v>194</v>
      </c>
      <c r="I2966" s="1">
        <v>433</v>
      </c>
      <c r="J2966" t="str">
        <f t="shared" si="46"/>
        <v>http://www.badatelna.eu/reprodukce/?fondId=1073&amp;zaznamId=1108959&amp;reproId=3780175</v>
      </c>
      <c r="K2966">
        <f>IF(LEN(TRIM(E2966))=0,"",VLOOKUP(E2966,Sheet2!$B$1:$E$19,2,FALSE))</f>
        <v>1073</v>
      </c>
      <c r="L2966">
        <f>IF(LEN(TRIM(E2966))=0,"",VLOOKUP(E2966,Sheet2!$B$1:$E$19,3,FALSE))</f>
        <v>1108959</v>
      </c>
      <c r="M2966">
        <f>IF(LEN(TRIM(E2966))=0,"",VLOOKUP(E2966,Sheet2!$B$1:$E$19,4,FALSE))+(F2966-1)</f>
        <v>3780175</v>
      </c>
    </row>
    <row r="2967" spans="1:13" ht="15" customHeight="1" x14ac:dyDescent="0.25">
      <c r="A2967" s="28" t="s">
        <v>97</v>
      </c>
      <c r="B2967" s="28" t="s">
        <v>46</v>
      </c>
      <c r="C2967" s="6" t="s">
        <v>2705</v>
      </c>
      <c r="D2967" s="1" t="s">
        <v>454</v>
      </c>
      <c r="E2967" s="1">
        <v>2173</v>
      </c>
      <c r="F2967" s="28">
        <v>224</v>
      </c>
      <c r="G2967" s="9">
        <v>53</v>
      </c>
      <c r="H2967" s="1" t="s">
        <v>3073</v>
      </c>
      <c r="I2967" s="1" t="s">
        <v>3073</v>
      </c>
      <c r="J2967" t="str">
        <f t="shared" si="46"/>
        <v>http://www.badatelna.eu/reprodukce/?fondId=1073&amp;zaznamId=1108959&amp;reproId=3780217</v>
      </c>
      <c r="K2967">
        <f>IF(LEN(TRIM(E2967))=0,"",VLOOKUP(E2967,Sheet2!$B$1:$E$19,2,FALSE))</f>
        <v>1073</v>
      </c>
      <c r="L2967">
        <f>IF(LEN(TRIM(E2967))=0,"",VLOOKUP(E2967,Sheet2!$B$1:$E$19,3,FALSE))</f>
        <v>1108959</v>
      </c>
      <c r="M2967">
        <f>IF(LEN(TRIM(E2967))=0,"",VLOOKUP(E2967,Sheet2!$B$1:$E$19,4,FALSE))+(F2967-1)</f>
        <v>3780217</v>
      </c>
    </row>
    <row r="2968" spans="1:13" ht="15" customHeight="1" x14ac:dyDescent="0.25">
      <c r="A2968" s="28" t="s">
        <v>97</v>
      </c>
      <c r="B2968" s="28" t="s">
        <v>213</v>
      </c>
      <c r="C2968" s="6" t="s">
        <v>2493</v>
      </c>
      <c r="D2968" s="1" t="s">
        <v>454</v>
      </c>
      <c r="E2968" s="1">
        <v>2173</v>
      </c>
      <c r="F2968" s="28">
        <v>205</v>
      </c>
      <c r="G2968" s="1">
        <v>20</v>
      </c>
      <c r="H2968" s="1" t="s">
        <v>3073</v>
      </c>
      <c r="I2968" s="1" t="s">
        <v>3073</v>
      </c>
      <c r="J2968" t="str">
        <f t="shared" si="46"/>
        <v>http://www.badatelna.eu/reprodukce/?fondId=1073&amp;zaznamId=1108959&amp;reproId=3780198</v>
      </c>
      <c r="K2968">
        <f>IF(LEN(TRIM(E2968))=0,"",VLOOKUP(E2968,Sheet2!$B$1:$E$19,2,FALSE))</f>
        <v>1073</v>
      </c>
      <c r="L2968">
        <f>IF(LEN(TRIM(E2968))=0,"",VLOOKUP(E2968,Sheet2!$B$1:$E$19,3,FALSE))</f>
        <v>1108959</v>
      </c>
      <c r="M2968">
        <f>IF(LEN(TRIM(E2968))=0,"",VLOOKUP(E2968,Sheet2!$B$1:$E$19,4,FALSE))+(F2968-1)</f>
        <v>3780198</v>
      </c>
    </row>
    <row r="2969" spans="1:13" ht="15" customHeight="1" x14ac:dyDescent="0.25">
      <c r="A2969" s="28" t="s">
        <v>97</v>
      </c>
      <c r="B2969" s="28" t="s">
        <v>154</v>
      </c>
      <c r="C2969" s="6" t="s">
        <v>2219</v>
      </c>
      <c r="D2969" s="1" t="s">
        <v>454</v>
      </c>
      <c r="E2969" s="1">
        <v>2173</v>
      </c>
      <c r="F2969" s="28">
        <v>178</v>
      </c>
      <c r="G2969" s="9">
        <v>2</v>
      </c>
      <c r="H2969" s="1">
        <v>194</v>
      </c>
      <c r="I2969" s="1">
        <v>433</v>
      </c>
      <c r="J2969" t="str">
        <f t="shared" si="46"/>
        <v>http://www.badatelna.eu/reprodukce/?fondId=1073&amp;zaznamId=1108959&amp;reproId=3780171</v>
      </c>
      <c r="K2969">
        <f>IF(LEN(TRIM(E2969))=0,"",VLOOKUP(E2969,Sheet2!$B$1:$E$19,2,FALSE))</f>
        <v>1073</v>
      </c>
      <c r="L2969">
        <f>IF(LEN(TRIM(E2969))=0,"",VLOOKUP(E2969,Sheet2!$B$1:$E$19,3,FALSE))</f>
        <v>1108959</v>
      </c>
      <c r="M2969">
        <f>IF(LEN(TRIM(E2969))=0,"",VLOOKUP(E2969,Sheet2!$B$1:$E$19,4,FALSE))+(F2969-1)</f>
        <v>3780171</v>
      </c>
    </row>
    <row r="2970" spans="1:13" ht="15" customHeight="1" x14ac:dyDescent="0.25">
      <c r="A2970" s="28" t="s">
        <v>97</v>
      </c>
      <c r="B2970" s="28" t="s">
        <v>154</v>
      </c>
      <c r="C2970" s="6" t="s">
        <v>2219</v>
      </c>
      <c r="D2970" s="1" t="s">
        <v>454</v>
      </c>
      <c r="E2970" s="1">
        <v>2173</v>
      </c>
      <c r="F2970" s="28">
        <v>208</v>
      </c>
      <c r="G2970" s="1">
        <v>26</v>
      </c>
      <c r="H2970" s="1" t="s">
        <v>3073</v>
      </c>
      <c r="I2970" s="1" t="s">
        <v>3073</v>
      </c>
      <c r="J2970" t="str">
        <f t="shared" si="46"/>
        <v>http://www.badatelna.eu/reprodukce/?fondId=1073&amp;zaznamId=1108959&amp;reproId=3780201</v>
      </c>
      <c r="K2970">
        <f>IF(LEN(TRIM(E2970))=0,"",VLOOKUP(E2970,Sheet2!$B$1:$E$19,2,FALSE))</f>
        <v>1073</v>
      </c>
      <c r="L2970">
        <f>IF(LEN(TRIM(E2970))=0,"",VLOOKUP(E2970,Sheet2!$B$1:$E$19,3,FALSE))</f>
        <v>1108959</v>
      </c>
      <c r="M2970">
        <f>IF(LEN(TRIM(E2970))=0,"",VLOOKUP(E2970,Sheet2!$B$1:$E$19,4,FALSE))+(F2970-1)</f>
        <v>3780201</v>
      </c>
    </row>
    <row r="2971" spans="1:13" ht="15" customHeight="1" x14ac:dyDescent="0.25">
      <c r="A2971" s="28" t="s">
        <v>97</v>
      </c>
      <c r="B2971" s="28" t="s">
        <v>388</v>
      </c>
      <c r="C2971" s="6" t="s">
        <v>2221</v>
      </c>
      <c r="D2971" s="1" t="s">
        <v>454</v>
      </c>
      <c r="E2971" s="1">
        <v>2173</v>
      </c>
      <c r="F2971" s="28">
        <v>180</v>
      </c>
      <c r="G2971" s="9">
        <v>7</v>
      </c>
      <c r="H2971" s="1">
        <v>194</v>
      </c>
      <c r="I2971" s="1">
        <v>433</v>
      </c>
      <c r="J2971" t="str">
        <f t="shared" si="46"/>
        <v>http://www.badatelna.eu/reprodukce/?fondId=1073&amp;zaznamId=1108959&amp;reproId=3780173</v>
      </c>
      <c r="K2971">
        <f>IF(LEN(TRIM(E2971))=0,"",VLOOKUP(E2971,Sheet2!$B$1:$E$19,2,FALSE))</f>
        <v>1073</v>
      </c>
      <c r="L2971">
        <f>IF(LEN(TRIM(E2971))=0,"",VLOOKUP(E2971,Sheet2!$B$1:$E$19,3,FALSE))</f>
        <v>1108959</v>
      </c>
      <c r="M2971">
        <f>IF(LEN(TRIM(E2971))=0,"",VLOOKUP(E2971,Sheet2!$B$1:$E$19,4,FALSE))+(F2971-1)</f>
        <v>3780173</v>
      </c>
    </row>
    <row r="2972" spans="1:13" ht="15" customHeight="1" x14ac:dyDescent="0.25">
      <c r="A2972" s="28" t="s">
        <v>97</v>
      </c>
      <c r="B2972" s="28" t="s">
        <v>143</v>
      </c>
      <c r="C2972" s="6" t="s">
        <v>2584</v>
      </c>
      <c r="D2972" s="1" t="s">
        <v>454</v>
      </c>
      <c r="E2972" s="1">
        <v>2173</v>
      </c>
      <c r="F2972" s="28">
        <v>214</v>
      </c>
      <c r="G2972" s="9">
        <v>37</v>
      </c>
      <c r="H2972" s="1" t="s">
        <v>3073</v>
      </c>
      <c r="I2972" s="1" t="s">
        <v>3073</v>
      </c>
      <c r="J2972" t="str">
        <f t="shared" si="46"/>
        <v>http://www.badatelna.eu/reprodukce/?fondId=1073&amp;zaznamId=1108959&amp;reproId=3780207</v>
      </c>
      <c r="K2972">
        <f>IF(LEN(TRIM(E2972))=0,"",VLOOKUP(E2972,Sheet2!$B$1:$E$19,2,FALSE))</f>
        <v>1073</v>
      </c>
      <c r="L2972">
        <f>IF(LEN(TRIM(E2972))=0,"",VLOOKUP(E2972,Sheet2!$B$1:$E$19,3,FALSE))</f>
        <v>1108959</v>
      </c>
      <c r="M2972">
        <f>IF(LEN(TRIM(E2972))=0,"",VLOOKUP(E2972,Sheet2!$B$1:$E$19,4,FALSE))+(F2972-1)</f>
        <v>3780207</v>
      </c>
    </row>
    <row r="2973" spans="1:13" ht="15" customHeight="1" x14ac:dyDescent="0.25">
      <c r="A2973" s="28" t="s">
        <v>97</v>
      </c>
      <c r="B2973" s="28" t="s">
        <v>143</v>
      </c>
      <c r="C2973" s="6" t="s">
        <v>2390</v>
      </c>
      <c r="D2973" s="1" t="s">
        <v>454</v>
      </c>
      <c r="E2973" s="1">
        <v>2173</v>
      </c>
      <c r="F2973" s="28">
        <v>201</v>
      </c>
      <c r="G2973" s="9">
        <v>11</v>
      </c>
      <c r="H2973" s="1" t="s">
        <v>3073</v>
      </c>
      <c r="I2973" s="1" t="s">
        <v>3073</v>
      </c>
      <c r="J2973" t="str">
        <f t="shared" si="46"/>
        <v>http://www.badatelna.eu/reprodukce/?fondId=1073&amp;zaznamId=1108959&amp;reproId=3780194</v>
      </c>
      <c r="K2973">
        <f>IF(LEN(TRIM(E2973))=0,"",VLOOKUP(E2973,Sheet2!$B$1:$E$19,2,FALSE))</f>
        <v>1073</v>
      </c>
      <c r="L2973">
        <f>IF(LEN(TRIM(E2973))=0,"",VLOOKUP(E2973,Sheet2!$B$1:$E$19,3,FALSE))</f>
        <v>1108959</v>
      </c>
      <c r="M2973">
        <f>IF(LEN(TRIM(E2973))=0,"",VLOOKUP(E2973,Sheet2!$B$1:$E$19,4,FALSE))+(F2973-1)</f>
        <v>3780194</v>
      </c>
    </row>
    <row r="2974" spans="1:13" ht="15" customHeight="1" x14ac:dyDescent="0.25">
      <c r="A2974" s="28" t="s">
        <v>97</v>
      </c>
      <c r="B2974" s="28" t="s">
        <v>91</v>
      </c>
      <c r="C2974" s="6" t="s">
        <v>2390</v>
      </c>
      <c r="D2974" s="1" t="s">
        <v>454</v>
      </c>
      <c r="E2974" s="1">
        <v>2173</v>
      </c>
      <c r="F2974" s="28">
        <v>201</v>
      </c>
      <c r="G2974" s="9">
        <v>11</v>
      </c>
      <c r="H2974" s="1" t="s">
        <v>3073</v>
      </c>
      <c r="I2974" s="1" t="s">
        <v>3073</v>
      </c>
      <c r="J2974" t="str">
        <f t="shared" si="46"/>
        <v>http://www.badatelna.eu/reprodukce/?fondId=1073&amp;zaznamId=1108959&amp;reproId=3780194</v>
      </c>
      <c r="K2974">
        <f>IF(LEN(TRIM(E2974))=0,"",VLOOKUP(E2974,Sheet2!$B$1:$E$19,2,FALSE))</f>
        <v>1073</v>
      </c>
      <c r="L2974">
        <f>IF(LEN(TRIM(E2974))=0,"",VLOOKUP(E2974,Sheet2!$B$1:$E$19,3,FALSE))</f>
        <v>1108959</v>
      </c>
      <c r="M2974">
        <f>IF(LEN(TRIM(E2974))=0,"",VLOOKUP(E2974,Sheet2!$B$1:$E$19,4,FALSE))+(F2974-1)</f>
        <v>3780194</v>
      </c>
    </row>
    <row r="2975" spans="1:13" ht="15" customHeight="1" x14ac:dyDescent="0.25">
      <c r="A2975" s="28" t="s">
        <v>97</v>
      </c>
      <c r="B2975" s="28" t="s">
        <v>82</v>
      </c>
      <c r="C2975" s="6" t="s">
        <v>2499</v>
      </c>
      <c r="D2975" s="1" t="s">
        <v>454</v>
      </c>
      <c r="E2975" s="1">
        <v>2173</v>
      </c>
      <c r="F2975" s="28">
        <v>205</v>
      </c>
      <c r="G2975" s="1">
        <v>19</v>
      </c>
      <c r="H2975" s="1" t="s">
        <v>3073</v>
      </c>
      <c r="I2975" s="1" t="s">
        <v>3073</v>
      </c>
      <c r="J2975" t="str">
        <f t="shared" si="46"/>
        <v>http://www.badatelna.eu/reprodukce/?fondId=1073&amp;zaznamId=1108959&amp;reproId=3780198</v>
      </c>
      <c r="K2975">
        <f>IF(LEN(TRIM(E2975))=0,"",VLOOKUP(E2975,Sheet2!$B$1:$E$19,2,FALSE))</f>
        <v>1073</v>
      </c>
      <c r="L2975">
        <f>IF(LEN(TRIM(E2975))=0,"",VLOOKUP(E2975,Sheet2!$B$1:$E$19,3,FALSE))</f>
        <v>1108959</v>
      </c>
      <c r="M2975">
        <f>IF(LEN(TRIM(E2975))=0,"",VLOOKUP(E2975,Sheet2!$B$1:$E$19,4,FALSE))+(F2975-1)</f>
        <v>3780198</v>
      </c>
    </row>
    <row r="2976" spans="1:13" ht="15" customHeight="1" x14ac:dyDescent="0.25">
      <c r="A2976" s="28"/>
      <c r="B2976" s="36"/>
      <c r="C2976" s="6"/>
      <c r="D2976" s="1"/>
      <c r="E2976" s="1"/>
      <c r="F2976" s="28"/>
      <c r="G2976" s="9"/>
      <c r="H2976" s="1"/>
      <c r="I2976" s="1"/>
    </row>
    <row r="2977" spans="1:17" s="1" customFormat="1" ht="15" customHeight="1" x14ac:dyDescent="0.25">
      <c r="A2977" s="28"/>
      <c r="B2977" s="28"/>
      <c r="C2977" s="6"/>
      <c r="F2977" s="28"/>
      <c r="G2977" s="9"/>
    </row>
    <row r="2978" spans="1:17" s="1" customFormat="1" ht="15" customHeight="1" x14ac:dyDescent="0.2">
      <c r="A2978" s="33"/>
      <c r="B2978" s="33"/>
      <c r="C2978" s="8"/>
      <c r="D2978"/>
      <c r="E2978"/>
      <c r="F2978" s="37"/>
      <c r="G2978" s="13"/>
      <c r="H2978"/>
      <c r="I2978"/>
      <c r="J2978"/>
      <c r="K2978"/>
      <c r="L2978"/>
      <c r="M2978"/>
      <c r="N2978"/>
      <c r="O2978"/>
      <c r="P2978"/>
      <c r="Q2978"/>
    </row>
  </sheetData>
  <autoFilter ref="A1:Q2975"/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workbookViewId="0">
      <selection activeCell="A21" sqref="A21"/>
    </sheetView>
  </sheetViews>
  <sheetFormatPr defaultRowHeight="12.75" x14ac:dyDescent="0.2"/>
  <cols>
    <col min="1" max="1" width="119.5703125" customWidth="1"/>
  </cols>
  <sheetData>
    <row r="1" spans="1:6" x14ac:dyDescent="0.2">
      <c r="B1" t="s">
        <v>3148</v>
      </c>
      <c r="C1" t="s">
        <v>3149</v>
      </c>
      <c r="D1" t="s">
        <v>3150</v>
      </c>
      <c r="E1" t="s">
        <v>3151</v>
      </c>
      <c r="F1" t="s">
        <v>3152</v>
      </c>
    </row>
    <row r="2" spans="1:6" ht="15" x14ac:dyDescent="0.2">
      <c r="A2" s="43" t="s">
        <v>3153</v>
      </c>
      <c r="B2">
        <v>995</v>
      </c>
      <c r="C2">
        <v>241</v>
      </c>
      <c r="D2">
        <v>1133735</v>
      </c>
      <c r="E2">
        <v>3885429</v>
      </c>
      <c r="F2">
        <v>1</v>
      </c>
    </row>
    <row r="3" spans="1:6" x14ac:dyDescent="0.2">
      <c r="B3">
        <v>996</v>
      </c>
      <c r="C3">
        <v>241</v>
      </c>
      <c r="D3">
        <v>1133736</v>
      </c>
      <c r="E3">
        <v>3885569</v>
      </c>
      <c r="F3">
        <v>1</v>
      </c>
    </row>
    <row r="4" spans="1:6" x14ac:dyDescent="0.2">
      <c r="B4">
        <v>997</v>
      </c>
      <c r="C4">
        <v>241</v>
      </c>
      <c r="D4">
        <v>1133737</v>
      </c>
      <c r="E4">
        <v>3885619</v>
      </c>
      <c r="F4">
        <v>1</v>
      </c>
    </row>
    <row r="5" spans="1:6" x14ac:dyDescent="0.2">
      <c r="B5">
        <v>998</v>
      </c>
      <c r="C5">
        <v>241</v>
      </c>
      <c r="D5">
        <v>1133738</v>
      </c>
      <c r="E5">
        <v>3885647</v>
      </c>
      <c r="F5">
        <v>1</v>
      </c>
    </row>
    <row r="6" spans="1:6" x14ac:dyDescent="0.2">
      <c r="B6">
        <v>999</v>
      </c>
      <c r="C6">
        <v>241</v>
      </c>
      <c r="D6">
        <v>1133739</v>
      </c>
      <c r="E6">
        <v>3885730</v>
      </c>
      <c r="F6">
        <v>1</v>
      </c>
    </row>
    <row r="7" spans="1:6" x14ac:dyDescent="0.2">
      <c r="B7">
        <v>2164</v>
      </c>
      <c r="C7">
        <v>1073</v>
      </c>
      <c r="D7">
        <v>1108951</v>
      </c>
      <c r="E7">
        <v>3778715</v>
      </c>
      <c r="F7">
        <v>1</v>
      </c>
    </row>
    <row r="8" spans="1:6" x14ac:dyDescent="0.2">
      <c r="B8">
        <v>2165</v>
      </c>
      <c r="C8">
        <v>1073</v>
      </c>
      <c r="D8">
        <v>1108952</v>
      </c>
      <c r="E8">
        <v>3778862</v>
      </c>
      <c r="F8">
        <v>1</v>
      </c>
    </row>
    <row r="9" spans="1:6" x14ac:dyDescent="0.2">
      <c r="B9">
        <v>2166</v>
      </c>
      <c r="C9">
        <v>1073</v>
      </c>
      <c r="D9">
        <v>1108953</v>
      </c>
      <c r="E9">
        <v>3779225</v>
      </c>
      <c r="F9">
        <v>1</v>
      </c>
    </row>
    <row r="10" spans="1:6" x14ac:dyDescent="0.2">
      <c r="B10">
        <v>2167</v>
      </c>
      <c r="C10">
        <v>1073</v>
      </c>
      <c r="D10">
        <v>1108954</v>
      </c>
      <c r="E10">
        <v>3779284</v>
      </c>
      <c r="F10">
        <v>1</v>
      </c>
    </row>
    <row r="11" spans="1:6" x14ac:dyDescent="0.2">
      <c r="B11">
        <v>2168</v>
      </c>
      <c r="C11">
        <v>1073</v>
      </c>
      <c r="D11">
        <v>1108955</v>
      </c>
      <c r="E11">
        <v>3779305</v>
      </c>
      <c r="F11">
        <v>1</v>
      </c>
    </row>
    <row r="12" spans="1:6" x14ac:dyDescent="0.2">
      <c r="B12">
        <v>2169</v>
      </c>
      <c r="C12">
        <v>1073</v>
      </c>
      <c r="D12">
        <v>1110078</v>
      </c>
      <c r="E12">
        <v>3830578</v>
      </c>
      <c r="F12">
        <v>1</v>
      </c>
    </row>
    <row r="13" spans="1:6" x14ac:dyDescent="0.2">
      <c r="B13">
        <v>2170</v>
      </c>
      <c r="C13">
        <v>1073</v>
      </c>
      <c r="D13">
        <v>1108956</v>
      </c>
      <c r="E13">
        <v>3779593</v>
      </c>
      <c r="F13">
        <v>1</v>
      </c>
    </row>
    <row r="14" spans="1:6" x14ac:dyDescent="0.2">
      <c r="B14">
        <v>2171</v>
      </c>
      <c r="C14">
        <v>1073</v>
      </c>
      <c r="D14">
        <v>1108957</v>
      </c>
      <c r="E14">
        <v>3779668</v>
      </c>
      <c r="F14">
        <v>1</v>
      </c>
    </row>
    <row r="15" spans="1:6" x14ac:dyDescent="0.2">
      <c r="B15">
        <v>2172</v>
      </c>
      <c r="C15">
        <v>1073</v>
      </c>
      <c r="D15">
        <v>1108958</v>
      </c>
      <c r="E15">
        <v>3779742</v>
      </c>
      <c r="F15">
        <v>1</v>
      </c>
    </row>
    <row r="16" spans="1:6" x14ac:dyDescent="0.2">
      <c r="B16">
        <v>2173</v>
      </c>
      <c r="C16">
        <v>1073</v>
      </c>
      <c r="D16">
        <v>1108959</v>
      </c>
      <c r="E16">
        <v>3779994</v>
      </c>
      <c r="F16">
        <v>1</v>
      </c>
    </row>
    <row r="17" spans="2:6" x14ac:dyDescent="0.2">
      <c r="B17">
        <v>2174</v>
      </c>
      <c r="C17">
        <v>1073</v>
      </c>
      <c r="D17">
        <v>1108960</v>
      </c>
      <c r="E17">
        <v>3780225</v>
      </c>
      <c r="F17">
        <v>1</v>
      </c>
    </row>
    <row r="18" spans="2:6" x14ac:dyDescent="0.2">
      <c r="B18">
        <v>2175</v>
      </c>
      <c r="C18">
        <v>1073</v>
      </c>
      <c r="D18">
        <v>1108961</v>
      </c>
      <c r="E18">
        <v>3780514</v>
      </c>
      <c r="F18">
        <v>1</v>
      </c>
    </row>
    <row r="19" spans="2:6" x14ac:dyDescent="0.2">
      <c r="B19">
        <v>2176</v>
      </c>
      <c r="C19">
        <v>1073</v>
      </c>
      <c r="D19">
        <v>1108963</v>
      </c>
      <c r="E19">
        <v>3780562</v>
      </c>
      <c r="F19">
        <v>1</v>
      </c>
    </row>
  </sheetData>
  <hyperlinks>
    <hyperlink ref="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</dc:creator>
  <cp:lastModifiedBy>michael</cp:lastModifiedBy>
  <dcterms:created xsi:type="dcterms:W3CDTF">2013-12-06T15:44:21Z</dcterms:created>
  <dcterms:modified xsi:type="dcterms:W3CDTF">2014-08-12T17:29:01Z</dcterms:modified>
</cp:coreProperties>
</file>